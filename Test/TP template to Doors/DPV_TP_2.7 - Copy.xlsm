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65" windowWidth="14805" windowHeight="7950" tabRatio="460"/>
  </bookViews>
  <sheets>
    <sheet name="HLTP_Template" sheetId="2" r:id="rId1"/>
    <sheet name="DOORS Template" sheetId="1" r:id="rId2"/>
    <sheet name="Test Script" sheetId="3" r:id="rId3"/>
    <sheet name="Sheet1" sheetId="4" r:id="rId4"/>
  </sheets>
  <calcPr calcId="145621"/>
</workbook>
</file>

<file path=xl/calcChain.xml><?xml version="1.0" encoding="utf-8"?>
<calcChain xmlns="http://schemas.openxmlformats.org/spreadsheetml/2006/main">
  <c r="CK18" i="2" l="1"/>
  <c r="CL18" i="2"/>
  <c r="CJ32" i="2"/>
  <c r="CK32" i="2"/>
  <c r="CL32" i="2"/>
  <c r="CJ33" i="2"/>
  <c r="CK33" i="2"/>
  <c r="CL33" i="2"/>
  <c r="CJ34" i="2"/>
  <c r="CK34" i="2"/>
  <c r="CL34" i="2"/>
  <c r="CJ35" i="2"/>
  <c r="CK35" i="2"/>
  <c r="CL35" i="2"/>
  <c r="CJ36" i="2"/>
  <c r="CK36" i="2"/>
  <c r="CL36" i="2"/>
  <c r="CJ37" i="2"/>
  <c r="CK37" i="2"/>
  <c r="CL37" i="2"/>
  <c r="CJ38" i="2"/>
  <c r="CK38" i="2"/>
  <c r="CL38" i="2"/>
  <c r="CJ39" i="2"/>
  <c r="CK39" i="2"/>
  <c r="CL39" i="2"/>
  <c r="CJ40" i="2"/>
  <c r="CK40" i="2"/>
  <c r="CL40" i="2"/>
  <c r="CJ41" i="2"/>
  <c r="CJ49" i="2" s="1"/>
  <c r="CJ50" i="2" s="1"/>
  <c r="CJ52" i="2" s="1"/>
  <c r="CK41" i="2"/>
  <c r="CL41" i="2"/>
  <c r="CJ48" i="2"/>
  <c r="CK48" i="2"/>
  <c r="CL48" i="2"/>
  <c r="CK49" i="2"/>
  <c r="CK50" i="2" s="1"/>
  <c r="CK52" i="2" s="1"/>
  <c r="CL49" i="2"/>
  <c r="CL50" i="2" s="1"/>
  <c r="CL52" i="2" s="1"/>
  <c r="CJ55" i="2"/>
  <c r="CK55" i="2"/>
  <c r="CL55" i="2"/>
  <c r="CJ56" i="2"/>
  <c r="CK56" i="2"/>
  <c r="CL56" i="2"/>
  <c r="CJ62" i="2"/>
  <c r="CK62" i="2"/>
  <c r="CL62" i="2"/>
  <c r="CJ43" i="2" l="1"/>
  <c r="CJ58" i="2"/>
  <c r="CL58" i="2"/>
  <c r="CL43" i="2"/>
  <c r="CK43" i="2"/>
  <c r="CK58" i="2"/>
  <c r="B1427" i="3"/>
  <c r="B247" i="3"/>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CK29" i="2" l="1"/>
  <c r="CL29" i="2"/>
  <c r="CJ29"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AI32" i="2"/>
  <c r="AJ32" i="2"/>
  <c r="AK32" i="2"/>
  <c r="AL32" i="2"/>
  <c r="AM32" i="2"/>
  <c r="AN32" i="2"/>
  <c r="AO32" i="2"/>
  <c r="AO48" i="2" s="1"/>
  <c r="AP32" i="2"/>
  <c r="AQ32" i="2"/>
  <c r="AR32" i="2"/>
  <c r="AS32" i="2"/>
  <c r="AS48" i="2" s="1"/>
  <c r="AT32" i="2"/>
  <c r="AU32" i="2"/>
  <c r="AV32" i="2"/>
  <c r="AW32" i="2"/>
  <c r="AX32" i="2"/>
  <c r="AY32" i="2"/>
  <c r="AZ32" i="2"/>
  <c r="BA32" i="2"/>
  <c r="BB32" i="2"/>
  <c r="BC32" i="2"/>
  <c r="BD32" i="2"/>
  <c r="BE32" i="2"/>
  <c r="BF32" i="2"/>
  <c r="BG32" i="2"/>
  <c r="BH32" i="2"/>
  <c r="BI32" i="2"/>
  <c r="BI48" i="2" s="1"/>
  <c r="BJ32" i="2"/>
  <c r="BK32" i="2"/>
  <c r="BL32" i="2"/>
  <c r="BM32" i="2"/>
  <c r="BM48" i="2" s="1"/>
  <c r="BN32" i="2"/>
  <c r="BO32" i="2"/>
  <c r="BP32" i="2"/>
  <c r="BQ32" i="2" s="1"/>
  <c r="BR32" i="2" s="1"/>
  <c r="BS32" i="2" s="1"/>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AI33" i="2"/>
  <c r="AJ33" i="2"/>
  <c r="AK33" i="2"/>
  <c r="AL33" i="2"/>
  <c r="AM33" i="2"/>
  <c r="AN33" i="2"/>
  <c r="AO33" i="2"/>
  <c r="AP33" i="2"/>
  <c r="AQ33" i="2"/>
  <c r="AR33" i="2"/>
  <c r="AS33" i="2"/>
  <c r="AT33" i="2"/>
  <c r="AU33" i="2"/>
  <c r="AV33" i="2"/>
  <c r="AW33" i="2"/>
  <c r="AX33" i="2"/>
  <c r="AY33" i="2"/>
  <c r="AZ33" i="2"/>
  <c r="BA33" i="2"/>
  <c r="BB33" i="2"/>
  <c r="BC33" i="2"/>
  <c r="BD33" i="2"/>
  <c r="BE33" i="2"/>
  <c r="BF33" i="2"/>
  <c r="BG33" i="2"/>
  <c r="BH33" i="2"/>
  <c r="BI33" i="2"/>
  <c r="BJ33" i="2"/>
  <c r="BK33" i="2"/>
  <c r="BL33" i="2"/>
  <c r="BM33" i="2"/>
  <c r="BN33" i="2"/>
  <c r="BO33" i="2"/>
  <c r="BP33" i="2"/>
  <c r="BQ33" i="2" s="1"/>
  <c r="BR33" i="2" s="1"/>
  <c r="BS33" i="2" s="1"/>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AI34" i="2"/>
  <c r="AI48" i="2" s="1"/>
  <c r="AJ34" i="2"/>
  <c r="AK34" i="2"/>
  <c r="AL34" i="2"/>
  <c r="AM34" i="2"/>
  <c r="AM48" i="2" s="1"/>
  <c r="AN34" i="2"/>
  <c r="AO34" i="2"/>
  <c r="AP34" i="2"/>
  <c r="AQ34" i="2"/>
  <c r="AR34" i="2"/>
  <c r="AS34" i="2"/>
  <c r="AT34" i="2"/>
  <c r="AU34" i="2"/>
  <c r="AV34" i="2"/>
  <c r="AW34" i="2"/>
  <c r="AX34" i="2"/>
  <c r="AY34" i="2"/>
  <c r="AY48" i="2" s="1"/>
  <c r="AZ34" i="2"/>
  <c r="BA34" i="2"/>
  <c r="BB34" i="2"/>
  <c r="BC34" i="2"/>
  <c r="BC48" i="2" s="1"/>
  <c r="BD34" i="2"/>
  <c r="BE34" i="2"/>
  <c r="BF34" i="2"/>
  <c r="BG34" i="2"/>
  <c r="BG48" i="2" s="1"/>
  <c r="BH34" i="2"/>
  <c r="BI34" i="2"/>
  <c r="BJ34" i="2"/>
  <c r="BK34" i="2"/>
  <c r="BL34" i="2"/>
  <c r="BM34" i="2"/>
  <c r="BN34" i="2"/>
  <c r="BO34" i="2"/>
  <c r="BP34" i="2"/>
  <c r="BQ34" i="2" s="1"/>
  <c r="BR34" i="2" s="1"/>
  <c r="BS34" i="2" s="1"/>
  <c r="H35" i="2"/>
  <c r="I35" i="2"/>
  <c r="J35" i="2"/>
  <c r="K35" i="2"/>
  <c r="L35" i="2"/>
  <c r="M35" i="2"/>
  <c r="N35" i="2"/>
  <c r="O35" i="2"/>
  <c r="P35" i="2"/>
  <c r="Q35" i="2"/>
  <c r="R35" i="2"/>
  <c r="S35" i="2"/>
  <c r="T35" i="2"/>
  <c r="U35" i="2"/>
  <c r="V35" i="2"/>
  <c r="W35" i="2"/>
  <c r="X35" i="2"/>
  <c r="Y35" i="2"/>
  <c r="Z35" i="2"/>
  <c r="AA35" i="2"/>
  <c r="AB35" i="2"/>
  <c r="AC35" i="2"/>
  <c r="AD35" i="2"/>
  <c r="AD48" i="2" s="1"/>
  <c r="AE35" i="2"/>
  <c r="AF35" i="2"/>
  <c r="AG35" i="2"/>
  <c r="AH35" i="2"/>
  <c r="AH48" i="2" s="1"/>
  <c r="AI35" i="2"/>
  <c r="AJ35" i="2"/>
  <c r="AK35" i="2"/>
  <c r="AL35" i="2"/>
  <c r="AM35" i="2"/>
  <c r="AN35" i="2"/>
  <c r="AO35" i="2"/>
  <c r="AP35" i="2"/>
  <c r="AQ35" i="2"/>
  <c r="AR35" i="2"/>
  <c r="AS35" i="2"/>
  <c r="AT35" i="2"/>
  <c r="AT48" i="2" s="1"/>
  <c r="AU35" i="2"/>
  <c r="AV35" i="2"/>
  <c r="AW35" i="2"/>
  <c r="AX35" i="2"/>
  <c r="AX48" i="2" s="1"/>
  <c r="AY35" i="2"/>
  <c r="AZ35" i="2"/>
  <c r="BA35" i="2"/>
  <c r="BB35" i="2"/>
  <c r="BB48" i="2" s="1"/>
  <c r="BC35" i="2"/>
  <c r="BD35" i="2"/>
  <c r="BE35" i="2"/>
  <c r="BF35" i="2"/>
  <c r="BG35" i="2"/>
  <c r="BH35" i="2"/>
  <c r="BI35" i="2"/>
  <c r="BJ35" i="2"/>
  <c r="BJ48" i="2" s="1"/>
  <c r="BK35" i="2"/>
  <c r="BL35" i="2"/>
  <c r="BM35" i="2"/>
  <c r="BN35" i="2"/>
  <c r="BO35" i="2"/>
  <c r="BP35" i="2"/>
  <c r="BQ35" i="2" s="1"/>
  <c r="BR35" i="2" s="1"/>
  <c r="BS35" i="2" s="1"/>
  <c r="H36" i="2"/>
  <c r="I36" i="2"/>
  <c r="J36" i="2"/>
  <c r="K36" i="2"/>
  <c r="L36" i="2"/>
  <c r="M36" i="2"/>
  <c r="N36" i="2"/>
  <c r="O36" i="2"/>
  <c r="P36" i="2"/>
  <c r="Q36" i="2"/>
  <c r="R36" i="2"/>
  <c r="S36" i="2"/>
  <c r="T36" i="2"/>
  <c r="U36" i="2"/>
  <c r="V36" i="2"/>
  <c r="W36" i="2"/>
  <c r="X36" i="2"/>
  <c r="Y36" i="2"/>
  <c r="Z36" i="2"/>
  <c r="AA36" i="2"/>
  <c r="AB36" i="2"/>
  <c r="AC36" i="2"/>
  <c r="AD36" i="2"/>
  <c r="AE36" i="2"/>
  <c r="AF36" i="2"/>
  <c r="AG36" i="2"/>
  <c r="AH36" i="2"/>
  <c r="AI36" i="2"/>
  <c r="AJ36" i="2"/>
  <c r="AK36" i="2"/>
  <c r="AL36" i="2"/>
  <c r="AM36" i="2"/>
  <c r="AN36" i="2"/>
  <c r="AO36" i="2"/>
  <c r="AP36" i="2"/>
  <c r="AQ36" i="2"/>
  <c r="AR36" i="2"/>
  <c r="AS36" i="2"/>
  <c r="AT36" i="2"/>
  <c r="AU36" i="2"/>
  <c r="AV36" i="2"/>
  <c r="AW36" i="2"/>
  <c r="AX36" i="2"/>
  <c r="AY36" i="2"/>
  <c r="AZ36" i="2"/>
  <c r="BA36" i="2"/>
  <c r="BB36" i="2"/>
  <c r="BC36" i="2"/>
  <c r="BD36" i="2"/>
  <c r="BE36" i="2"/>
  <c r="BE48" i="2" s="1"/>
  <c r="BF36" i="2"/>
  <c r="BG36" i="2"/>
  <c r="BH36" i="2"/>
  <c r="BI36" i="2"/>
  <c r="BJ36" i="2"/>
  <c r="BK36" i="2"/>
  <c r="BL36" i="2"/>
  <c r="BM36" i="2"/>
  <c r="BN36" i="2"/>
  <c r="BO36" i="2"/>
  <c r="BP36" i="2"/>
  <c r="BQ36" i="2" s="1"/>
  <c r="BR36" i="2" s="1"/>
  <c r="BS36" i="2" s="1"/>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AI37" i="2"/>
  <c r="AJ37" i="2"/>
  <c r="AK37" i="2"/>
  <c r="AL37" i="2"/>
  <c r="AM37" i="2"/>
  <c r="AN37" i="2"/>
  <c r="AO37" i="2"/>
  <c r="AP37" i="2"/>
  <c r="AQ37" i="2"/>
  <c r="AR37" i="2"/>
  <c r="AS37" i="2"/>
  <c r="AT37" i="2"/>
  <c r="AU37" i="2"/>
  <c r="AV37" i="2"/>
  <c r="AW37" i="2"/>
  <c r="AX37" i="2"/>
  <c r="AY37" i="2"/>
  <c r="AZ37" i="2"/>
  <c r="BA37" i="2"/>
  <c r="BB37" i="2"/>
  <c r="BC37" i="2"/>
  <c r="BD37" i="2"/>
  <c r="BE37" i="2"/>
  <c r="BF37" i="2"/>
  <c r="BG37" i="2"/>
  <c r="BH37" i="2"/>
  <c r="BI37" i="2"/>
  <c r="BJ37" i="2"/>
  <c r="BK37" i="2"/>
  <c r="BL37" i="2"/>
  <c r="BM37" i="2"/>
  <c r="BN37" i="2"/>
  <c r="BO37" i="2"/>
  <c r="BP37" i="2"/>
  <c r="BQ37" i="2" s="1"/>
  <c r="BR37" i="2" s="1"/>
  <c r="BS37" i="2" s="1"/>
  <c r="H38" i="2"/>
  <c r="I38" i="2"/>
  <c r="J38" i="2"/>
  <c r="K38" i="2"/>
  <c r="L38" i="2"/>
  <c r="M38" i="2"/>
  <c r="N38" i="2"/>
  <c r="O38" i="2"/>
  <c r="P38" i="2"/>
  <c r="Q38" i="2"/>
  <c r="R38" i="2"/>
  <c r="S38" i="2"/>
  <c r="T38" i="2"/>
  <c r="U38" i="2"/>
  <c r="V38" i="2"/>
  <c r="W38" i="2"/>
  <c r="X38" i="2"/>
  <c r="Y38" i="2"/>
  <c r="Z38" i="2"/>
  <c r="AA38" i="2"/>
  <c r="AB38" i="2"/>
  <c r="AC38" i="2"/>
  <c r="AD38" i="2"/>
  <c r="AE38" i="2"/>
  <c r="AF38" i="2"/>
  <c r="AG38" i="2"/>
  <c r="AH38" i="2"/>
  <c r="AI38" i="2"/>
  <c r="AJ38" i="2"/>
  <c r="AK38" i="2"/>
  <c r="AL38" i="2"/>
  <c r="AM38" i="2"/>
  <c r="AN38" i="2"/>
  <c r="AO38" i="2"/>
  <c r="AP38" i="2"/>
  <c r="AQ38" i="2"/>
  <c r="AR38" i="2"/>
  <c r="AS38" i="2"/>
  <c r="AT38" i="2"/>
  <c r="AU38" i="2"/>
  <c r="AU48" i="2" s="1"/>
  <c r="AV38" i="2"/>
  <c r="AW38" i="2"/>
  <c r="AX38" i="2"/>
  <c r="AY38" i="2"/>
  <c r="AZ38" i="2"/>
  <c r="BA38" i="2"/>
  <c r="BB38" i="2"/>
  <c r="BC38" i="2"/>
  <c r="BD38" i="2"/>
  <c r="BE38" i="2"/>
  <c r="BF38" i="2"/>
  <c r="BG38" i="2"/>
  <c r="BH38" i="2"/>
  <c r="BI38" i="2"/>
  <c r="BJ38" i="2"/>
  <c r="BK38" i="2"/>
  <c r="BL38" i="2"/>
  <c r="BM38" i="2"/>
  <c r="BN38" i="2"/>
  <c r="BO38" i="2"/>
  <c r="BP38" i="2"/>
  <c r="BQ38" i="2" s="1"/>
  <c r="BR38" i="2" s="1"/>
  <c r="BS38" i="2" s="1"/>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AI39" i="2"/>
  <c r="AJ39" i="2"/>
  <c r="AK39" i="2"/>
  <c r="AL39" i="2"/>
  <c r="AM39" i="2"/>
  <c r="AN39" i="2"/>
  <c r="AO39" i="2"/>
  <c r="AP39" i="2"/>
  <c r="AP48" i="2" s="1"/>
  <c r="AQ39" i="2"/>
  <c r="AR39" i="2"/>
  <c r="AS39" i="2"/>
  <c r="AT39" i="2"/>
  <c r="AU39" i="2"/>
  <c r="AV39" i="2"/>
  <c r="AW39" i="2"/>
  <c r="AX39" i="2"/>
  <c r="AY39" i="2"/>
  <c r="AZ39" i="2"/>
  <c r="BA39" i="2"/>
  <c r="BB39" i="2"/>
  <c r="BC39" i="2"/>
  <c r="BD39" i="2"/>
  <c r="BE39" i="2"/>
  <c r="BF39" i="2"/>
  <c r="BG39" i="2"/>
  <c r="BH39" i="2"/>
  <c r="BI39" i="2"/>
  <c r="BJ39" i="2"/>
  <c r="BK39" i="2"/>
  <c r="BL39" i="2"/>
  <c r="BM39" i="2"/>
  <c r="BN39" i="2"/>
  <c r="BO39" i="2"/>
  <c r="BP39" i="2"/>
  <c r="BQ39" i="2" s="1"/>
  <c r="BR39" i="2" s="1"/>
  <c r="BS39" i="2" s="1"/>
  <c r="E40" i="2"/>
  <c r="F40" i="2"/>
  <c r="G40" i="2"/>
  <c r="H40" i="2"/>
  <c r="I40" i="2"/>
  <c r="J40" i="2"/>
  <c r="K40" i="2" s="1"/>
  <c r="L40" i="2"/>
  <c r="M40" i="2"/>
  <c r="N40" i="2"/>
  <c r="O40" i="2"/>
  <c r="P40" i="2"/>
  <c r="Q40" i="2"/>
  <c r="R40" i="2"/>
  <c r="S40" i="2"/>
  <c r="S49" i="2" s="1"/>
  <c r="S50" i="2" s="1"/>
  <c r="T40" i="2"/>
  <c r="U40" i="2"/>
  <c r="V40" i="2"/>
  <c r="W40" i="2"/>
  <c r="X40" i="2"/>
  <c r="Y40" i="2"/>
  <c r="Z40" i="2"/>
  <c r="AA40" i="2"/>
  <c r="AA49" i="2" s="1"/>
  <c r="AA50" i="2" s="1"/>
  <c r="AB40" i="2"/>
  <c r="AC40" i="2"/>
  <c r="AD40" i="2"/>
  <c r="AE40" i="2"/>
  <c r="AE49" i="2" s="1"/>
  <c r="AE50" i="2" s="1"/>
  <c r="AF40" i="2"/>
  <c r="AG40" i="2"/>
  <c r="AH40" i="2"/>
  <c r="AI40" i="2"/>
  <c r="AJ40" i="2"/>
  <c r="AK40" i="2"/>
  <c r="AL40" i="2"/>
  <c r="AM40" i="2"/>
  <c r="AM49" i="2" s="1"/>
  <c r="AM50" i="2" s="1"/>
  <c r="AN40" i="2"/>
  <c r="AO40" i="2"/>
  <c r="AP40" i="2"/>
  <c r="AQ40" i="2"/>
  <c r="AR40" i="2"/>
  <c r="AS40" i="2" s="1"/>
  <c r="AT40" i="2" s="1"/>
  <c r="AU40" i="2" s="1"/>
  <c r="AV40" i="2"/>
  <c r="AW40" i="2"/>
  <c r="AX40" i="2"/>
  <c r="AY40" i="2"/>
  <c r="AZ40" i="2"/>
  <c r="BA40" i="2"/>
  <c r="BB40" i="2"/>
  <c r="BB49" i="2" s="1"/>
  <c r="BB50" i="2" s="1"/>
  <c r="BC40" i="2"/>
  <c r="BD40" i="2"/>
  <c r="BE40" i="2"/>
  <c r="BF40" i="2"/>
  <c r="BG40" i="2"/>
  <c r="BH40" i="2"/>
  <c r="BI40" i="2"/>
  <c r="BJ40" i="2"/>
  <c r="BK40" i="2"/>
  <c r="BL40" i="2"/>
  <c r="BM40" i="2"/>
  <c r="BN40" i="2"/>
  <c r="BO40" i="2"/>
  <c r="BP40" i="2"/>
  <c r="BQ40" i="2" s="1"/>
  <c r="BR40" i="2" s="1"/>
  <c r="BS40" i="2" s="1"/>
  <c r="E41" i="2"/>
  <c r="F41" i="2"/>
  <c r="G41" i="2"/>
  <c r="H41" i="2"/>
  <c r="I41" i="2"/>
  <c r="J41" i="2"/>
  <c r="K41" i="2" s="1"/>
  <c r="L41" i="2"/>
  <c r="M41" i="2"/>
  <c r="N41" i="2"/>
  <c r="O41" i="2"/>
  <c r="P41" i="2"/>
  <c r="Q41" i="2"/>
  <c r="R41" i="2"/>
  <c r="R49" i="2" s="1"/>
  <c r="R50" i="2" s="1"/>
  <c r="S41" i="2"/>
  <c r="T41" i="2"/>
  <c r="U41" i="2"/>
  <c r="V41" i="2"/>
  <c r="W41" i="2"/>
  <c r="X41" i="2"/>
  <c r="Y41" i="2"/>
  <c r="Y49" i="2" s="1"/>
  <c r="Y50" i="2" s="1"/>
  <c r="Z41" i="2"/>
  <c r="AA41" i="2"/>
  <c r="AB41" i="2"/>
  <c r="AC41" i="2"/>
  <c r="AD41" i="2"/>
  <c r="AE41" i="2"/>
  <c r="AF41" i="2"/>
  <c r="AG41" i="2"/>
  <c r="AG49" i="2" s="1"/>
  <c r="AG50" i="2" s="1"/>
  <c r="AH41" i="2"/>
  <c r="AH49" i="2" s="1"/>
  <c r="AH50" i="2" s="1"/>
  <c r="AI41" i="2"/>
  <c r="AJ41" i="2"/>
  <c r="AJ49" i="2" s="1"/>
  <c r="AJ50" i="2" s="1"/>
  <c r="AK41" i="2"/>
  <c r="AL41" i="2"/>
  <c r="AL49" i="2" s="1"/>
  <c r="AL50" i="2" s="1"/>
  <c r="AM41" i="2"/>
  <c r="AN41" i="2"/>
  <c r="AO41" i="2"/>
  <c r="AP41" i="2"/>
  <c r="AQ41" i="2"/>
  <c r="AQ49" i="2" s="1"/>
  <c r="AQ50" i="2" s="1"/>
  <c r="AR41" i="2"/>
  <c r="AS41" i="2" s="1"/>
  <c r="AT41" i="2" s="1"/>
  <c r="AU41" i="2" s="1"/>
  <c r="AV41" i="2"/>
  <c r="AW41" i="2"/>
  <c r="AX41" i="2"/>
  <c r="AY41" i="2"/>
  <c r="AZ41" i="2"/>
  <c r="BA41" i="2"/>
  <c r="BB41" i="2"/>
  <c r="BC41" i="2"/>
  <c r="BD41" i="2"/>
  <c r="BE41" i="2"/>
  <c r="BF41" i="2"/>
  <c r="BG41" i="2"/>
  <c r="BH41" i="2"/>
  <c r="BI41" i="2"/>
  <c r="BJ41" i="2"/>
  <c r="BK41" i="2"/>
  <c r="BL41" i="2"/>
  <c r="BM41" i="2"/>
  <c r="BN41" i="2"/>
  <c r="BO41" i="2"/>
  <c r="BP41" i="2"/>
  <c r="BQ41" i="2" s="1"/>
  <c r="BR41" i="2" s="1"/>
  <c r="BS41" i="2" s="1"/>
  <c r="AP49" i="2"/>
  <c r="AP50" i="2" s="1"/>
  <c r="AW49" i="2"/>
  <c r="AW50" i="2" s="1"/>
  <c r="AD49" i="2"/>
  <c r="AD50" i="2" s="1"/>
  <c r="AK49" i="2"/>
  <c r="AK50" i="2" s="1"/>
  <c r="AO49" i="2"/>
  <c r="AO50" i="2" s="1"/>
  <c r="BH56" i="2"/>
  <c r="BM62" i="2"/>
  <c r="BL62" i="2"/>
  <c r="BK62" i="2"/>
  <c r="BJ62" i="2"/>
  <c r="BI62" i="2"/>
  <c r="BH62" i="2"/>
  <c r="BG62" i="2"/>
  <c r="BF62" i="2"/>
  <c r="BE62" i="2"/>
  <c r="BD62" i="2"/>
  <c r="BC62" i="2"/>
  <c r="BB62" i="2"/>
  <c r="BM56" i="2"/>
  <c r="BL56" i="2"/>
  <c r="BK56" i="2"/>
  <c r="BI56" i="2"/>
  <c r="BG56" i="2"/>
  <c r="BF56" i="2"/>
  <c r="BE56" i="2"/>
  <c r="BM55" i="2"/>
  <c r="BL55" i="2"/>
  <c r="BK55" i="2"/>
  <c r="BJ55" i="2"/>
  <c r="BI55" i="2"/>
  <c r="BH55" i="2"/>
  <c r="BG55" i="2"/>
  <c r="BF55" i="2"/>
  <c r="BE55" i="2"/>
  <c r="BD55" i="2"/>
  <c r="BC55" i="2"/>
  <c r="BB55" i="2"/>
  <c r="BK48" i="2"/>
  <c r="BF48" i="2"/>
  <c r="AP55" i="2"/>
  <c r="AQ55" i="2"/>
  <c r="AR55" i="2"/>
  <c r="AS55" i="2"/>
  <c r="AT55" i="2"/>
  <c r="AU55" i="2"/>
  <c r="AV55" i="2"/>
  <c r="AW55" i="2"/>
  <c r="AS56" i="2"/>
  <c r="AT56" i="2"/>
  <c r="AU56" i="2"/>
  <c r="AV56" i="2"/>
  <c r="AW56" i="2"/>
  <c r="BA62" i="2"/>
  <c r="AZ62" i="2"/>
  <c r="AY62" i="2"/>
  <c r="AX62" i="2"/>
  <c r="AW62" i="2"/>
  <c r="AV62" i="2"/>
  <c r="AU62" i="2"/>
  <c r="AT62" i="2"/>
  <c r="AS62" i="2"/>
  <c r="AR62" i="2"/>
  <c r="AQ62" i="2"/>
  <c r="AP62" i="2"/>
  <c r="BA56" i="2"/>
  <c r="AZ56" i="2"/>
  <c r="AY56" i="2"/>
  <c r="BA55" i="2"/>
  <c r="AZ55" i="2"/>
  <c r="AY55" i="2"/>
  <c r="AX55" i="2"/>
  <c r="AV49" i="2"/>
  <c r="AV50" i="2" s="1"/>
  <c r="BA48" i="2"/>
  <c r="AW48" i="2"/>
  <c r="AQ48" i="2"/>
  <c r="AO62" i="2"/>
  <c r="AN62" i="2"/>
  <c r="AM62" i="2"/>
  <c r="AL62" i="2"/>
  <c r="AK62" i="2"/>
  <c r="AJ62" i="2"/>
  <c r="AI62" i="2"/>
  <c r="AH62" i="2"/>
  <c r="AG62" i="2"/>
  <c r="AF62" i="2"/>
  <c r="AE62" i="2"/>
  <c r="AD62" i="2"/>
  <c r="AO56" i="2"/>
  <c r="AN56" i="2"/>
  <c r="AM56" i="2"/>
  <c r="AK56" i="2"/>
  <c r="AJ56" i="2"/>
  <c r="AI56" i="2"/>
  <c r="AH56" i="2"/>
  <c r="AG56" i="2"/>
  <c r="AO55" i="2"/>
  <c r="AN55" i="2"/>
  <c r="AM55" i="2"/>
  <c r="AL55" i="2"/>
  <c r="AK55" i="2"/>
  <c r="AJ55" i="2"/>
  <c r="AI55" i="2"/>
  <c r="AH55" i="2"/>
  <c r="AG55" i="2"/>
  <c r="AF55" i="2"/>
  <c r="AE55" i="2"/>
  <c r="AD55" i="2"/>
  <c r="AI49" i="2"/>
  <c r="AI50" i="2" s="1"/>
  <c r="AL48" i="2"/>
  <c r="AK48" i="2"/>
  <c r="AG48" i="2"/>
  <c r="AE48" i="2"/>
  <c r="AC62" i="2"/>
  <c r="AB62" i="2"/>
  <c r="AA62" i="2"/>
  <c r="Z62" i="2"/>
  <c r="Y62" i="2"/>
  <c r="X62" i="2"/>
  <c r="W62" i="2"/>
  <c r="V62" i="2"/>
  <c r="U62" i="2"/>
  <c r="T62" i="2"/>
  <c r="S62" i="2"/>
  <c r="R62" i="2"/>
  <c r="AC56" i="2"/>
  <c r="AB56" i="2"/>
  <c r="AA56" i="2"/>
  <c r="Y56" i="2"/>
  <c r="X56" i="2"/>
  <c r="W56" i="2"/>
  <c r="V56" i="2"/>
  <c r="U56" i="2"/>
  <c r="AC55" i="2"/>
  <c r="AB55" i="2"/>
  <c r="AA55" i="2"/>
  <c r="Z55" i="2"/>
  <c r="Y55" i="2"/>
  <c r="X55" i="2"/>
  <c r="W55" i="2"/>
  <c r="V55" i="2"/>
  <c r="U55" i="2"/>
  <c r="T55" i="2"/>
  <c r="S55" i="2"/>
  <c r="R55" i="2"/>
  <c r="Z49" i="2"/>
  <c r="Z50" i="2" s="1"/>
  <c r="V49" i="2"/>
  <c r="V50" i="2" s="1"/>
  <c r="BM49" i="2" l="1"/>
  <c r="BM50" i="2" s="1"/>
  <c r="AC49" i="2"/>
  <c r="AC50" i="2" s="1"/>
  <c r="BL49" i="2"/>
  <c r="BL50" i="2" s="1"/>
  <c r="AZ49" i="2"/>
  <c r="AZ50" i="2" s="1"/>
  <c r="AN49" i="2"/>
  <c r="AN50" i="2" s="1"/>
  <c r="AF49" i="2"/>
  <c r="AF50" i="2" s="1"/>
  <c r="T49" i="2"/>
  <c r="T50" i="2" s="1"/>
  <c r="BL48" i="2"/>
  <c r="BH48" i="2"/>
  <c r="BD48" i="2"/>
  <c r="AZ48" i="2"/>
  <c r="AV48" i="2"/>
  <c r="AV52" i="2" s="1"/>
  <c r="AV43" i="2" s="1"/>
  <c r="AR48" i="2"/>
  <c r="AN48" i="2"/>
  <c r="AJ48" i="2"/>
  <c r="AJ52" i="2" s="1"/>
  <c r="AJ43" i="2" s="1"/>
  <c r="AF48" i="2"/>
  <c r="BK49" i="2"/>
  <c r="BK50" i="2" s="1"/>
  <c r="BK52" i="2" s="1"/>
  <c r="BK43" i="2" s="1"/>
  <c r="BI49" i="2"/>
  <c r="BI50" i="2" s="1"/>
  <c r="BI52" i="2" s="1"/>
  <c r="BI43" i="2" s="1"/>
  <c r="BJ49" i="2"/>
  <c r="BJ50" i="2" s="1"/>
  <c r="BJ52" i="2" s="1"/>
  <c r="BJ43" i="2" s="1"/>
  <c r="BH49" i="2"/>
  <c r="BH50" i="2" s="1"/>
  <c r="BC49" i="2"/>
  <c r="BC50" i="2" s="1"/>
  <c r="BC52" i="2" s="1"/>
  <c r="BC43" i="2" s="1"/>
  <c r="BD49" i="2"/>
  <c r="BD50" i="2" s="1"/>
  <c r="BD52" i="2" s="1"/>
  <c r="BD43" i="2" s="1"/>
  <c r="BB52" i="2"/>
  <c r="BM52" i="2"/>
  <c r="BM43" i="2" s="1"/>
  <c r="AB48" i="2"/>
  <c r="AS49" i="2"/>
  <c r="AS50" i="2" s="1"/>
  <c r="AS52" i="2" s="1"/>
  <c r="AS43" i="2" s="1"/>
  <c r="AP52" i="2"/>
  <c r="AW52" i="2"/>
  <c r="AW43" i="2" s="1"/>
  <c r="AQ52" i="2"/>
  <c r="AQ43" i="2" s="1"/>
  <c r="AR49" i="2"/>
  <c r="AR50" i="2" s="1"/>
  <c r="AR52" i="2" s="1"/>
  <c r="AR43" i="2" s="1"/>
  <c r="BA49" i="2"/>
  <c r="BA50" i="2" s="1"/>
  <c r="BA52" i="2" s="1"/>
  <c r="BA43" i="2" s="1"/>
  <c r="AY49" i="2"/>
  <c r="AY50" i="2" s="1"/>
  <c r="AY52" i="2" s="1"/>
  <c r="AY43" i="2" s="1"/>
  <c r="AX49" i="2"/>
  <c r="AX50" i="2" s="1"/>
  <c r="AX52" i="2" s="1"/>
  <c r="AX43" i="2" s="1"/>
  <c r="AD52" i="2"/>
  <c r="AH52" i="2"/>
  <c r="AH43" i="2" s="1"/>
  <c r="AL52" i="2"/>
  <c r="AL43" i="2" s="1"/>
  <c r="AE52" i="2"/>
  <c r="AE43" i="2" s="1"/>
  <c r="AI52" i="2"/>
  <c r="AI43" i="2" s="1"/>
  <c r="AM52" i="2"/>
  <c r="AM43" i="2" s="1"/>
  <c r="AF52" i="2"/>
  <c r="AF43" i="2" s="1"/>
  <c r="AG52" i="2"/>
  <c r="AG43" i="2" s="1"/>
  <c r="AK52" i="2"/>
  <c r="AK43" i="2" s="1"/>
  <c r="AO52" i="2"/>
  <c r="AO43" i="2" s="1"/>
  <c r="X48" i="2"/>
  <c r="AA48" i="2"/>
  <c r="AA52" i="2" s="1"/>
  <c r="AA43" i="2" s="1"/>
  <c r="Z48" i="2"/>
  <c r="Z52" i="2" s="1"/>
  <c r="Z43" i="2" s="1"/>
  <c r="Y48" i="2"/>
  <c r="Y52" i="2" s="1"/>
  <c r="Y43" i="2" s="1"/>
  <c r="AC48" i="2"/>
  <c r="AC52" i="2" s="1"/>
  <c r="AC43" i="2" s="1"/>
  <c r="X49" i="2"/>
  <c r="X50" i="2" s="1"/>
  <c r="AB49" i="2"/>
  <c r="AB50" i="2" s="1"/>
  <c r="R48" i="2"/>
  <c r="R52" i="2" s="1"/>
  <c r="W48" i="2"/>
  <c r="T48" i="2"/>
  <c r="T52" i="2" s="1"/>
  <c r="T43" i="2" s="1"/>
  <c r="U48" i="2"/>
  <c r="V48" i="2"/>
  <c r="V52" i="2" s="1"/>
  <c r="V43" i="2" s="1"/>
  <c r="U49" i="2"/>
  <c r="U50" i="2" s="1"/>
  <c r="W49" i="2"/>
  <c r="W50" i="2" s="1"/>
  <c r="S48" i="2"/>
  <c r="S52" i="2" s="1"/>
  <c r="S43" i="2" s="1"/>
  <c r="E62" i="2"/>
  <c r="F62" i="2"/>
  <c r="G62" i="2"/>
  <c r="H62" i="2"/>
  <c r="I62" i="2"/>
  <c r="J62" i="2"/>
  <c r="K62" i="2"/>
  <c r="L62" i="2"/>
  <c r="M62" i="2"/>
  <c r="N62" i="2"/>
  <c r="O62" i="2"/>
  <c r="P62" i="2"/>
  <c r="Q62" i="2"/>
  <c r="BN62" i="2"/>
  <c r="BO62" i="2"/>
  <c r="BP62" i="2"/>
  <c r="BQ62" i="2"/>
  <c r="BR62" i="2"/>
  <c r="BS62" i="2"/>
  <c r="BT62" i="2"/>
  <c r="BU62" i="2"/>
  <c r="BV62" i="2"/>
  <c r="BW62" i="2"/>
  <c r="BX62" i="2"/>
  <c r="BY62" i="2"/>
  <c r="BZ62" i="2"/>
  <c r="CA62" i="2"/>
  <c r="CB62" i="2"/>
  <c r="CC62" i="2"/>
  <c r="CD62" i="2"/>
  <c r="CE62" i="2"/>
  <c r="CF62" i="2"/>
  <c r="CG62" i="2"/>
  <c r="CH62" i="2"/>
  <c r="CI62" i="2"/>
  <c r="CM62" i="2"/>
  <c r="CN62" i="2"/>
  <c r="CO62" i="2"/>
  <c r="CP62" i="2"/>
  <c r="CQ62" i="2"/>
  <c r="CR62" i="2"/>
  <c r="CS62" i="2"/>
  <c r="CT62" i="2"/>
  <c r="CU62" i="2"/>
  <c r="CV62" i="2"/>
  <c r="CW62" i="2"/>
  <c r="CX62" i="2"/>
  <c r="CY62" i="2"/>
  <c r="CZ62" i="2"/>
  <c r="DA62" i="2"/>
  <c r="DB62" i="2"/>
  <c r="DC62" i="2"/>
  <c r="DD62" i="2"/>
  <c r="DE62" i="2"/>
  <c r="DF62" i="2"/>
  <c r="DG62" i="2"/>
  <c r="DH62" i="2"/>
  <c r="DI62" i="2"/>
  <c r="DJ62" i="2"/>
  <c r="DK62" i="2"/>
  <c r="DL62" i="2"/>
  <c r="DM62" i="2"/>
  <c r="DN62" i="2"/>
  <c r="DO62" i="2"/>
  <c r="DP62" i="2"/>
  <c r="DQ62" i="2"/>
  <c r="DR62" i="2"/>
  <c r="DS62" i="2"/>
  <c r="DT62" i="2"/>
  <c r="DU62" i="2"/>
  <c r="DV62" i="2"/>
  <c r="DW62" i="2"/>
  <c r="DX62" i="2"/>
  <c r="DY62" i="2"/>
  <c r="DZ62" i="2"/>
  <c r="EA62" i="2"/>
  <c r="EB62" i="2"/>
  <c r="EC62" i="2"/>
  <c r="ED62" i="2"/>
  <c r="EE62" i="2"/>
  <c r="EF62" i="2"/>
  <c r="EG62" i="2"/>
  <c r="EH62" i="2"/>
  <c r="EI62" i="2"/>
  <c r="EJ62" i="2"/>
  <c r="EK62" i="2"/>
  <c r="EL62" i="2"/>
  <c r="EM62" i="2"/>
  <c r="EN62" i="2"/>
  <c r="EO62" i="2"/>
  <c r="EP62" i="2"/>
  <c r="EQ62" i="2"/>
  <c r="ER62" i="2"/>
  <c r="ES62" i="2"/>
  <c r="ET62" i="2"/>
  <c r="EU62" i="2"/>
  <c r="EV62" i="2"/>
  <c r="EW62" i="2"/>
  <c r="EX62" i="2"/>
  <c r="EY62" i="2"/>
  <c r="EZ62" i="2"/>
  <c r="FA62" i="2"/>
  <c r="FB62" i="2"/>
  <c r="FC62" i="2"/>
  <c r="FD62" i="2"/>
  <c r="FE62" i="2"/>
  <c r="FF62" i="2"/>
  <c r="FG62" i="2"/>
  <c r="FH62" i="2"/>
  <c r="FI62" i="2"/>
  <c r="FJ62" i="2"/>
  <c r="FK62" i="2"/>
  <c r="FL62" i="2"/>
  <c r="FM62" i="2"/>
  <c r="FN62" i="2"/>
  <c r="FO62" i="2"/>
  <c r="FP62" i="2"/>
  <c r="FQ62" i="2"/>
  <c r="FR62" i="2"/>
  <c r="FS62" i="2"/>
  <c r="FT62" i="2"/>
  <c r="FU62" i="2"/>
  <c r="FV62" i="2"/>
  <c r="FW62" i="2"/>
  <c r="FX62" i="2"/>
  <c r="FY62" i="2"/>
  <c r="FZ62" i="2"/>
  <c r="GA62" i="2"/>
  <c r="GB62" i="2"/>
  <c r="GC62" i="2"/>
  <c r="GD62" i="2"/>
  <c r="GE62" i="2"/>
  <c r="GF62" i="2"/>
  <c r="GG62" i="2"/>
  <c r="GH62" i="2"/>
  <c r="GI62" i="2"/>
  <c r="GJ62" i="2"/>
  <c r="GK62" i="2"/>
  <c r="GL62" i="2"/>
  <c r="GM62" i="2"/>
  <c r="GN62" i="2"/>
  <c r="GO62" i="2"/>
  <c r="GP62" i="2"/>
  <c r="GQ62" i="2"/>
  <c r="GR62" i="2"/>
  <c r="GS62" i="2"/>
  <c r="GT62" i="2"/>
  <c r="GU62" i="2"/>
  <c r="GV62" i="2"/>
  <c r="GW62" i="2"/>
  <c r="GX62" i="2"/>
  <c r="GY62" i="2"/>
  <c r="GZ62" i="2"/>
  <c r="HA62" i="2"/>
  <c r="HB62" i="2"/>
  <c r="HC62" i="2"/>
  <c r="HD62" i="2"/>
  <c r="HE62" i="2"/>
  <c r="HF62" i="2"/>
  <c r="HG62" i="2"/>
  <c r="HH62" i="2"/>
  <c r="HI62" i="2"/>
  <c r="HJ62" i="2"/>
  <c r="HK62" i="2"/>
  <c r="HL62" i="2"/>
  <c r="HM62" i="2"/>
  <c r="HN62" i="2"/>
  <c r="HO62" i="2"/>
  <c r="HP62" i="2"/>
  <c r="HQ62" i="2"/>
  <c r="HR62" i="2"/>
  <c r="HS62" i="2"/>
  <c r="HT62" i="2"/>
  <c r="HU62" i="2"/>
  <c r="HV62" i="2"/>
  <c r="HW62" i="2"/>
  <c r="HX62" i="2"/>
  <c r="HY62" i="2"/>
  <c r="HZ62" i="2"/>
  <c r="IA62" i="2"/>
  <c r="IB62" i="2"/>
  <c r="IC62" i="2"/>
  <c r="ID62" i="2"/>
  <c r="IE62" i="2"/>
  <c r="IF62" i="2"/>
  <c r="IG62" i="2"/>
  <c r="IH62" i="2"/>
  <c r="II62" i="2"/>
  <c r="IJ62" i="2"/>
  <c r="IK62" i="2"/>
  <c r="IL62" i="2"/>
  <c r="IM62" i="2"/>
  <c r="IN62" i="2"/>
  <c r="IO62" i="2"/>
  <c r="IP62" i="2"/>
  <c r="IQ62" i="2"/>
  <c r="IR62" i="2"/>
  <c r="IS62" i="2"/>
  <c r="IT62" i="2"/>
  <c r="IU62" i="2"/>
  <c r="IV62" i="2"/>
  <c r="IW62" i="2"/>
  <c r="IX62" i="2"/>
  <c r="IY62" i="2"/>
  <c r="IZ62" i="2"/>
  <c r="JA62" i="2"/>
  <c r="JB62" i="2"/>
  <c r="JC62" i="2"/>
  <c r="JD62" i="2"/>
  <c r="JE62" i="2"/>
  <c r="JF62" i="2"/>
  <c r="JG62" i="2"/>
  <c r="JH62" i="2"/>
  <c r="JI62" i="2"/>
  <c r="JJ62" i="2"/>
  <c r="JK62" i="2"/>
  <c r="JL62" i="2"/>
  <c r="JM62" i="2"/>
  <c r="JN62" i="2"/>
  <c r="JO62" i="2"/>
  <c r="JP62" i="2"/>
  <c r="JQ62" i="2"/>
  <c r="JR62" i="2"/>
  <c r="JS62" i="2"/>
  <c r="JT62" i="2"/>
  <c r="JU62" i="2"/>
  <c r="JV62" i="2"/>
  <c r="JW62" i="2"/>
  <c r="JX62" i="2"/>
  <c r="JY62" i="2"/>
  <c r="JZ62" i="2"/>
  <c r="KA62" i="2"/>
  <c r="KB62" i="2"/>
  <c r="KC62" i="2"/>
  <c r="KD62" i="2"/>
  <c r="KE62" i="2"/>
  <c r="KF62" i="2"/>
  <c r="KG62" i="2"/>
  <c r="KH62" i="2"/>
  <c r="KI62" i="2"/>
  <c r="KJ62" i="2"/>
  <c r="KK62" i="2"/>
  <c r="KL62" i="2"/>
  <c r="KM62" i="2"/>
  <c r="KN62" i="2"/>
  <c r="KO62" i="2"/>
  <c r="KP62" i="2"/>
  <c r="KQ62" i="2"/>
  <c r="KR62" i="2"/>
  <c r="KS62" i="2"/>
  <c r="KT62" i="2"/>
  <c r="KU62" i="2"/>
  <c r="KV62" i="2"/>
  <c r="KW62" i="2"/>
  <c r="KX62" i="2"/>
  <c r="KY62" i="2"/>
  <c r="KZ62" i="2"/>
  <c r="LA62" i="2"/>
  <c r="LB62" i="2"/>
  <c r="LC62" i="2"/>
  <c r="LD62" i="2"/>
  <c r="LE62" i="2"/>
  <c r="LF62" i="2"/>
  <c r="LG62" i="2"/>
  <c r="LH62" i="2"/>
  <c r="LI62" i="2"/>
  <c r="LJ62" i="2"/>
  <c r="LK62" i="2"/>
  <c r="LL62" i="2"/>
  <c r="LM62" i="2"/>
  <c r="LN62" i="2"/>
  <c r="LO62" i="2"/>
  <c r="LP62" i="2"/>
  <c r="LQ62" i="2"/>
  <c r="LR62" i="2"/>
  <c r="LS62" i="2"/>
  <c r="LT62" i="2"/>
  <c r="LU62" i="2"/>
  <c r="LV62" i="2"/>
  <c r="LW62" i="2"/>
  <c r="LX62" i="2"/>
  <c r="LY62" i="2"/>
  <c r="LZ62" i="2"/>
  <c r="MA62" i="2"/>
  <c r="MB62" i="2"/>
  <c r="MC62" i="2"/>
  <c r="MD62" i="2"/>
  <c r="ME62" i="2"/>
  <c r="MF62" i="2"/>
  <c r="MG62" i="2"/>
  <c r="MH62" i="2"/>
  <c r="MI62" i="2"/>
  <c r="MJ62" i="2"/>
  <c r="MK62" i="2"/>
  <c r="ML62" i="2"/>
  <c r="D62" i="2"/>
  <c r="AZ52" i="2" l="1"/>
  <c r="AZ43" i="2" s="1"/>
  <c r="AN52" i="2"/>
  <c r="AN43" i="2" s="1"/>
  <c r="BL52" i="2"/>
  <c r="BL58" i="2" s="1"/>
  <c r="BL43" i="2"/>
  <c r="AD58" i="2"/>
  <c r="AD43" i="2"/>
  <c r="AP58" i="2"/>
  <c r="AP29" i="2" s="1"/>
  <c r="AP43" i="2"/>
  <c r="BB58" i="2"/>
  <c r="BB29" i="2" s="1"/>
  <c r="BB43" i="2"/>
  <c r="BH52" i="2"/>
  <c r="BH43" i="2" s="1"/>
  <c r="R58" i="2"/>
  <c r="R29" i="2" s="1"/>
  <c r="R43" i="2"/>
  <c r="AS58" i="2"/>
  <c r="AQ58" i="2"/>
  <c r="AW58" i="2"/>
  <c r="AD29" i="2"/>
  <c r="AR58" i="2"/>
  <c r="AV58" i="2"/>
  <c r="BJ58" i="2"/>
  <c r="BE49" i="2"/>
  <c r="BE50" i="2" s="1"/>
  <c r="BE52" i="2" s="1"/>
  <c r="BE43" i="2" s="1"/>
  <c r="BM58" i="2"/>
  <c r="BD58" i="2"/>
  <c r="BI58" i="2"/>
  <c r="BC58" i="2"/>
  <c r="BK58" i="2"/>
  <c r="AB52" i="2"/>
  <c r="AB43" i="2" s="1"/>
  <c r="AU49" i="2"/>
  <c r="AU50" i="2" s="1"/>
  <c r="AU52" i="2" s="1"/>
  <c r="AU43" i="2" s="1"/>
  <c r="AT49" i="2"/>
  <c r="AT50" i="2" s="1"/>
  <c r="AT52" i="2" s="1"/>
  <c r="AT43" i="2" s="1"/>
  <c r="AY58" i="2"/>
  <c r="BA58" i="2"/>
  <c r="AX58" i="2"/>
  <c r="X52" i="2"/>
  <c r="X43" i="2" s="1"/>
  <c r="AH58" i="2"/>
  <c r="AO58" i="2"/>
  <c r="AJ58" i="2"/>
  <c r="AE58" i="2"/>
  <c r="AK58" i="2"/>
  <c r="AF58" i="2"/>
  <c r="AL58" i="2"/>
  <c r="AG58" i="2"/>
  <c r="AM58" i="2"/>
  <c r="AN58" i="2"/>
  <c r="AI58" i="2"/>
  <c r="U52" i="2"/>
  <c r="U43" i="2" s="1"/>
  <c r="W52" i="2"/>
  <c r="W43" i="2" s="1"/>
  <c r="S58" i="2"/>
  <c r="T58" i="2"/>
  <c r="Z58" i="2"/>
  <c r="AA58" i="2"/>
  <c r="V58" i="2"/>
  <c r="AC58" i="2"/>
  <c r="Y58" i="2"/>
  <c r="IQ55" i="2"/>
  <c r="IR55" i="2"/>
  <c r="IS55" i="2"/>
  <c r="IT55" i="2"/>
  <c r="IU55" i="2"/>
  <c r="IV55" i="2"/>
  <c r="IW55" i="2"/>
  <c r="IQ56" i="2"/>
  <c r="IT56" i="2"/>
  <c r="IU56" i="2"/>
  <c r="IV56" i="2"/>
  <c r="IT32" i="2"/>
  <c r="IU32" i="2"/>
  <c r="IV32" i="2"/>
  <c r="IT33" i="2"/>
  <c r="IT34" i="2"/>
  <c r="IT35" i="2"/>
  <c r="IT36" i="2"/>
  <c r="IT37" i="2"/>
  <c r="IT38" i="2"/>
  <c r="IT39" i="2"/>
  <c r="AZ58" i="2" l="1"/>
  <c r="BL28" i="2"/>
  <c r="BL29" i="2"/>
  <c r="BH58" i="2"/>
  <c r="BH29" i="2" s="1"/>
  <c r="T29" i="2"/>
  <c r="AT58" i="2"/>
  <c r="S29" i="2"/>
  <c r="AU58" i="2"/>
  <c r="BI29" i="2"/>
  <c r="AA29" i="2"/>
  <c r="AA28" i="2"/>
  <c r="AM29" i="2"/>
  <c r="AM28" i="2"/>
  <c r="AK29" i="2"/>
  <c r="AH29" i="2"/>
  <c r="AH28" i="2"/>
  <c r="AZ29" i="2"/>
  <c r="AZ28" i="2"/>
  <c r="AB58" i="2"/>
  <c r="BJ29" i="2"/>
  <c r="AR29" i="2"/>
  <c r="AQ29" i="2"/>
  <c r="AS28" i="2"/>
  <c r="AS29" i="2"/>
  <c r="Y29" i="2"/>
  <c r="Z29" i="2"/>
  <c r="AG28" i="2"/>
  <c r="AG29" i="2"/>
  <c r="AE29" i="2"/>
  <c r="X58" i="2"/>
  <c r="AY29" i="2"/>
  <c r="AY28" i="2"/>
  <c r="BK29" i="2"/>
  <c r="BK28" i="2"/>
  <c r="BM28" i="2"/>
  <c r="BM29" i="2"/>
  <c r="AV29" i="2"/>
  <c r="AW29" i="2"/>
  <c r="AJ29" i="2"/>
  <c r="BA28" i="2"/>
  <c r="BB28" i="2" s="1"/>
  <c r="BC28" i="2" s="1"/>
  <c r="BD28" i="2" s="1"/>
  <c r="BA29" i="2"/>
  <c r="AC28" i="2"/>
  <c r="AD28" i="2" s="1"/>
  <c r="AE28" i="2" s="1"/>
  <c r="AF28" i="2" s="1"/>
  <c r="AC29" i="2"/>
  <c r="AI29" i="2"/>
  <c r="AI28" i="2"/>
  <c r="AJ28" i="2" s="1"/>
  <c r="AK28" i="2" s="1"/>
  <c r="AL28" i="2" s="1"/>
  <c r="AL29" i="2"/>
  <c r="AX29" i="2"/>
  <c r="BC29" i="2"/>
  <c r="V29" i="2"/>
  <c r="V28" i="2"/>
  <c r="AN29" i="2"/>
  <c r="AN28" i="2"/>
  <c r="AF29" i="2"/>
  <c r="AO28" i="2"/>
  <c r="AP28" i="2" s="1"/>
  <c r="AQ28" i="2" s="1"/>
  <c r="AR28" i="2" s="1"/>
  <c r="AO29" i="2"/>
  <c r="BD29" i="2"/>
  <c r="BG49" i="2"/>
  <c r="BG50" i="2" s="1"/>
  <c r="BG52" i="2" s="1"/>
  <c r="BG43" i="2" s="1"/>
  <c r="BF49" i="2"/>
  <c r="BF50" i="2" s="1"/>
  <c r="BF52" i="2" s="1"/>
  <c r="BF43" i="2" s="1"/>
  <c r="BE58" i="2"/>
  <c r="IT48" i="2"/>
  <c r="W58" i="2"/>
  <c r="U58" i="2"/>
  <c r="ML56" i="2"/>
  <c r="MK56" i="2"/>
  <c r="MJ56" i="2"/>
  <c r="MF56" i="2"/>
  <c r="ME56" i="2"/>
  <c r="MD56" i="2"/>
  <c r="MC56" i="2"/>
  <c r="MB56" i="2"/>
  <c r="LX56" i="2"/>
  <c r="LW56" i="2"/>
  <c r="LV56" i="2"/>
  <c r="LU56" i="2"/>
  <c r="LT56" i="2"/>
  <c r="LP56" i="2"/>
  <c r="LO56" i="2"/>
  <c r="LN56" i="2"/>
  <c r="LM56" i="2"/>
  <c r="LL56" i="2"/>
  <c r="LH56" i="2"/>
  <c r="LG56" i="2"/>
  <c r="LF56" i="2"/>
  <c r="LE56" i="2"/>
  <c r="LD56" i="2"/>
  <c r="KZ56" i="2"/>
  <c r="KY56" i="2"/>
  <c r="KX56" i="2"/>
  <c r="KW56" i="2"/>
  <c r="KV56" i="2"/>
  <c r="KR56" i="2"/>
  <c r="KQ56" i="2"/>
  <c r="KP56" i="2"/>
  <c r="KO56" i="2"/>
  <c r="KN56" i="2"/>
  <c r="KJ56" i="2"/>
  <c r="KI56" i="2"/>
  <c r="KH56" i="2"/>
  <c r="KG56" i="2"/>
  <c r="KF56" i="2"/>
  <c r="KB56" i="2"/>
  <c r="KA56" i="2"/>
  <c r="ML55" i="2"/>
  <c r="MK55" i="2"/>
  <c r="MJ55" i="2"/>
  <c r="MI55" i="2"/>
  <c r="MH55" i="2"/>
  <c r="MG55" i="2"/>
  <c r="MF55" i="2"/>
  <c r="ME55" i="2"/>
  <c r="MD55" i="2"/>
  <c r="MC55" i="2"/>
  <c r="MB55" i="2"/>
  <c r="MA55" i="2"/>
  <c r="LZ55" i="2"/>
  <c r="LY55" i="2"/>
  <c r="LX55" i="2"/>
  <c r="LW55" i="2"/>
  <c r="LV55" i="2"/>
  <c r="LU55" i="2"/>
  <c r="LT55" i="2"/>
  <c r="LS55" i="2"/>
  <c r="LR55" i="2"/>
  <c r="LQ55" i="2"/>
  <c r="LP55" i="2"/>
  <c r="LO55" i="2"/>
  <c r="LN55" i="2"/>
  <c r="LM55" i="2"/>
  <c r="LL55" i="2"/>
  <c r="LK55" i="2"/>
  <c r="LJ55" i="2"/>
  <c r="LI55" i="2"/>
  <c r="LH55" i="2"/>
  <c r="LG55" i="2"/>
  <c r="LF55" i="2"/>
  <c r="LE55" i="2"/>
  <c r="LD55" i="2"/>
  <c r="LC55" i="2"/>
  <c r="LB55" i="2"/>
  <c r="LA55" i="2"/>
  <c r="KZ55" i="2"/>
  <c r="KY55" i="2"/>
  <c r="KX55" i="2"/>
  <c r="KW55" i="2"/>
  <c r="KV55" i="2"/>
  <c r="KU55" i="2"/>
  <c r="KT55" i="2"/>
  <c r="KS55" i="2"/>
  <c r="KR55" i="2"/>
  <c r="KQ55" i="2"/>
  <c r="KP55" i="2"/>
  <c r="KO55" i="2"/>
  <c r="KN55" i="2"/>
  <c r="KM55" i="2"/>
  <c r="KL55" i="2"/>
  <c r="KK55" i="2"/>
  <c r="KJ55" i="2"/>
  <c r="KI55" i="2"/>
  <c r="KH55" i="2"/>
  <c r="KG55" i="2"/>
  <c r="KF55" i="2"/>
  <c r="KE55" i="2"/>
  <c r="KD55" i="2"/>
  <c r="KC55" i="2"/>
  <c r="KB55" i="2"/>
  <c r="KA55" i="2"/>
  <c r="MK41" i="2"/>
  <c r="ML41" i="2" s="1"/>
  <c r="MJ41" i="2"/>
  <c r="MF41" i="2"/>
  <c r="MG41" i="2" s="1"/>
  <c r="MH41" i="2" s="1"/>
  <c r="MI41" i="2" s="1"/>
  <c r="ME41" i="2"/>
  <c r="MC41" i="2"/>
  <c r="MD41" i="2" s="1"/>
  <c r="MB41" i="2"/>
  <c r="LX41" i="2"/>
  <c r="LY41" i="2" s="1"/>
  <c r="LZ41" i="2" s="1"/>
  <c r="MA41" i="2" s="1"/>
  <c r="LW41" i="2"/>
  <c r="LU41" i="2"/>
  <c r="LV41" i="2" s="1"/>
  <c r="LT41" i="2"/>
  <c r="LP41" i="2"/>
  <c r="LQ41" i="2" s="1"/>
  <c r="LR41" i="2" s="1"/>
  <c r="LS41" i="2" s="1"/>
  <c r="LO41" i="2"/>
  <c r="LM41" i="2"/>
  <c r="LN41" i="2" s="1"/>
  <c r="LL41" i="2"/>
  <c r="LH41" i="2"/>
  <c r="LI41" i="2" s="1"/>
  <c r="LJ41" i="2" s="1"/>
  <c r="LK41" i="2" s="1"/>
  <c r="LG41" i="2"/>
  <c r="LE41" i="2"/>
  <c r="LF41" i="2" s="1"/>
  <c r="LD41" i="2"/>
  <c r="KZ41" i="2"/>
  <c r="LA41" i="2" s="1"/>
  <c r="LB41" i="2" s="1"/>
  <c r="LC41" i="2" s="1"/>
  <c r="KY41" i="2"/>
  <c r="KW41" i="2"/>
  <c r="KX41" i="2" s="1"/>
  <c r="KV41" i="2"/>
  <c r="KR41" i="2"/>
  <c r="KS41" i="2" s="1"/>
  <c r="KT41" i="2" s="1"/>
  <c r="KU41" i="2" s="1"/>
  <c r="KQ41" i="2"/>
  <c r="KO41" i="2"/>
  <c r="KP41" i="2" s="1"/>
  <c r="KN41" i="2"/>
  <c r="KJ41" i="2"/>
  <c r="KK41" i="2" s="1"/>
  <c r="KL41" i="2" s="1"/>
  <c r="KM41" i="2" s="1"/>
  <c r="KI41" i="2"/>
  <c r="KG41" i="2"/>
  <c r="KH41" i="2" s="1"/>
  <c r="KF41" i="2"/>
  <c r="KB41" i="2"/>
  <c r="KC41" i="2" s="1"/>
  <c r="KD41" i="2" s="1"/>
  <c r="KE41" i="2" s="1"/>
  <c r="KA41" i="2"/>
  <c r="MK40" i="2"/>
  <c r="MK49" i="2" s="1"/>
  <c r="MK50" i="2" s="1"/>
  <c r="MJ40" i="2"/>
  <c r="MF40" i="2"/>
  <c r="MF49" i="2" s="1"/>
  <c r="MF50" i="2" s="1"/>
  <c r="ME40" i="2"/>
  <c r="MC40" i="2"/>
  <c r="MC49" i="2" s="1"/>
  <c r="MC50" i="2" s="1"/>
  <c r="MB40" i="2"/>
  <c r="LX40" i="2"/>
  <c r="LX49" i="2" s="1"/>
  <c r="LX50" i="2" s="1"/>
  <c r="LW40" i="2"/>
  <c r="LU40" i="2"/>
  <c r="LV40" i="2" s="1"/>
  <c r="LT40" i="2"/>
  <c r="LT49" i="2" s="1"/>
  <c r="LT50" i="2" s="1"/>
  <c r="LP40" i="2"/>
  <c r="LO40" i="2"/>
  <c r="LM40" i="2"/>
  <c r="LL40" i="2"/>
  <c r="LL49" i="2" s="1"/>
  <c r="LL50" i="2" s="1"/>
  <c r="LH40" i="2"/>
  <c r="LG40" i="2"/>
  <c r="LE40" i="2"/>
  <c r="LD40" i="2"/>
  <c r="LD49" i="2" s="1"/>
  <c r="LD50" i="2" s="1"/>
  <c r="KZ40" i="2"/>
  <c r="KY40" i="2"/>
  <c r="KW40" i="2"/>
  <c r="KV40" i="2"/>
  <c r="KV49" i="2" s="1"/>
  <c r="KV50" i="2" s="1"/>
  <c r="KR40" i="2"/>
  <c r="KQ40" i="2"/>
  <c r="KO40" i="2"/>
  <c r="KN40" i="2"/>
  <c r="KN49" i="2" s="1"/>
  <c r="KN50" i="2" s="1"/>
  <c r="KJ40" i="2"/>
  <c r="KI40" i="2"/>
  <c r="KG40" i="2"/>
  <c r="KF40" i="2"/>
  <c r="KF49" i="2" s="1"/>
  <c r="KF50" i="2" s="1"/>
  <c r="KB40" i="2"/>
  <c r="KA40" i="2"/>
  <c r="MK39" i="2"/>
  <c r="ML39" i="2" s="1"/>
  <c r="MJ39" i="2"/>
  <c r="MF39" i="2"/>
  <c r="MG39" i="2" s="1"/>
  <c r="MH39" i="2" s="1"/>
  <c r="MI39" i="2" s="1"/>
  <c r="ME39" i="2"/>
  <c r="MC39" i="2"/>
  <c r="MD39" i="2" s="1"/>
  <c r="MB39" i="2"/>
  <c r="LX39" i="2"/>
  <c r="LY39" i="2" s="1"/>
  <c r="LZ39" i="2" s="1"/>
  <c r="MA39" i="2" s="1"/>
  <c r="LW39" i="2"/>
  <c r="LU39" i="2"/>
  <c r="LV39" i="2" s="1"/>
  <c r="LT39" i="2"/>
  <c r="LP39" i="2"/>
  <c r="LQ39" i="2" s="1"/>
  <c r="LR39" i="2" s="1"/>
  <c r="LS39" i="2" s="1"/>
  <c r="LO39" i="2"/>
  <c r="LM39" i="2"/>
  <c r="LN39" i="2" s="1"/>
  <c r="LL39" i="2"/>
  <c r="LH39" i="2"/>
  <c r="LI39" i="2" s="1"/>
  <c r="LJ39" i="2" s="1"/>
  <c r="LK39" i="2" s="1"/>
  <c r="LG39" i="2"/>
  <c r="LE39" i="2"/>
  <c r="LF39" i="2" s="1"/>
  <c r="LD39" i="2"/>
  <c r="KZ39" i="2"/>
  <c r="LA39" i="2" s="1"/>
  <c r="LB39" i="2" s="1"/>
  <c r="LC39" i="2" s="1"/>
  <c r="KY39" i="2"/>
  <c r="KW39" i="2"/>
  <c r="KX39" i="2" s="1"/>
  <c r="KV39" i="2"/>
  <c r="KR39" i="2"/>
  <c r="KS39" i="2" s="1"/>
  <c r="KT39" i="2" s="1"/>
  <c r="KU39" i="2" s="1"/>
  <c r="KQ39" i="2"/>
  <c r="KO39" i="2"/>
  <c r="KP39" i="2" s="1"/>
  <c r="KN39" i="2"/>
  <c r="KJ39" i="2"/>
  <c r="KK39" i="2" s="1"/>
  <c r="KL39" i="2" s="1"/>
  <c r="KM39" i="2" s="1"/>
  <c r="KI39" i="2"/>
  <c r="KG39" i="2"/>
  <c r="KH39" i="2" s="1"/>
  <c r="KF39" i="2"/>
  <c r="KB39" i="2"/>
  <c r="KC39" i="2" s="1"/>
  <c r="KD39" i="2" s="1"/>
  <c r="KE39" i="2" s="1"/>
  <c r="KA39" i="2"/>
  <c r="MK38" i="2"/>
  <c r="ML38" i="2" s="1"/>
  <c r="MJ38" i="2"/>
  <c r="MF38" i="2"/>
  <c r="MG38" i="2" s="1"/>
  <c r="MH38" i="2" s="1"/>
  <c r="MI38" i="2" s="1"/>
  <c r="ME38" i="2"/>
  <c r="MC38" i="2"/>
  <c r="MD38" i="2" s="1"/>
  <c r="MB38" i="2"/>
  <c r="LX38" i="2"/>
  <c r="LY38" i="2" s="1"/>
  <c r="LZ38" i="2" s="1"/>
  <c r="MA38" i="2" s="1"/>
  <c r="LW38" i="2"/>
  <c r="LU38" i="2"/>
  <c r="LV38" i="2" s="1"/>
  <c r="LT38" i="2"/>
  <c r="LP38" i="2"/>
  <c r="LQ38" i="2" s="1"/>
  <c r="LR38" i="2" s="1"/>
  <c r="LS38" i="2" s="1"/>
  <c r="LO38" i="2"/>
  <c r="LM38" i="2"/>
  <c r="LN38" i="2" s="1"/>
  <c r="LL38" i="2"/>
  <c r="LH38" i="2"/>
  <c r="LI38" i="2" s="1"/>
  <c r="LJ38" i="2" s="1"/>
  <c r="LK38" i="2" s="1"/>
  <c r="LG38" i="2"/>
  <c r="LE38" i="2"/>
  <c r="LF38" i="2" s="1"/>
  <c r="LD38" i="2"/>
  <c r="KZ38" i="2"/>
  <c r="LA38" i="2" s="1"/>
  <c r="LB38" i="2" s="1"/>
  <c r="LC38" i="2" s="1"/>
  <c r="KY38" i="2"/>
  <c r="KW38" i="2"/>
  <c r="KX38" i="2" s="1"/>
  <c r="KV38" i="2"/>
  <c r="KR38" i="2"/>
  <c r="KS38" i="2" s="1"/>
  <c r="KT38" i="2" s="1"/>
  <c r="KU38" i="2" s="1"/>
  <c r="KQ38" i="2"/>
  <c r="KO38" i="2"/>
  <c r="KP38" i="2" s="1"/>
  <c r="KN38" i="2"/>
  <c r="KJ38" i="2"/>
  <c r="KK38" i="2" s="1"/>
  <c r="KL38" i="2" s="1"/>
  <c r="KM38" i="2" s="1"/>
  <c r="KI38" i="2"/>
  <c r="KG38" i="2"/>
  <c r="KH38" i="2" s="1"/>
  <c r="KF38" i="2"/>
  <c r="KB38" i="2"/>
  <c r="KC38" i="2" s="1"/>
  <c r="KD38" i="2" s="1"/>
  <c r="KE38" i="2" s="1"/>
  <c r="KA38" i="2"/>
  <c r="MK37" i="2"/>
  <c r="ML37" i="2" s="1"/>
  <c r="MJ37" i="2"/>
  <c r="MF37" i="2"/>
  <c r="MG37" i="2" s="1"/>
  <c r="MH37" i="2" s="1"/>
  <c r="MI37" i="2" s="1"/>
  <c r="ME37" i="2"/>
  <c r="MC37" i="2"/>
  <c r="MD37" i="2" s="1"/>
  <c r="MB37" i="2"/>
  <c r="LX37" i="2"/>
  <c r="LY37" i="2" s="1"/>
  <c r="LZ37" i="2" s="1"/>
  <c r="MA37" i="2" s="1"/>
  <c r="LW37" i="2"/>
  <c r="LU37" i="2"/>
  <c r="LV37" i="2" s="1"/>
  <c r="LT37" i="2"/>
  <c r="LP37" i="2"/>
  <c r="LQ37" i="2" s="1"/>
  <c r="LR37" i="2" s="1"/>
  <c r="LS37" i="2" s="1"/>
  <c r="LO37" i="2"/>
  <c r="LM37" i="2"/>
  <c r="LN37" i="2" s="1"/>
  <c r="LL37" i="2"/>
  <c r="LH37" i="2"/>
  <c r="LI37" i="2" s="1"/>
  <c r="LJ37" i="2" s="1"/>
  <c r="LK37" i="2" s="1"/>
  <c r="LG37" i="2"/>
  <c r="LE37" i="2"/>
  <c r="LF37" i="2" s="1"/>
  <c r="LD37" i="2"/>
  <c r="KZ37" i="2"/>
  <c r="LA37" i="2" s="1"/>
  <c r="LB37" i="2" s="1"/>
  <c r="LC37" i="2" s="1"/>
  <c r="KY37" i="2"/>
  <c r="KW37" i="2"/>
  <c r="KX37" i="2" s="1"/>
  <c r="KV37" i="2"/>
  <c r="KR37" i="2"/>
  <c r="KS37" i="2" s="1"/>
  <c r="KT37" i="2" s="1"/>
  <c r="KU37" i="2" s="1"/>
  <c r="KQ37" i="2"/>
  <c r="KO37" i="2"/>
  <c r="KP37" i="2" s="1"/>
  <c r="KN37" i="2"/>
  <c r="KJ37" i="2"/>
  <c r="KK37" i="2" s="1"/>
  <c r="KL37" i="2" s="1"/>
  <c r="KM37" i="2" s="1"/>
  <c r="KI37" i="2"/>
  <c r="KG37" i="2"/>
  <c r="KH37" i="2" s="1"/>
  <c r="KF37" i="2"/>
  <c r="KB37" i="2"/>
  <c r="KC37" i="2" s="1"/>
  <c r="KD37" i="2" s="1"/>
  <c r="KE37" i="2" s="1"/>
  <c r="KA37" i="2"/>
  <c r="MK36" i="2"/>
  <c r="ML36" i="2" s="1"/>
  <c r="MJ36" i="2"/>
  <c r="MF36" i="2"/>
  <c r="MG36" i="2" s="1"/>
  <c r="MH36" i="2" s="1"/>
  <c r="MI36" i="2" s="1"/>
  <c r="ME36" i="2"/>
  <c r="MC36" i="2"/>
  <c r="MD36" i="2" s="1"/>
  <c r="MB36" i="2"/>
  <c r="LX36" i="2"/>
  <c r="LY36" i="2" s="1"/>
  <c r="LZ36" i="2" s="1"/>
  <c r="MA36" i="2" s="1"/>
  <c r="LW36" i="2"/>
  <c r="LU36" i="2"/>
  <c r="LV36" i="2" s="1"/>
  <c r="LT36" i="2"/>
  <c r="LP36" i="2"/>
  <c r="LQ36" i="2" s="1"/>
  <c r="LR36" i="2" s="1"/>
  <c r="LS36" i="2" s="1"/>
  <c r="LO36" i="2"/>
  <c r="LM36" i="2"/>
  <c r="LN36" i="2" s="1"/>
  <c r="LL36" i="2"/>
  <c r="LH36" i="2"/>
  <c r="LI36" i="2" s="1"/>
  <c r="LJ36" i="2" s="1"/>
  <c r="LK36" i="2" s="1"/>
  <c r="LG36" i="2"/>
  <c r="LE36" i="2"/>
  <c r="LF36" i="2" s="1"/>
  <c r="LD36" i="2"/>
  <c r="KZ36" i="2"/>
  <c r="LA36" i="2" s="1"/>
  <c r="LB36" i="2" s="1"/>
  <c r="LC36" i="2" s="1"/>
  <c r="KY36" i="2"/>
  <c r="KW36" i="2"/>
  <c r="KX36" i="2" s="1"/>
  <c r="KV36" i="2"/>
  <c r="KR36" i="2"/>
  <c r="KS36" i="2" s="1"/>
  <c r="KT36" i="2" s="1"/>
  <c r="KU36" i="2" s="1"/>
  <c r="KQ36" i="2"/>
  <c r="KO36" i="2"/>
  <c r="KP36" i="2" s="1"/>
  <c r="KN36" i="2"/>
  <c r="KJ36" i="2"/>
  <c r="KK36" i="2" s="1"/>
  <c r="KL36" i="2" s="1"/>
  <c r="KM36" i="2" s="1"/>
  <c r="KI36" i="2"/>
  <c r="KG36" i="2"/>
  <c r="KH36" i="2" s="1"/>
  <c r="KF36" i="2"/>
  <c r="KB36" i="2"/>
  <c r="KC36" i="2" s="1"/>
  <c r="KD36" i="2" s="1"/>
  <c r="KE36" i="2" s="1"/>
  <c r="KA36" i="2"/>
  <c r="MK35" i="2"/>
  <c r="ML35" i="2" s="1"/>
  <c r="MJ35" i="2"/>
  <c r="MF35" i="2"/>
  <c r="MG35" i="2" s="1"/>
  <c r="MH35" i="2" s="1"/>
  <c r="MI35" i="2" s="1"/>
  <c r="ME35" i="2"/>
  <c r="MC35" i="2"/>
  <c r="MD35" i="2" s="1"/>
  <c r="MB35" i="2"/>
  <c r="LX35" i="2"/>
  <c r="LY35" i="2" s="1"/>
  <c r="LZ35" i="2" s="1"/>
  <c r="MA35" i="2" s="1"/>
  <c r="LW35" i="2"/>
  <c r="LU35" i="2"/>
  <c r="LV35" i="2" s="1"/>
  <c r="LT35" i="2"/>
  <c r="LP35" i="2"/>
  <c r="LQ35" i="2" s="1"/>
  <c r="LR35" i="2" s="1"/>
  <c r="LS35" i="2" s="1"/>
  <c r="LO35" i="2"/>
  <c r="LM35" i="2"/>
  <c r="LN35" i="2" s="1"/>
  <c r="LL35" i="2"/>
  <c r="LH35" i="2"/>
  <c r="LI35" i="2" s="1"/>
  <c r="LJ35" i="2" s="1"/>
  <c r="LK35" i="2" s="1"/>
  <c r="LG35" i="2"/>
  <c r="LE35" i="2"/>
  <c r="LF35" i="2" s="1"/>
  <c r="LD35" i="2"/>
  <c r="KZ35" i="2"/>
  <c r="LA35" i="2" s="1"/>
  <c r="LB35" i="2" s="1"/>
  <c r="LC35" i="2" s="1"/>
  <c r="KY35" i="2"/>
  <c r="KW35" i="2"/>
  <c r="KX35" i="2" s="1"/>
  <c r="KV35" i="2"/>
  <c r="KR35" i="2"/>
  <c r="KS35" i="2" s="1"/>
  <c r="KT35" i="2" s="1"/>
  <c r="KU35" i="2" s="1"/>
  <c r="KQ35" i="2"/>
  <c r="KO35" i="2"/>
  <c r="KP35" i="2" s="1"/>
  <c r="KN35" i="2"/>
  <c r="KJ35" i="2"/>
  <c r="KK35" i="2" s="1"/>
  <c r="KL35" i="2" s="1"/>
  <c r="KM35" i="2" s="1"/>
  <c r="KI35" i="2"/>
  <c r="KG35" i="2"/>
  <c r="KH35" i="2" s="1"/>
  <c r="KF35" i="2"/>
  <c r="KB35" i="2"/>
  <c r="KC35" i="2" s="1"/>
  <c r="KD35" i="2" s="1"/>
  <c r="KE35" i="2" s="1"/>
  <c r="KA35" i="2"/>
  <c r="MK34" i="2"/>
  <c r="ML34" i="2" s="1"/>
  <c r="MJ34" i="2"/>
  <c r="MF34" i="2"/>
  <c r="MG34" i="2" s="1"/>
  <c r="MH34" i="2" s="1"/>
  <c r="MI34" i="2" s="1"/>
  <c r="ME34" i="2"/>
  <c r="MC34" i="2"/>
  <c r="MD34" i="2" s="1"/>
  <c r="MB34" i="2"/>
  <c r="LX34" i="2"/>
  <c r="LY34" i="2" s="1"/>
  <c r="LZ34" i="2" s="1"/>
  <c r="MA34" i="2" s="1"/>
  <c r="LW34" i="2"/>
  <c r="LU34" i="2"/>
  <c r="LV34" i="2" s="1"/>
  <c r="LT34" i="2"/>
  <c r="LP34" i="2"/>
  <c r="LQ34" i="2" s="1"/>
  <c r="LR34" i="2" s="1"/>
  <c r="LS34" i="2" s="1"/>
  <c r="LO34" i="2"/>
  <c r="LM34" i="2"/>
  <c r="LN34" i="2" s="1"/>
  <c r="LL34" i="2"/>
  <c r="LH34" i="2"/>
  <c r="LI34" i="2" s="1"/>
  <c r="LJ34" i="2" s="1"/>
  <c r="LK34" i="2" s="1"/>
  <c r="LG34" i="2"/>
  <c r="LE34" i="2"/>
  <c r="LF34" i="2" s="1"/>
  <c r="LD34" i="2"/>
  <c r="KZ34" i="2"/>
  <c r="LA34" i="2" s="1"/>
  <c r="LB34" i="2" s="1"/>
  <c r="LC34" i="2" s="1"/>
  <c r="KY34" i="2"/>
  <c r="KW34" i="2"/>
  <c r="KX34" i="2" s="1"/>
  <c r="KV34" i="2"/>
  <c r="KR34" i="2"/>
  <c r="KS34" i="2" s="1"/>
  <c r="KT34" i="2" s="1"/>
  <c r="KU34" i="2" s="1"/>
  <c r="KQ34" i="2"/>
  <c r="KO34" i="2"/>
  <c r="KP34" i="2" s="1"/>
  <c r="KN34" i="2"/>
  <c r="KJ34" i="2"/>
  <c r="KK34" i="2" s="1"/>
  <c r="KL34" i="2" s="1"/>
  <c r="KM34" i="2" s="1"/>
  <c r="KI34" i="2"/>
  <c r="KG34" i="2"/>
  <c r="KH34" i="2" s="1"/>
  <c r="KF34" i="2"/>
  <c r="KB34" i="2"/>
  <c r="KC34" i="2" s="1"/>
  <c r="KD34" i="2" s="1"/>
  <c r="KE34" i="2" s="1"/>
  <c r="KA34" i="2"/>
  <c r="MK33" i="2"/>
  <c r="ML33" i="2" s="1"/>
  <c r="MJ33" i="2"/>
  <c r="MF33" i="2"/>
  <c r="MG33" i="2" s="1"/>
  <c r="MH33" i="2" s="1"/>
  <c r="MI33" i="2" s="1"/>
  <c r="ME33" i="2"/>
  <c r="MC33" i="2"/>
  <c r="MD33" i="2" s="1"/>
  <c r="MB33" i="2"/>
  <c r="LX33" i="2"/>
  <c r="LY33" i="2" s="1"/>
  <c r="LZ33" i="2" s="1"/>
  <c r="MA33" i="2" s="1"/>
  <c r="LW33" i="2"/>
  <c r="LU33" i="2"/>
  <c r="LV33" i="2" s="1"/>
  <c r="LT33" i="2"/>
  <c r="LP33" i="2"/>
  <c r="LQ33" i="2" s="1"/>
  <c r="LR33" i="2" s="1"/>
  <c r="LS33" i="2" s="1"/>
  <c r="LO33" i="2"/>
  <c r="LM33" i="2"/>
  <c r="LN33" i="2" s="1"/>
  <c r="LL33" i="2"/>
  <c r="LH33" i="2"/>
  <c r="LI33" i="2" s="1"/>
  <c r="LJ33" i="2" s="1"/>
  <c r="LK33" i="2" s="1"/>
  <c r="LG33" i="2"/>
  <c r="LE33" i="2"/>
  <c r="LF33" i="2" s="1"/>
  <c r="LD33" i="2"/>
  <c r="KZ33" i="2"/>
  <c r="LA33" i="2" s="1"/>
  <c r="LB33" i="2" s="1"/>
  <c r="LC33" i="2" s="1"/>
  <c r="KY33" i="2"/>
  <c r="KW33" i="2"/>
  <c r="KX33" i="2" s="1"/>
  <c r="KV33" i="2"/>
  <c r="KR33" i="2"/>
  <c r="KS33" i="2" s="1"/>
  <c r="KT33" i="2" s="1"/>
  <c r="KU33" i="2" s="1"/>
  <c r="KQ33" i="2"/>
  <c r="KO33" i="2"/>
  <c r="KP33" i="2" s="1"/>
  <c r="KN33" i="2"/>
  <c r="KJ33" i="2"/>
  <c r="KK33" i="2" s="1"/>
  <c r="KL33" i="2" s="1"/>
  <c r="KM33" i="2" s="1"/>
  <c r="KI33" i="2"/>
  <c r="KG33" i="2"/>
  <c r="KH33" i="2" s="1"/>
  <c r="KF33" i="2"/>
  <c r="KB33" i="2"/>
  <c r="KC33" i="2" s="1"/>
  <c r="KD33" i="2" s="1"/>
  <c r="KE33" i="2" s="1"/>
  <c r="KA33" i="2"/>
  <c r="MK32" i="2"/>
  <c r="MK48" i="2" s="1"/>
  <c r="MJ32" i="2"/>
  <c r="MF32" i="2"/>
  <c r="MF48" i="2" s="1"/>
  <c r="ME32" i="2"/>
  <c r="MC32" i="2"/>
  <c r="MC48" i="2" s="1"/>
  <c r="MB32" i="2"/>
  <c r="LX32" i="2"/>
  <c r="LX48" i="2" s="1"/>
  <c r="LW32" i="2"/>
  <c r="LU32" i="2"/>
  <c r="LU48" i="2" s="1"/>
  <c r="LT32" i="2"/>
  <c r="LP32" i="2"/>
  <c r="LP48" i="2" s="1"/>
  <c r="LO32" i="2"/>
  <c r="LM32" i="2"/>
  <c r="LM48" i="2" s="1"/>
  <c r="LL32" i="2"/>
  <c r="LH32" i="2"/>
  <c r="LH48" i="2" s="1"/>
  <c r="LG32" i="2"/>
  <c r="LE32" i="2"/>
  <c r="LE48" i="2" s="1"/>
  <c r="LD32" i="2"/>
  <c r="KZ32" i="2"/>
  <c r="KZ48" i="2" s="1"/>
  <c r="KY32" i="2"/>
  <c r="KW32" i="2"/>
  <c r="KW48" i="2" s="1"/>
  <c r="KV32" i="2"/>
  <c r="KR32" i="2"/>
  <c r="KQ32" i="2"/>
  <c r="KO32" i="2"/>
  <c r="KO48" i="2" s="1"/>
  <c r="KN32" i="2"/>
  <c r="KJ32" i="2"/>
  <c r="KI32" i="2"/>
  <c r="KG32" i="2"/>
  <c r="KG48" i="2" s="1"/>
  <c r="KF32" i="2"/>
  <c r="KB32" i="2"/>
  <c r="KA32" i="2"/>
  <c r="X29" i="2" l="1"/>
  <c r="W29" i="2"/>
  <c r="W28" i="2"/>
  <c r="X28" i="2" s="1"/>
  <c r="Y28" i="2" s="1"/>
  <c r="Z28" i="2" s="1"/>
  <c r="BE28" i="2"/>
  <c r="BE29" i="2"/>
  <c r="AB29" i="2"/>
  <c r="AB28" i="2"/>
  <c r="AU29" i="2"/>
  <c r="AU28" i="2"/>
  <c r="AV28" i="2" s="1"/>
  <c r="AW28" i="2" s="1"/>
  <c r="AX28" i="2" s="1"/>
  <c r="AT29" i="2"/>
  <c r="AT28" i="2"/>
  <c r="U28" i="2"/>
  <c r="U29" i="2"/>
  <c r="BF58" i="2"/>
  <c r="BG58" i="2"/>
  <c r="KQ49" i="2"/>
  <c r="KQ50" i="2" s="1"/>
  <c r="KY49" i="2"/>
  <c r="KY50" i="2" s="1"/>
  <c r="LG49" i="2"/>
  <c r="LG50" i="2" s="1"/>
  <c r="LO49" i="2"/>
  <c r="LO50" i="2" s="1"/>
  <c r="KG49" i="2"/>
  <c r="KG50" i="2" s="1"/>
  <c r="KO49" i="2"/>
  <c r="KO50" i="2" s="1"/>
  <c r="KO52" i="2" s="1"/>
  <c r="LV49" i="2"/>
  <c r="LV50" i="2" s="1"/>
  <c r="LW49" i="2"/>
  <c r="LW50" i="2" s="1"/>
  <c r="ME49" i="2"/>
  <c r="ME50" i="2" s="1"/>
  <c r="LT48" i="2"/>
  <c r="LT52" i="2" s="1"/>
  <c r="KA48" i="2"/>
  <c r="LG48" i="2"/>
  <c r="KF48" i="2"/>
  <c r="KF52" i="2" s="1"/>
  <c r="KN48" i="2"/>
  <c r="KN52" i="2" s="1"/>
  <c r="KV48" i="2"/>
  <c r="KV52" i="2" s="1"/>
  <c r="LD48" i="2"/>
  <c r="LD52" i="2" s="1"/>
  <c r="LL48" i="2"/>
  <c r="LL52" i="2" s="1"/>
  <c r="MB48" i="2"/>
  <c r="MJ48" i="2"/>
  <c r="KA49" i="2"/>
  <c r="KA50" i="2" s="1"/>
  <c r="KI49" i="2"/>
  <c r="KI50" i="2" s="1"/>
  <c r="KP40" i="2"/>
  <c r="KP49" i="2" s="1"/>
  <c r="KP50" i="2" s="1"/>
  <c r="KW49" i="2"/>
  <c r="KW50" i="2" s="1"/>
  <c r="KW52" i="2" s="1"/>
  <c r="LE49" i="2"/>
  <c r="LE50" i="2" s="1"/>
  <c r="LE52" i="2" s="1"/>
  <c r="LM49" i="2"/>
  <c r="LM50" i="2" s="1"/>
  <c r="LM52" i="2" s="1"/>
  <c r="LU49" i="2"/>
  <c r="LU50" i="2" s="1"/>
  <c r="LU52" i="2" s="1"/>
  <c r="MB49" i="2"/>
  <c r="MB50" i="2" s="1"/>
  <c r="MB52" i="2" s="1"/>
  <c r="MJ49" i="2"/>
  <c r="MJ50" i="2" s="1"/>
  <c r="KX40" i="2"/>
  <c r="KX49" i="2" s="1"/>
  <c r="KX50" i="2" s="1"/>
  <c r="MD40" i="2"/>
  <c r="MD49" i="2" s="1"/>
  <c r="MD50" i="2" s="1"/>
  <c r="LF40" i="2"/>
  <c r="LF49" i="2" s="1"/>
  <c r="LF50" i="2" s="1"/>
  <c r="ML40" i="2"/>
  <c r="ML49" i="2" s="1"/>
  <c r="ML50" i="2" s="1"/>
  <c r="KH40" i="2"/>
  <c r="KH49" i="2" s="1"/>
  <c r="KH50" i="2" s="1"/>
  <c r="LN40" i="2"/>
  <c r="LN49" i="2" s="1"/>
  <c r="LN50" i="2" s="1"/>
  <c r="KJ48" i="2"/>
  <c r="KK32" i="2"/>
  <c r="KR48" i="2"/>
  <c r="KS32" i="2"/>
  <c r="KB48" i="2"/>
  <c r="KC32" i="2"/>
  <c r="KB49" i="2"/>
  <c r="KB50" i="2" s="1"/>
  <c r="KC40" i="2"/>
  <c r="KZ49" i="2"/>
  <c r="KZ50" i="2" s="1"/>
  <c r="KZ52" i="2" s="1"/>
  <c r="LA40" i="2"/>
  <c r="KG52" i="2"/>
  <c r="LA32" i="2"/>
  <c r="LQ32" i="2"/>
  <c r="KH32" i="2"/>
  <c r="KH48" i="2" s="1"/>
  <c r="KP32" i="2"/>
  <c r="KP48" i="2" s="1"/>
  <c r="KX32" i="2"/>
  <c r="KX48" i="2" s="1"/>
  <c r="LF32" i="2"/>
  <c r="LF48" i="2" s="1"/>
  <c r="LN32" i="2"/>
  <c r="LN48" i="2" s="1"/>
  <c r="LV32" i="2"/>
  <c r="LV48" i="2" s="1"/>
  <c r="MD32" i="2"/>
  <c r="MD48" i="2" s="1"/>
  <c r="ML32" i="2"/>
  <c r="ML48" i="2" s="1"/>
  <c r="KI48" i="2"/>
  <c r="KQ48" i="2"/>
  <c r="KY48" i="2"/>
  <c r="LO48" i="2"/>
  <c r="LO52" i="2" s="1"/>
  <c r="LW48" i="2"/>
  <c r="ME48" i="2"/>
  <c r="LH49" i="2"/>
  <c r="LH50" i="2" s="1"/>
  <c r="LH52" i="2" s="1"/>
  <c r="LI40" i="2"/>
  <c r="KJ49" i="2"/>
  <c r="KJ50" i="2" s="1"/>
  <c r="KK40" i="2"/>
  <c r="LP49" i="2"/>
  <c r="LP50" i="2" s="1"/>
  <c r="LP52" i="2" s="1"/>
  <c r="LQ40" i="2"/>
  <c r="MC52" i="2"/>
  <c r="LI32" i="2"/>
  <c r="LY32" i="2"/>
  <c r="MG32" i="2"/>
  <c r="KR49" i="2"/>
  <c r="KR50" i="2" s="1"/>
  <c r="KS40" i="2"/>
  <c r="MK52" i="2"/>
  <c r="LX52" i="2"/>
  <c r="MF52" i="2"/>
  <c r="LY40" i="2"/>
  <c r="MG40" i="2"/>
  <c r="JZ56" i="2"/>
  <c r="JY56" i="2"/>
  <c r="JX56" i="2"/>
  <c r="JT56" i="2"/>
  <c r="JS56" i="2"/>
  <c r="JR56" i="2"/>
  <c r="JQ56" i="2"/>
  <c r="JP56" i="2"/>
  <c r="JL56" i="2"/>
  <c r="JK56" i="2"/>
  <c r="JJ56" i="2"/>
  <c r="JI56" i="2"/>
  <c r="JH56" i="2"/>
  <c r="JD56" i="2"/>
  <c r="JC56" i="2"/>
  <c r="JB56" i="2"/>
  <c r="JA56" i="2"/>
  <c r="IZ56" i="2"/>
  <c r="IY56" i="2"/>
  <c r="IX56" i="2"/>
  <c r="IP56" i="2"/>
  <c r="IO56" i="2"/>
  <c r="IN56" i="2"/>
  <c r="IM56" i="2"/>
  <c r="IL56" i="2"/>
  <c r="IK56" i="2"/>
  <c r="IJ56" i="2"/>
  <c r="II56" i="2"/>
  <c r="IH56" i="2"/>
  <c r="IG56" i="2"/>
  <c r="IF56" i="2"/>
  <c r="IC56" i="2"/>
  <c r="IB56" i="2"/>
  <c r="IA56" i="2"/>
  <c r="HZ56" i="2"/>
  <c r="HW56" i="2"/>
  <c r="HV56" i="2"/>
  <c r="HU56" i="2"/>
  <c r="HT56" i="2"/>
  <c r="HQ56" i="2"/>
  <c r="HP56" i="2"/>
  <c r="HO56" i="2"/>
  <c r="HN56" i="2"/>
  <c r="JZ55" i="2"/>
  <c r="JY55" i="2"/>
  <c r="JX55" i="2"/>
  <c r="JW55" i="2"/>
  <c r="JV55" i="2"/>
  <c r="JU55" i="2"/>
  <c r="JT55" i="2"/>
  <c r="JS55" i="2"/>
  <c r="JR55" i="2"/>
  <c r="JQ55" i="2"/>
  <c r="JP55" i="2"/>
  <c r="JO55" i="2"/>
  <c r="JN55" i="2"/>
  <c r="JM55" i="2"/>
  <c r="JL55" i="2"/>
  <c r="JK55" i="2"/>
  <c r="JJ55" i="2"/>
  <c r="JI55" i="2"/>
  <c r="JH55" i="2"/>
  <c r="JG55" i="2"/>
  <c r="JF55" i="2"/>
  <c r="JE55" i="2"/>
  <c r="JD55" i="2"/>
  <c r="JC55" i="2"/>
  <c r="JB55" i="2"/>
  <c r="JA55" i="2"/>
  <c r="IY55" i="2"/>
  <c r="IX55" i="2"/>
  <c r="IP55" i="2"/>
  <c r="IM55" i="2"/>
  <c r="IK55" i="2"/>
  <c r="IJ55" i="2"/>
  <c r="II55" i="2"/>
  <c r="IH55" i="2"/>
  <c r="IG55" i="2"/>
  <c r="IF55" i="2"/>
  <c r="IE55" i="2"/>
  <c r="ID55" i="2"/>
  <c r="IC55" i="2"/>
  <c r="IB55" i="2"/>
  <c r="IA55" i="2"/>
  <c r="HZ55" i="2"/>
  <c r="HY55" i="2"/>
  <c r="HX55" i="2"/>
  <c r="HW55" i="2"/>
  <c r="HV55" i="2"/>
  <c r="HU55" i="2"/>
  <c r="HT55" i="2"/>
  <c r="HS55" i="2"/>
  <c r="HR55" i="2"/>
  <c r="HQ55" i="2"/>
  <c r="HP55" i="2"/>
  <c r="HO55" i="2"/>
  <c r="HN55" i="2"/>
  <c r="II48" i="2"/>
  <c r="JY41" i="2"/>
  <c r="JZ41" i="2" s="1"/>
  <c r="JX41" i="2"/>
  <c r="JT41" i="2"/>
  <c r="JU41" i="2" s="1"/>
  <c r="JV41" i="2" s="1"/>
  <c r="JW41" i="2" s="1"/>
  <c r="JS41" i="2"/>
  <c r="JQ41" i="2"/>
  <c r="JR41" i="2" s="1"/>
  <c r="JP41" i="2"/>
  <c r="JL41" i="2"/>
  <c r="JM41" i="2" s="1"/>
  <c r="JN41" i="2" s="1"/>
  <c r="JO41" i="2" s="1"/>
  <c r="JK41" i="2"/>
  <c r="JI41" i="2"/>
  <c r="JJ41" i="2" s="1"/>
  <c r="JH41" i="2"/>
  <c r="JD41" i="2"/>
  <c r="JE41" i="2" s="1"/>
  <c r="JF41" i="2" s="1"/>
  <c r="JG41" i="2" s="1"/>
  <c r="JC41" i="2"/>
  <c r="JB41" i="2"/>
  <c r="IY41" i="2"/>
  <c r="IZ41" i="2" s="1"/>
  <c r="JA41" i="2" s="1"/>
  <c r="IX41" i="2"/>
  <c r="IW41" i="2"/>
  <c r="IV41" i="2"/>
  <c r="IU41" i="2"/>
  <c r="IT41" i="2"/>
  <c r="IS41" i="2"/>
  <c r="IR41" i="2"/>
  <c r="IQ41" i="2"/>
  <c r="IP41" i="2"/>
  <c r="IO41" i="2"/>
  <c r="IN41" i="2"/>
  <c r="IM41" i="2"/>
  <c r="IL41" i="2"/>
  <c r="IK41" i="2"/>
  <c r="IJ41" i="2"/>
  <c r="II41" i="2"/>
  <c r="IH41" i="2"/>
  <c r="IG41" i="2"/>
  <c r="IF41" i="2"/>
  <c r="IB41" i="2"/>
  <c r="IC41" i="2" s="1"/>
  <c r="ID41" i="2" s="1"/>
  <c r="IE41" i="2" s="1"/>
  <c r="IA41" i="2"/>
  <c r="HZ41" i="2"/>
  <c r="HV41" i="2"/>
  <c r="HW41" i="2" s="1"/>
  <c r="HX41" i="2" s="1"/>
  <c r="HY41" i="2" s="1"/>
  <c r="HU41" i="2"/>
  <c r="HT41" i="2"/>
  <c r="HP41" i="2"/>
  <c r="HQ41" i="2" s="1"/>
  <c r="HR41" i="2" s="1"/>
  <c r="HS41" i="2" s="1"/>
  <c r="HO41" i="2"/>
  <c r="HN41" i="2"/>
  <c r="JY40" i="2"/>
  <c r="JX40" i="2"/>
  <c r="JT40" i="2"/>
  <c r="JS40" i="2"/>
  <c r="JQ40" i="2"/>
  <c r="JP40" i="2"/>
  <c r="JL40" i="2"/>
  <c r="JM40" i="2" s="1"/>
  <c r="JK40" i="2"/>
  <c r="JI40" i="2"/>
  <c r="JH40" i="2"/>
  <c r="JD40" i="2"/>
  <c r="JC40" i="2"/>
  <c r="JB40" i="2"/>
  <c r="IY40" i="2"/>
  <c r="IZ40" i="2" s="1"/>
  <c r="JA40" i="2" s="1"/>
  <c r="IX40" i="2"/>
  <c r="IW40" i="2"/>
  <c r="IV40" i="2"/>
  <c r="IU40" i="2"/>
  <c r="IT40" i="2"/>
  <c r="IS40" i="2"/>
  <c r="IR40" i="2"/>
  <c r="IQ40" i="2"/>
  <c r="IP40" i="2"/>
  <c r="IO40" i="2"/>
  <c r="IN40" i="2"/>
  <c r="IM40" i="2"/>
  <c r="IL40" i="2"/>
  <c r="IK40" i="2"/>
  <c r="IJ40" i="2"/>
  <c r="II40" i="2"/>
  <c r="IH40" i="2"/>
  <c r="IG40" i="2"/>
  <c r="IF40" i="2"/>
  <c r="IB40" i="2"/>
  <c r="IC40" i="2" s="1"/>
  <c r="ID40" i="2" s="1"/>
  <c r="IA40" i="2"/>
  <c r="HZ40" i="2"/>
  <c r="HV40" i="2"/>
  <c r="HU40" i="2"/>
  <c r="HT40" i="2"/>
  <c r="HP40" i="2"/>
  <c r="HO40" i="2"/>
  <c r="HN40" i="2"/>
  <c r="JY39" i="2"/>
  <c r="JZ39" i="2" s="1"/>
  <c r="JX39" i="2"/>
  <c r="JT39" i="2"/>
  <c r="JU39" i="2" s="1"/>
  <c r="JV39" i="2" s="1"/>
  <c r="JW39" i="2" s="1"/>
  <c r="JS39" i="2"/>
  <c r="JQ39" i="2"/>
  <c r="JR39" i="2" s="1"/>
  <c r="JP39" i="2"/>
  <c r="JL39" i="2"/>
  <c r="JM39" i="2" s="1"/>
  <c r="JN39" i="2" s="1"/>
  <c r="JO39" i="2" s="1"/>
  <c r="JK39" i="2"/>
  <c r="JI39" i="2"/>
  <c r="JJ39" i="2" s="1"/>
  <c r="JH39" i="2"/>
  <c r="JC39" i="2"/>
  <c r="JD39" i="2" s="1"/>
  <c r="JE39" i="2" s="1"/>
  <c r="JF39" i="2" s="1"/>
  <c r="JG39" i="2" s="1"/>
  <c r="JB39" i="2"/>
  <c r="JA39" i="2"/>
  <c r="IZ39" i="2"/>
  <c r="IY39" i="2"/>
  <c r="IX39" i="2"/>
  <c r="IW39" i="2"/>
  <c r="IV39" i="2"/>
  <c r="IU39" i="2"/>
  <c r="IP39" i="2"/>
  <c r="IQ39" i="2" s="1"/>
  <c r="IR39" i="2" s="1"/>
  <c r="IS39" i="2" s="1"/>
  <c r="IO39" i="2"/>
  <c r="IN39" i="2"/>
  <c r="IL39" i="2"/>
  <c r="IM39" i="2" s="1"/>
  <c r="IJ39" i="2"/>
  <c r="IK39" i="2" s="1"/>
  <c r="IH39" i="2"/>
  <c r="IG39" i="2"/>
  <c r="IF39" i="2"/>
  <c r="IB39" i="2"/>
  <c r="IC39" i="2" s="1"/>
  <c r="ID39" i="2" s="1"/>
  <c r="IE39" i="2" s="1"/>
  <c r="IA39" i="2"/>
  <c r="HZ39" i="2"/>
  <c r="HV39" i="2"/>
  <c r="HW39" i="2" s="1"/>
  <c r="HX39" i="2" s="1"/>
  <c r="HY39" i="2" s="1"/>
  <c r="HU39" i="2"/>
  <c r="HT39" i="2"/>
  <c r="HP39" i="2"/>
  <c r="HQ39" i="2" s="1"/>
  <c r="HR39" i="2" s="1"/>
  <c r="HS39" i="2" s="1"/>
  <c r="HO39" i="2"/>
  <c r="HN39" i="2"/>
  <c r="JY38" i="2"/>
  <c r="JZ38" i="2" s="1"/>
  <c r="JX38" i="2"/>
  <c r="JT38" i="2"/>
  <c r="JU38" i="2" s="1"/>
  <c r="JV38" i="2" s="1"/>
  <c r="JW38" i="2" s="1"/>
  <c r="JS38" i="2"/>
  <c r="JQ38" i="2"/>
  <c r="JR38" i="2" s="1"/>
  <c r="JP38" i="2"/>
  <c r="JL38" i="2"/>
  <c r="JM38" i="2" s="1"/>
  <c r="JN38" i="2" s="1"/>
  <c r="JO38" i="2" s="1"/>
  <c r="JK38" i="2"/>
  <c r="JI38" i="2"/>
  <c r="JJ38" i="2" s="1"/>
  <c r="JH38" i="2"/>
  <c r="JC38" i="2"/>
  <c r="JD38" i="2" s="1"/>
  <c r="JE38" i="2" s="1"/>
  <c r="JF38" i="2" s="1"/>
  <c r="JG38" i="2" s="1"/>
  <c r="JB38" i="2"/>
  <c r="JA38" i="2"/>
  <c r="IZ38" i="2"/>
  <c r="IY38" i="2"/>
  <c r="IX38" i="2"/>
  <c r="IW38" i="2"/>
  <c r="IV38" i="2"/>
  <c r="IU38" i="2"/>
  <c r="IP38" i="2"/>
  <c r="IQ38" i="2" s="1"/>
  <c r="IR38" i="2" s="1"/>
  <c r="IS38" i="2" s="1"/>
  <c r="IO38" i="2"/>
  <c r="IN38" i="2"/>
  <c r="IL38" i="2"/>
  <c r="IM38" i="2" s="1"/>
  <c r="IJ38" i="2"/>
  <c r="IK38" i="2" s="1"/>
  <c r="IH38" i="2"/>
  <c r="IG38" i="2"/>
  <c r="IF38" i="2"/>
  <c r="IB38" i="2"/>
  <c r="IC38" i="2" s="1"/>
  <c r="ID38" i="2" s="1"/>
  <c r="IE38" i="2" s="1"/>
  <c r="IA38" i="2"/>
  <c r="HZ38" i="2"/>
  <c r="HV38" i="2"/>
  <c r="HW38" i="2" s="1"/>
  <c r="HX38" i="2" s="1"/>
  <c r="HY38" i="2" s="1"/>
  <c r="HU38" i="2"/>
  <c r="HT38" i="2"/>
  <c r="HP38" i="2"/>
  <c r="HQ38" i="2" s="1"/>
  <c r="HR38" i="2" s="1"/>
  <c r="HS38" i="2" s="1"/>
  <c r="HO38" i="2"/>
  <c r="HN38" i="2"/>
  <c r="JY37" i="2"/>
  <c r="JZ37" i="2" s="1"/>
  <c r="JX37" i="2"/>
  <c r="JT37" i="2"/>
  <c r="JU37" i="2" s="1"/>
  <c r="JV37" i="2" s="1"/>
  <c r="JW37" i="2" s="1"/>
  <c r="JS37" i="2"/>
  <c r="JQ37" i="2"/>
  <c r="JR37" i="2" s="1"/>
  <c r="JP37" i="2"/>
  <c r="JL37" i="2"/>
  <c r="JM37" i="2" s="1"/>
  <c r="JN37" i="2" s="1"/>
  <c r="JO37" i="2" s="1"/>
  <c r="JK37" i="2"/>
  <c r="JI37" i="2"/>
  <c r="JJ37" i="2" s="1"/>
  <c r="JH37" i="2"/>
  <c r="JC37" i="2"/>
  <c r="JD37" i="2" s="1"/>
  <c r="JE37" i="2" s="1"/>
  <c r="JF37" i="2" s="1"/>
  <c r="JG37" i="2" s="1"/>
  <c r="JB37" i="2"/>
  <c r="JA37" i="2"/>
  <c r="IZ37" i="2"/>
  <c r="IY37" i="2"/>
  <c r="IX37" i="2"/>
  <c r="IW37" i="2"/>
  <c r="IV37" i="2"/>
  <c r="IU37" i="2"/>
  <c r="IP37" i="2"/>
  <c r="IQ37" i="2" s="1"/>
  <c r="IR37" i="2" s="1"/>
  <c r="IS37" i="2" s="1"/>
  <c r="IO37" i="2"/>
  <c r="IN37" i="2"/>
  <c r="IL37" i="2"/>
  <c r="IM37" i="2" s="1"/>
  <c r="IJ37" i="2"/>
  <c r="IK37" i="2" s="1"/>
  <c r="IH37" i="2"/>
  <c r="IG37" i="2"/>
  <c r="IF37" i="2"/>
  <c r="IB37" i="2"/>
  <c r="IC37" i="2" s="1"/>
  <c r="ID37" i="2" s="1"/>
  <c r="IE37" i="2" s="1"/>
  <c r="IA37" i="2"/>
  <c r="HZ37" i="2"/>
  <c r="HV37" i="2"/>
  <c r="HW37" i="2" s="1"/>
  <c r="HX37" i="2" s="1"/>
  <c r="HY37" i="2" s="1"/>
  <c r="HU37" i="2"/>
  <c r="HT37" i="2"/>
  <c r="HP37" i="2"/>
  <c r="HQ37" i="2" s="1"/>
  <c r="HR37" i="2" s="1"/>
  <c r="HS37" i="2" s="1"/>
  <c r="HO37" i="2"/>
  <c r="HN37" i="2"/>
  <c r="JY36" i="2"/>
  <c r="JZ36" i="2" s="1"/>
  <c r="JX36" i="2"/>
  <c r="JT36" i="2"/>
  <c r="JU36" i="2" s="1"/>
  <c r="JV36" i="2" s="1"/>
  <c r="JW36" i="2" s="1"/>
  <c r="JS36" i="2"/>
  <c r="JQ36" i="2"/>
  <c r="JR36" i="2" s="1"/>
  <c r="JP36" i="2"/>
  <c r="JL36" i="2"/>
  <c r="JM36" i="2" s="1"/>
  <c r="JN36" i="2" s="1"/>
  <c r="JO36" i="2" s="1"/>
  <c r="JK36" i="2"/>
  <c r="JI36" i="2"/>
  <c r="JJ36" i="2" s="1"/>
  <c r="JH36" i="2"/>
  <c r="JC36" i="2"/>
  <c r="JD36" i="2" s="1"/>
  <c r="JE36" i="2" s="1"/>
  <c r="JF36" i="2" s="1"/>
  <c r="JG36" i="2" s="1"/>
  <c r="JB36" i="2"/>
  <c r="JA36" i="2"/>
  <c r="IZ36" i="2"/>
  <c r="IY36" i="2"/>
  <c r="IX36" i="2"/>
  <c r="IW36" i="2"/>
  <c r="IV36" i="2"/>
  <c r="IU36" i="2"/>
  <c r="IP36" i="2"/>
  <c r="IQ36" i="2" s="1"/>
  <c r="IR36" i="2" s="1"/>
  <c r="IS36" i="2" s="1"/>
  <c r="IO36" i="2"/>
  <c r="IN36" i="2"/>
  <c r="IL36" i="2"/>
  <c r="IM36" i="2" s="1"/>
  <c r="IJ36" i="2"/>
  <c r="IK36" i="2" s="1"/>
  <c r="IH36" i="2"/>
  <c r="IG36" i="2"/>
  <c r="IF36" i="2"/>
  <c r="IB36" i="2"/>
  <c r="IC36" i="2" s="1"/>
  <c r="ID36" i="2" s="1"/>
  <c r="IE36" i="2" s="1"/>
  <c r="IA36" i="2"/>
  <c r="HZ36" i="2"/>
  <c r="HV36" i="2"/>
  <c r="HW36" i="2" s="1"/>
  <c r="HX36" i="2" s="1"/>
  <c r="HY36" i="2" s="1"/>
  <c r="HU36" i="2"/>
  <c r="HT36" i="2"/>
  <c r="HP36" i="2"/>
  <c r="HQ36" i="2" s="1"/>
  <c r="HR36" i="2" s="1"/>
  <c r="HS36" i="2" s="1"/>
  <c r="HO36" i="2"/>
  <c r="HN36" i="2"/>
  <c r="JY35" i="2"/>
  <c r="JZ35" i="2" s="1"/>
  <c r="JX35" i="2"/>
  <c r="JT35" i="2"/>
  <c r="JU35" i="2" s="1"/>
  <c r="JV35" i="2" s="1"/>
  <c r="JW35" i="2" s="1"/>
  <c r="JS35" i="2"/>
  <c r="JQ35" i="2"/>
  <c r="JR35" i="2" s="1"/>
  <c r="JP35" i="2"/>
  <c r="JL35" i="2"/>
  <c r="JM35" i="2" s="1"/>
  <c r="JN35" i="2" s="1"/>
  <c r="JO35" i="2" s="1"/>
  <c r="JK35" i="2"/>
  <c r="JI35" i="2"/>
  <c r="JJ35" i="2" s="1"/>
  <c r="JH35" i="2"/>
  <c r="JC35" i="2"/>
  <c r="JD35" i="2" s="1"/>
  <c r="JE35" i="2" s="1"/>
  <c r="JF35" i="2" s="1"/>
  <c r="JG35" i="2" s="1"/>
  <c r="JB35" i="2"/>
  <c r="JA35" i="2"/>
  <c r="IZ35" i="2"/>
  <c r="IY35" i="2"/>
  <c r="IX35" i="2"/>
  <c r="IW35" i="2"/>
  <c r="IV35" i="2"/>
  <c r="IU35" i="2"/>
  <c r="IP35" i="2"/>
  <c r="IQ35" i="2" s="1"/>
  <c r="IR35" i="2" s="1"/>
  <c r="IS35" i="2" s="1"/>
  <c r="IO35" i="2"/>
  <c r="IN35" i="2"/>
  <c r="IL35" i="2"/>
  <c r="IM35" i="2" s="1"/>
  <c r="IJ35" i="2"/>
  <c r="IK35" i="2" s="1"/>
  <c r="IH35" i="2"/>
  <c r="IG35" i="2"/>
  <c r="IF35" i="2"/>
  <c r="IB35" i="2"/>
  <c r="IC35" i="2" s="1"/>
  <c r="ID35" i="2" s="1"/>
  <c r="IE35" i="2" s="1"/>
  <c r="IA35" i="2"/>
  <c r="HZ35" i="2"/>
  <c r="HV35" i="2"/>
  <c r="HW35" i="2" s="1"/>
  <c r="HX35" i="2" s="1"/>
  <c r="HY35" i="2" s="1"/>
  <c r="HU35" i="2"/>
  <c r="HT35" i="2"/>
  <c r="HP35" i="2"/>
  <c r="HQ35" i="2" s="1"/>
  <c r="HR35" i="2" s="1"/>
  <c r="HS35" i="2" s="1"/>
  <c r="HO35" i="2"/>
  <c r="HN35" i="2"/>
  <c r="JY34" i="2"/>
  <c r="JZ34" i="2" s="1"/>
  <c r="JX34" i="2"/>
  <c r="JT34" i="2"/>
  <c r="JU34" i="2" s="1"/>
  <c r="JV34" i="2" s="1"/>
  <c r="JW34" i="2" s="1"/>
  <c r="JS34" i="2"/>
  <c r="JQ34" i="2"/>
  <c r="JR34" i="2" s="1"/>
  <c r="JP34" i="2"/>
  <c r="JL34" i="2"/>
  <c r="JM34" i="2" s="1"/>
  <c r="JN34" i="2" s="1"/>
  <c r="JO34" i="2" s="1"/>
  <c r="JK34" i="2"/>
  <c r="JI34" i="2"/>
  <c r="JJ34" i="2" s="1"/>
  <c r="JH34" i="2"/>
  <c r="JC34" i="2"/>
  <c r="JD34" i="2" s="1"/>
  <c r="JE34" i="2" s="1"/>
  <c r="JF34" i="2" s="1"/>
  <c r="JG34" i="2" s="1"/>
  <c r="JB34" i="2"/>
  <c r="JA34" i="2"/>
  <c r="IZ34" i="2"/>
  <c r="IY34" i="2"/>
  <c r="IX34" i="2"/>
  <c r="IW34" i="2"/>
  <c r="IV34" i="2"/>
  <c r="IU34" i="2"/>
  <c r="IP34" i="2"/>
  <c r="IQ34" i="2" s="1"/>
  <c r="IR34" i="2" s="1"/>
  <c r="IS34" i="2" s="1"/>
  <c r="IO34" i="2"/>
  <c r="IN34" i="2"/>
  <c r="IL34" i="2"/>
  <c r="IM34" i="2" s="1"/>
  <c r="IJ34" i="2"/>
  <c r="IK34" i="2" s="1"/>
  <c r="IH34" i="2"/>
  <c r="IG34" i="2"/>
  <c r="IF34" i="2"/>
  <c r="IB34" i="2"/>
  <c r="IC34" i="2" s="1"/>
  <c r="ID34" i="2" s="1"/>
  <c r="IE34" i="2" s="1"/>
  <c r="IA34" i="2"/>
  <c r="HZ34" i="2"/>
  <c r="HV34" i="2"/>
  <c r="HW34" i="2" s="1"/>
  <c r="HX34" i="2" s="1"/>
  <c r="HY34" i="2" s="1"/>
  <c r="HU34" i="2"/>
  <c r="HT34" i="2"/>
  <c r="HP34" i="2"/>
  <c r="HQ34" i="2" s="1"/>
  <c r="HR34" i="2" s="1"/>
  <c r="HS34" i="2" s="1"/>
  <c r="HO34" i="2"/>
  <c r="HN34" i="2"/>
  <c r="JY33" i="2"/>
  <c r="JZ33" i="2" s="1"/>
  <c r="JX33" i="2"/>
  <c r="JT33" i="2"/>
  <c r="JU33" i="2" s="1"/>
  <c r="JV33" i="2" s="1"/>
  <c r="JW33" i="2" s="1"/>
  <c r="JS33" i="2"/>
  <c r="JQ33" i="2"/>
  <c r="JR33" i="2" s="1"/>
  <c r="JP33" i="2"/>
  <c r="JL33" i="2"/>
  <c r="JM33" i="2" s="1"/>
  <c r="JN33" i="2" s="1"/>
  <c r="JO33" i="2" s="1"/>
  <c r="JK33" i="2"/>
  <c r="JI33" i="2"/>
  <c r="JJ33" i="2" s="1"/>
  <c r="JH33" i="2"/>
  <c r="JC33" i="2"/>
  <c r="JD33" i="2" s="1"/>
  <c r="JE33" i="2" s="1"/>
  <c r="JF33" i="2" s="1"/>
  <c r="JG33" i="2" s="1"/>
  <c r="JB33" i="2"/>
  <c r="JA33" i="2"/>
  <c r="IZ33" i="2"/>
  <c r="IY33" i="2"/>
  <c r="IX33" i="2"/>
  <c r="IW33" i="2"/>
  <c r="IV33" i="2"/>
  <c r="IV48" i="2" s="1"/>
  <c r="IU33" i="2"/>
  <c r="IU48" i="2" s="1"/>
  <c r="IP33" i="2"/>
  <c r="IQ33" i="2" s="1"/>
  <c r="IR33" i="2" s="1"/>
  <c r="IS33" i="2" s="1"/>
  <c r="IO33" i="2"/>
  <c r="IN33" i="2"/>
  <c r="IL33" i="2"/>
  <c r="IM33" i="2" s="1"/>
  <c r="IJ33" i="2"/>
  <c r="IK33" i="2" s="1"/>
  <c r="IH33" i="2"/>
  <c r="IG33" i="2"/>
  <c r="IF33" i="2"/>
  <c r="IB33" i="2"/>
  <c r="IC33" i="2" s="1"/>
  <c r="ID33" i="2" s="1"/>
  <c r="IE33" i="2" s="1"/>
  <c r="IA33" i="2"/>
  <c r="HZ33" i="2"/>
  <c r="HV33" i="2"/>
  <c r="HW33" i="2" s="1"/>
  <c r="HX33" i="2" s="1"/>
  <c r="HY33" i="2" s="1"/>
  <c r="HU33" i="2"/>
  <c r="HT33" i="2"/>
  <c r="HP33" i="2"/>
  <c r="HQ33" i="2" s="1"/>
  <c r="HR33" i="2" s="1"/>
  <c r="HS33" i="2" s="1"/>
  <c r="HO33" i="2"/>
  <c r="HN33" i="2"/>
  <c r="JY32" i="2"/>
  <c r="JX32" i="2"/>
  <c r="JT32" i="2"/>
  <c r="JS32" i="2"/>
  <c r="JQ32" i="2"/>
  <c r="JP32" i="2"/>
  <c r="JL32" i="2"/>
  <c r="JK32" i="2"/>
  <c r="JI32" i="2"/>
  <c r="JH32" i="2"/>
  <c r="JC32" i="2"/>
  <c r="JB32" i="2"/>
  <c r="JA32" i="2"/>
  <c r="IZ32" i="2"/>
  <c r="IY32" i="2"/>
  <c r="IX32" i="2"/>
  <c r="IW32" i="2"/>
  <c r="IW48" i="2" s="1"/>
  <c r="IP32" i="2"/>
  <c r="IQ32" i="2" s="1"/>
  <c r="IO32" i="2"/>
  <c r="IN32" i="2"/>
  <c r="IL32" i="2"/>
  <c r="IJ32" i="2"/>
  <c r="IK32" i="2" s="1"/>
  <c r="IH32" i="2"/>
  <c r="IG32" i="2"/>
  <c r="IF32" i="2"/>
  <c r="IB32" i="2"/>
  <c r="IA32" i="2"/>
  <c r="HZ32" i="2"/>
  <c r="HV32" i="2"/>
  <c r="HU32" i="2"/>
  <c r="HT32" i="2"/>
  <c r="HP32" i="2"/>
  <c r="HQ32" i="2" s="1"/>
  <c r="HR32" i="2" s="1"/>
  <c r="HO32" i="2"/>
  <c r="HN32" i="2"/>
  <c r="IZ19" i="2"/>
  <c r="IZ55" i="2" s="1"/>
  <c r="IL55" i="2"/>
  <c r="IW18" i="2"/>
  <c r="IW56" i="2" s="1"/>
  <c r="IK9" i="2"/>
  <c r="IL9" i="2" s="1"/>
  <c r="IM9" i="2" s="1"/>
  <c r="IN9" i="2" s="1"/>
  <c r="IO9" i="2" s="1"/>
  <c r="IP9" i="2" s="1"/>
  <c r="HK56" i="2"/>
  <c r="HJ56" i="2"/>
  <c r="HI56" i="2"/>
  <c r="HH56" i="2"/>
  <c r="HE56" i="2"/>
  <c r="HD56" i="2"/>
  <c r="HC56" i="2"/>
  <c r="HB56" i="2"/>
  <c r="GY56" i="2"/>
  <c r="GX56" i="2"/>
  <c r="GW56" i="2"/>
  <c r="GV56" i="2"/>
  <c r="GS56" i="2"/>
  <c r="GR56" i="2"/>
  <c r="GQ56" i="2"/>
  <c r="GP56" i="2"/>
  <c r="GM56" i="2"/>
  <c r="GL56" i="2"/>
  <c r="GK56" i="2"/>
  <c r="GJ56" i="2"/>
  <c r="GG56" i="2"/>
  <c r="GF56" i="2"/>
  <c r="GE56" i="2"/>
  <c r="GD56" i="2"/>
  <c r="GA56" i="2"/>
  <c r="FZ56" i="2"/>
  <c r="FY56" i="2"/>
  <c r="FX56" i="2"/>
  <c r="FU56" i="2"/>
  <c r="FT56" i="2"/>
  <c r="FS56" i="2"/>
  <c r="FR56" i="2"/>
  <c r="FQ56" i="2"/>
  <c r="FP56" i="2"/>
  <c r="FL56" i="2"/>
  <c r="FK56" i="2"/>
  <c r="FD56" i="2"/>
  <c r="FC56" i="2"/>
  <c r="HM55" i="2"/>
  <c r="HL55" i="2"/>
  <c r="HK55" i="2"/>
  <c r="HJ55" i="2"/>
  <c r="HI55" i="2"/>
  <c r="HH55" i="2"/>
  <c r="HG55" i="2"/>
  <c r="HF55" i="2"/>
  <c r="HE55" i="2"/>
  <c r="HD55" i="2"/>
  <c r="HC55" i="2"/>
  <c r="HB55" i="2"/>
  <c r="HA55" i="2"/>
  <c r="GZ55" i="2"/>
  <c r="GY55" i="2"/>
  <c r="GX55" i="2"/>
  <c r="GW55" i="2"/>
  <c r="GV55" i="2"/>
  <c r="GU55" i="2"/>
  <c r="GT55" i="2"/>
  <c r="GS55" i="2"/>
  <c r="GR55" i="2"/>
  <c r="GQ55" i="2"/>
  <c r="GP55" i="2"/>
  <c r="GO55" i="2"/>
  <c r="GN55" i="2"/>
  <c r="GM55" i="2"/>
  <c r="GL55" i="2"/>
  <c r="GK55" i="2"/>
  <c r="GJ55" i="2"/>
  <c r="GI55" i="2"/>
  <c r="GH55" i="2"/>
  <c r="GG55" i="2"/>
  <c r="GF55" i="2"/>
  <c r="GE55" i="2"/>
  <c r="GD55" i="2"/>
  <c r="GC55" i="2"/>
  <c r="GB55" i="2"/>
  <c r="GA55" i="2"/>
  <c r="FZ55" i="2"/>
  <c r="FY55" i="2"/>
  <c r="FX55" i="2"/>
  <c r="FW55" i="2"/>
  <c r="FV55" i="2"/>
  <c r="FU55" i="2"/>
  <c r="FT55" i="2"/>
  <c r="FS55" i="2"/>
  <c r="FR55" i="2"/>
  <c r="FQ55" i="2"/>
  <c r="FP55" i="2"/>
  <c r="FM55" i="2"/>
  <c r="FL55" i="2"/>
  <c r="FK55" i="2"/>
  <c r="FJ55" i="2"/>
  <c r="FI55" i="2"/>
  <c r="FH55" i="2"/>
  <c r="FE55" i="2"/>
  <c r="FD55" i="2"/>
  <c r="FC55" i="2"/>
  <c r="FB55" i="2"/>
  <c r="FA55" i="2"/>
  <c r="FP48" i="2"/>
  <c r="HJ41" i="2"/>
  <c r="HK41" i="2" s="1"/>
  <c r="HL41" i="2" s="1"/>
  <c r="HM41" i="2" s="1"/>
  <c r="HI41" i="2"/>
  <c r="HH41" i="2"/>
  <c r="HD41" i="2"/>
  <c r="HE41" i="2" s="1"/>
  <c r="HF41" i="2" s="1"/>
  <c r="HG41" i="2" s="1"/>
  <c r="HC41" i="2"/>
  <c r="HB41" i="2"/>
  <c r="GX41" i="2"/>
  <c r="GY41" i="2" s="1"/>
  <c r="GZ41" i="2" s="1"/>
  <c r="HA41" i="2" s="1"/>
  <c r="GW41" i="2"/>
  <c r="GV41" i="2"/>
  <c r="GR41" i="2"/>
  <c r="GS41" i="2" s="1"/>
  <c r="GT41" i="2" s="1"/>
  <c r="GU41" i="2" s="1"/>
  <c r="GQ41" i="2"/>
  <c r="GP41" i="2"/>
  <c r="GL41" i="2"/>
  <c r="GK41" i="2"/>
  <c r="GJ41" i="2"/>
  <c r="GF41" i="2"/>
  <c r="GG41" i="2" s="1"/>
  <c r="GH41" i="2" s="1"/>
  <c r="GI41" i="2" s="1"/>
  <c r="GE41" i="2"/>
  <c r="GD41" i="2"/>
  <c r="FZ41" i="2"/>
  <c r="GA41" i="2" s="1"/>
  <c r="GB41" i="2" s="1"/>
  <c r="GC41" i="2" s="1"/>
  <c r="FY41" i="2"/>
  <c r="FX41" i="2"/>
  <c r="FT41" i="2"/>
  <c r="FU41" i="2" s="1"/>
  <c r="FV41" i="2" s="1"/>
  <c r="FW41" i="2" s="1"/>
  <c r="FS41" i="2"/>
  <c r="FR41" i="2"/>
  <c r="FQ41" i="2"/>
  <c r="FP41" i="2"/>
  <c r="FO41" i="2"/>
  <c r="FN41" i="2"/>
  <c r="FM41" i="2"/>
  <c r="FL41" i="2"/>
  <c r="FK41" i="2"/>
  <c r="FG41" i="2"/>
  <c r="FH41" i="2" s="1"/>
  <c r="FI41" i="2" s="1"/>
  <c r="FJ41" i="2" s="1"/>
  <c r="FF41" i="2"/>
  <c r="FE41" i="2"/>
  <c r="FD41" i="2"/>
  <c r="FC41" i="2"/>
  <c r="HJ40" i="2"/>
  <c r="HK40" i="2" s="1"/>
  <c r="HK49" i="2" s="1"/>
  <c r="HK50" i="2" s="1"/>
  <c r="HI40" i="2"/>
  <c r="HH40" i="2"/>
  <c r="HH49" i="2" s="1"/>
  <c r="HH50" i="2" s="1"/>
  <c r="HD40" i="2"/>
  <c r="HC40" i="2"/>
  <c r="HB40" i="2"/>
  <c r="GX40" i="2"/>
  <c r="GY40" i="2" s="1"/>
  <c r="GW40" i="2"/>
  <c r="GV40" i="2"/>
  <c r="GV49" i="2" s="1"/>
  <c r="GV50" i="2" s="1"/>
  <c r="GR40" i="2"/>
  <c r="GR49" i="2" s="1"/>
  <c r="GR50" i="2" s="1"/>
  <c r="GQ40" i="2"/>
  <c r="GP40" i="2"/>
  <c r="GL40" i="2"/>
  <c r="GM40" i="2" s="1"/>
  <c r="GK40" i="2"/>
  <c r="GJ40" i="2"/>
  <c r="GF40" i="2"/>
  <c r="GE40" i="2"/>
  <c r="GE49" i="2" s="1"/>
  <c r="GE50" i="2" s="1"/>
  <c r="GD40" i="2"/>
  <c r="FZ40" i="2"/>
  <c r="GA40" i="2" s="1"/>
  <c r="FY40" i="2"/>
  <c r="FX40" i="2"/>
  <c r="FX49" i="2" s="1"/>
  <c r="FX50" i="2" s="1"/>
  <c r="FT40" i="2"/>
  <c r="FT49" i="2" s="1"/>
  <c r="FT50" i="2" s="1"/>
  <c r="FS40" i="2"/>
  <c r="FS49" i="2" s="1"/>
  <c r="FS50" i="2" s="1"/>
  <c r="FR40" i="2"/>
  <c r="FQ40" i="2"/>
  <c r="FQ49" i="2" s="1"/>
  <c r="FQ50" i="2" s="1"/>
  <c r="FP40" i="2"/>
  <c r="FP49" i="2" s="1"/>
  <c r="FP50" i="2" s="1"/>
  <c r="FO40" i="2"/>
  <c r="FO49" i="2" s="1"/>
  <c r="FO50" i="2" s="1"/>
  <c r="FN40" i="2"/>
  <c r="FM40" i="2"/>
  <c r="FM49" i="2" s="1"/>
  <c r="FM50" i="2" s="1"/>
  <c r="FL40" i="2"/>
  <c r="FL49" i="2" s="1"/>
  <c r="FL50" i="2" s="1"/>
  <c r="FK40" i="2"/>
  <c r="FK49" i="2" s="1"/>
  <c r="FK50" i="2" s="1"/>
  <c r="FG40" i="2"/>
  <c r="FF40" i="2"/>
  <c r="FE40" i="2"/>
  <c r="FE49" i="2" s="1"/>
  <c r="FE50" i="2" s="1"/>
  <c r="FD40" i="2"/>
  <c r="FD49" i="2" s="1"/>
  <c r="FD50" i="2" s="1"/>
  <c r="FC40" i="2"/>
  <c r="HJ39" i="2"/>
  <c r="HK39" i="2" s="1"/>
  <c r="HL39" i="2" s="1"/>
  <c r="HM39" i="2" s="1"/>
  <c r="HI39" i="2"/>
  <c r="HH39" i="2"/>
  <c r="HD39" i="2"/>
  <c r="HE39" i="2" s="1"/>
  <c r="HF39" i="2" s="1"/>
  <c r="HG39" i="2" s="1"/>
  <c r="HC39" i="2"/>
  <c r="HB39" i="2"/>
  <c r="GX39" i="2"/>
  <c r="GY39" i="2" s="1"/>
  <c r="GZ39" i="2" s="1"/>
  <c r="HA39" i="2" s="1"/>
  <c r="GW39" i="2"/>
  <c r="GV39" i="2"/>
  <c r="GR39" i="2"/>
  <c r="GS39" i="2" s="1"/>
  <c r="GT39" i="2" s="1"/>
  <c r="GU39" i="2" s="1"/>
  <c r="GQ39" i="2"/>
  <c r="GP39" i="2"/>
  <c r="GL39" i="2"/>
  <c r="GM39" i="2" s="1"/>
  <c r="GN39" i="2" s="1"/>
  <c r="GO39" i="2" s="1"/>
  <c r="GK39" i="2"/>
  <c r="GJ39" i="2"/>
  <c r="GF39" i="2"/>
  <c r="GG39" i="2" s="1"/>
  <c r="GH39" i="2" s="1"/>
  <c r="GI39" i="2" s="1"/>
  <c r="GE39" i="2"/>
  <c r="GD39" i="2"/>
  <c r="FZ39" i="2"/>
  <c r="GA39" i="2" s="1"/>
  <c r="GB39" i="2" s="1"/>
  <c r="GC39" i="2" s="1"/>
  <c r="FY39" i="2"/>
  <c r="FX39" i="2"/>
  <c r="FT39" i="2"/>
  <c r="FU39" i="2" s="1"/>
  <c r="FV39" i="2" s="1"/>
  <c r="FW39" i="2" s="1"/>
  <c r="FS39" i="2"/>
  <c r="FQ39" i="2"/>
  <c r="FR39" i="2" s="1"/>
  <c r="FO39" i="2"/>
  <c r="FN39" i="2"/>
  <c r="FM39" i="2"/>
  <c r="FL39" i="2"/>
  <c r="FK39" i="2"/>
  <c r="FG39" i="2"/>
  <c r="FH39" i="2" s="1"/>
  <c r="FI39" i="2" s="1"/>
  <c r="FJ39" i="2" s="1"/>
  <c r="FF39" i="2"/>
  <c r="FE39" i="2"/>
  <c r="FD39" i="2"/>
  <c r="FC39" i="2"/>
  <c r="HJ38" i="2"/>
  <c r="HK38" i="2" s="1"/>
  <c r="HL38" i="2" s="1"/>
  <c r="HM38" i="2" s="1"/>
  <c r="HI38" i="2"/>
  <c r="HH38" i="2"/>
  <c r="HD38" i="2"/>
  <c r="HE38" i="2" s="1"/>
  <c r="HF38" i="2" s="1"/>
  <c r="HG38" i="2" s="1"/>
  <c r="HC38" i="2"/>
  <c r="HB38" i="2"/>
  <c r="GX38" i="2"/>
  <c r="GY38" i="2" s="1"/>
  <c r="GZ38" i="2" s="1"/>
  <c r="HA38" i="2" s="1"/>
  <c r="GW38" i="2"/>
  <c r="GV38" i="2"/>
  <c r="GR38" i="2"/>
  <c r="GS38" i="2" s="1"/>
  <c r="GT38" i="2" s="1"/>
  <c r="GU38" i="2" s="1"/>
  <c r="GQ38" i="2"/>
  <c r="GP38" i="2"/>
  <c r="GL38" i="2"/>
  <c r="GM38" i="2" s="1"/>
  <c r="GN38" i="2" s="1"/>
  <c r="GO38" i="2" s="1"/>
  <c r="GK38" i="2"/>
  <c r="GJ38" i="2"/>
  <c r="GF38" i="2"/>
  <c r="GG38" i="2" s="1"/>
  <c r="GH38" i="2" s="1"/>
  <c r="GI38" i="2" s="1"/>
  <c r="GE38" i="2"/>
  <c r="GD38" i="2"/>
  <c r="FZ38" i="2"/>
  <c r="GA38" i="2" s="1"/>
  <c r="GB38" i="2" s="1"/>
  <c r="GC38" i="2" s="1"/>
  <c r="FY38" i="2"/>
  <c r="FX38" i="2"/>
  <c r="FT38" i="2"/>
  <c r="FU38" i="2" s="1"/>
  <c r="FV38" i="2" s="1"/>
  <c r="FW38" i="2" s="1"/>
  <c r="FS38" i="2"/>
  <c r="FQ38" i="2"/>
  <c r="FR38" i="2" s="1"/>
  <c r="FO38" i="2"/>
  <c r="FN38" i="2"/>
  <c r="FM38" i="2"/>
  <c r="FL38" i="2"/>
  <c r="FK38" i="2"/>
  <c r="FG38" i="2"/>
  <c r="FH38" i="2" s="1"/>
  <c r="FI38" i="2" s="1"/>
  <c r="FJ38" i="2" s="1"/>
  <c r="FF38" i="2"/>
  <c r="FE38" i="2"/>
  <c r="FD38" i="2"/>
  <c r="FC38" i="2"/>
  <c r="HJ37" i="2"/>
  <c r="HK37" i="2" s="1"/>
  <c r="HL37" i="2" s="1"/>
  <c r="HM37" i="2" s="1"/>
  <c r="HI37" i="2"/>
  <c r="HH37" i="2"/>
  <c r="HD37" i="2"/>
  <c r="HE37" i="2" s="1"/>
  <c r="HF37" i="2" s="1"/>
  <c r="HG37" i="2" s="1"/>
  <c r="HC37" i="2"/>
  <c r="HB37" i="2"/>
  <c r="GX37" i="2"/>
  <c r="GY37" i="2" s="1"/>
  <c r="GZ37" i="2" s="1"/>
  <c r="HA37" i="2" s="1"/>
  <c r="GW37" i="2"/>
  <c r="GV37" i="2"/>
  <c r="GR37" i="2"/>
  <c r="GS37" i="2" s="1"/>
  <c r="GT37" i="2" s="1"/>
  <c r="GU37" i="2" s="1"/>
  <c r="GQ37" i="2"/>
  <c r="GP37" i="2"/>
  <c r="GL37" i="2"/>
  <c r="GM37" i="2" s="1"/>
  <c r="GN37" i="2" s="1"/>
  <c r="GO37" i="2" s="1"/>
  <c r="GK37" i="2"/>
  <c r="GJ37" i="2"/>
  <c r="GF37" i="2"/>
  <c r="GG37" i="2" s="1"/>
  <c r="GH37" i="2" s="1"/>
  <c r="GI37" i="2" s="1"/>
  <c r="GE37" i="2"/>
  <c r="GD37" i="2"/>
  <c r="FZ37" i="2"/>
  <c r="GA37" i="2" s="1"/>
  <c r="GB37" i="2" s="1"/>
  <c r="GC37" i="2" s="1"/>
  <c r="FY37" i="2"/>
  <c r="FX37" i="2"/>
  <c r="FT37" i="2"/>
  <c r="FU37" i="2" s="1"/>
  <c r="FV37" i="2" s="1"/>
  <c r="FW37" i="2" s="1"/>
  <c r="FS37" i="2"/>
  <c r="FQ37" i="2"/>
  <c r="FR37" i="2" s="1"/>
  <c r="FO37" i="2"/>
  <c r="FN37" i="2"/>
  <c r="FM37" i="2"/>
  <c r="FL37" i="2"/>
  <c r="FK37" i="2"/>
  <c r="FG37" i="2"/>
  <c r="FH37" i="2" s="1"/>
  <c r="FI37" i="2" s="1"/>
  <c r="FJ37" i="2" s="1"/>
  <c r="FF37" i="2"/>
  <c r="FE37" i="2"/>
  <c r="FD37" i="2"/>
  <c r="FC37" i="2"/>
  <c r="HJ36" i="2"/>
  <c r="HK36" i="2" s="1"/>
  <c r="HL36" i="2" s="1"/>
  <c r="HM36" i="2" s="1"/>
  <c r="HI36" i="2"/>
  <c r="HH36" i="2"/>
  <c r="HD36" i="2"/>
  <c r="HE36" i="2" s="1"/>
  <c r="HF36" i="2" s="1"/>
  <c r="HG36" i="2" s="1"/>
  <c r="HC36" i="2"/>
  <c r="HB36" i="2"/>
  <c r="GX36" i="2"/>
  <c r="GY36" i="2" s="1"/>
  <c r="GZ36" i="2" s="1"/>
  <c r="HA36" i="2" s="1"/>
  <c r="GW36" i="2"/>
  <c r="GV36" i="2"/>
  <c r="GR36" i="2"/>
  <c r="GS36" i="2" s="1"/>
  <c r="GT36" i="2" s="1"/>
  <c r="GU36" i="2" s="1"/>
  <c r="GQ36" i="2"/>
  <c r="GP36" i="2"/>
  <c r="GL36" i="2"/>
  <c r="GM36" i="2" s="1"/>
  <c r="GN36" i="2" s="1"/>
  <c r="GO36" i="2" s="1"/>
  <c r="GK36" i="2"/>
  <c r="GJ36" i="2"/>
  <c r="GF36" i="2"/>
  <c r="GG36" i="2" s="1"/>
  <c r="GH36" i="2" s="1"/>
  <c r="GI36" i="2" s="1"/>
  <c r="GE36" i="2"/>
  <c r="GD36" i="2"/>
  <c r="FZ36" i="2"/>
  <c r="GA36" i="2" s="1"/>
  <c r="GB36" i="2" s="1"/>
  <c r="GC36" i="2" s="1"/>
  <c r="FY36" i="2"/>
  <c r="FX36" i="2"/>
  <c r="FT36" i="2"/>
  <c r="FU36" i="2" s="1"/>
  <c r="FV36" i="2" s="1"/>
  <c r="FW36" i="2" s="1"/>
  <c r="FS36" i="2"/>
  <c r="FQ36" i="2"/>
  <c r="FR36" i="2" s="1"/>
  <c r="FO36" i="2"/>
  <c r="FN36" i="2"/>
  <c r="FM36" i="2"/>
  <c r="FL36" i="2"/>
  <c r="FK36" i="2"/>
  <c r="FG36" i="2"/>
  <c r="FH36" i="2" s="1"/>
  <c r="FI36" i="2" s="1"/>
  <c r="FJ36" i="2" s="1"/>
  <c r="FF36" i="2"/>
  <c r="FE36" i="2"/>
  <c r="FD36" i="2"/>
  <c r="FC36" i="2"/>
  <c r="HJ35" i="2"/>
  <c r="HK35" i="2" s="1"/>
  <c r="HL35" i="2" s="1"/>
  <c r="HM35" i="2" s="1"/>
  <c r="HI35" i="2"/>
  <c r="HH35" i="2"/>
  <c r="HD35" i="2"/>
  <c r="HE35" i="2" s="1"/>
  <c r="HF35" i="2" s="1"/>
  <c r="HG35" i="2" s="1"/>
  <c r="HC35" i="2"/>
  <c r="HB35" i="2"/>
  <c r="GX35" i="2"/>
  <c r="GY35" i="2" s="1"/>
  <c r="GZ35" i="2" s="1"/>
  <c r="HA35" i="2" s="1"/>
  <c r="GW35" i="2"/>
  <c r="GV35" i="2"/>
  <c r="GR35" i="2"/>
  <c r="GS35" i="2" s="1"/>
  <c r="GT35" i="2" s="1"/>
  <c r="GU35" i="2" s="1"/>
  <c r="GQ35" i="2"/>
  <c r="GP35" i="2"/>
  <c r="GL35" i="2"/>
  <c r="GM35" i="2" s="1"/>
  <c r="GN35" i="2" s="1"/>
  <c r="GO35" i="2" s="1"/>
  <c r="GK35" i="2"/>
  <c r="GJ35" i="2"/>
  <c r="GF35" i="2"/>
  <c r="GG35" i="2" s="1"/>
  <c r="GH35" i="2" s="1"/>
  <c r="GI35" i="2" s="1"/>
  <c r="GE35" i="2"/>
  <c r="GD35" i="2"/>
  <c r="FZ35" i="2"/>
  <c r="GA35" i="2" s="1"/>
  <c r="GB35" i="2" s="1"/>
  <c r="GC35" i="2" s="1"/>
  <c r="FY35" i="2"/>
  <c r="FX35" i="2"/>
  <c r="FT35" i="2"/>
  <c r="FU35" i="2" s="1"/>
  <c r="FV35" i="2" s="1"/>
  <c r="FW35" i="2" s="1"/>
  <c r="FS35" i="2"/>
  <c r="FQ35" i="2"/>
  <c r="FR35" i="2" s="1"/>
  <c r="FO35" i="2"/>
  <c r="FN35" i="2"/>
  <c r="FM35" i="2"/>
  <c r="FL35" i="2"/>
  <c r="FK35" i="2"/>
  <c r="FG35" i="2"/>
  <c r="FH35" i="2" s="1"/>
  <c r="FI35" i="2" s="1"/>
  <c r="FJ35" i="2" s="1"/>
  <c r="FF35" i="2"/>
  <c r="FE35" i="2"/>
  <c r="FD35" i="2"/>
  <c r="FC35" i="2"/>
  <c r="HJ34" i="2"/>
  <c r="HK34" i="2" s="1"/>
  <c r="HL34" i="2" s="1"/>
  <c r="HM34" i="2" s="1"/>
  <c r="HI34" i="2"/>
  <c r="HH34" i="2"/>
  <c r="HD34" i="2"/>
  <c r="HE34" i="2" s="1"/>
  <c r="HF34" i="2" s="1"/>
  <c r="HG34" i="2" s="1"/>
  <c r="HC34" i="2"/>
  <c r="HB34" i="2"/>
  <c r="GX34" i="2"/>
  <c r="GY34" i="2" s="1"/>
  <c r="GZ34" i="2" s="1"/>
  <c r="HA34" i="2" s="1"/>
  <c r="GW34" i="2"/>
  <c r="GV34" i="2"/>
  <c r="GR34" i="2"/>
  <c r="GS34" i="2" s="1"/>
  <c r="GT34" i="2" s="1"/>
  <c r="GU34" i="2" s="1"/>
  <c r="GQ34" i="2"/>
  <c r="GP34" i="2"/>
  <c r="GL34" i="2"/>
  <c r="GM34" i="2" s="1"/>
  <c r="GN34" i="2" s="1"/>
  <c r="GO34" i="2" s="1"/>
  <c r="GK34" i="2"/>
  <c r="GJ34" i="2"/>
  <c r="GF34" i="2"/>
  <c r="GG34" i="2" s="1"/>
  <c r="GH34" i="2" s="1"/>
  <c r="GI34" i="2" s="1"/>
  <c r="GE34" i="2"/>
  <c r="GD34" i="2"/>
  <c r="FZ34" i="2"/>
  <c r="GA34" i="2" s="1"/>
  <c r="GB34" i="2" s="1"/>
  <c r="GC34" i="2" s="1"/>
  <c r="FY34" i="2"/>
  <c r="FX34" i="2"/>
  <c r="FT34" i="2"/>
  <c r="FU34" i="2" s="1"/>
  <c r="FV34" i="2" s="1"/>
  <c r="FW34" i="2" s="1"/>
  <c r="FS34" i="2"/>
  <c r="FQ34" i="2"/>
  <c r="FR34" i="2" s="1"/>
  <c r="FO34" i="2"/>
  <c r="FN34" i="2"/>
  <c r="FM34" i="2"/>
  <c r="FL34" i="2"/>
  <c r="FK34" i="2"/>
  <c r="FG34" i="2"/>
  <c r="FH34" i="2" s="1"/>
  <c r="FI34" i="2" s="1"/>
  <c r="FJ34" i="2" s="1"/>
  <c r="FF34" i="2"/>
  <c r="FE34" i="2"/>
  <c r="FD34" i="2"/>
  <c r="FC34" i="2"/>
  <c r="HJ33" i="2"/>
  <c r="HK33" i="2" s="1"/>
  <c r="HL33" i="2" s="1"/>
  <c r="HM33" i="2" s="1"/>
  <c r="HI33" i="2"/>
  <c r="HH33" i="2"/>
  <c r="HD33" i="2"/>
  <c r="HE33" i="2" s="1"/>
  <c r="HF33" i="2" s="1"/>
  <c r="HG33" i="2" s="1"/>
  <c r="HC33" i="2"/>
  <c r="HB33" i="2"/>
  <c r="GX33" i="2"/>
  <c r="GY33" i="2" s="1"/>
  <c r="GZ33" i="2" s="1"/>
  <c r="HA33" i="2" s="1"/>
  <c r="GW33" i="2"/>
  <c r="GV33" i="2"/>
  <c r="GR33" i="2"/>
  <c r="GS33" i="2" s="1"/>
  <c r="GT33" i="2" s="1"/>
  <c r="GU33" i="2" s="1"/>
  <c r="GQ33" i="2"/>
  <c r="GP33" i="2"/>
  <c r="GL33" i="2"/>
  <c r="GM33" i="2" s="1"/>
  <c r="GN33" i="2" s="1"/>
  <c r="GO33" i="2" s="1"/>
  <c r="GK33" i="2"/>
  <c r="GJ33" i="2"/>
  <c r="GF33" i="2"/>
  <c r="GG33" i="2" s="1"/>
  <c r="GH33" i="2" s="1"/>
  <c r="GI33" i="2" s="1"/>
  <c r="GE33" i="2"/>
  <c r="GD33" i="2"/>
  <c r="FZ33" i="2"/>
  <c r="GA33" i="2" s="1"/>
  <c r="GB33" i="2" s="1"/>
  <c r="GC33" i="2" s="1"/>
  <c r="FY33" i="2"/>
  <c r="FX33" i="2"/>
  <c r="FT33" i="2"/>
  <c r="FU33" i="2" s="1"/>
  <c r="FV33" i="2" s="1"/>
  <c r="FW33" i="2" s="1"/>
  <c r="FS33" i="2"/>
  <c r="FQ33" i="2"/>
  <c r="FR33" i="2" s="1"/>
  <c r="FO33" i="2"/>
  <c r="FN33" i="2"/>
  <c r="FM33" i="2"/>
  <c r="FL33" i="2"/>
  <c r="FK33" i="2"/>
  <c r="FG33" i="2"/>
  <c r="FH33" i="2" s="1"/>
  <c r="FI33" i="2" s="1"/>
  <c r="FJ33" i="2" s="1"/>
  <c r="FF33" i="2"/>
  <c r="FE33" i="2"/>
  <c r="FD33" i="2"/>
  <c r="FC33" i="2"/>
  <c r="HJ32" i="2"/>
  <c r="HI32" i="2"/>
  <c r="HH32" i="2"/>
  <c r="HD32" i="2"/>
  <c r="HC32" i="2"/>
  <c r="HB32" i="2"/>
  <c r="GX32" i="2"/>
  <c r="GW32" i="2"/>
  <c r="GV32" i="2"/>
  <c r="GR32" i="2"/>
  <c r="GS32" i="2" s="1"/>
  <c r="GT32" i="2" s="1"/>
  <c r="GQ32" i="2"/>
  <c r="GP32" i="2"/>
  <c r="GL32" i="2"/>
  <c r="GK32" i="2"/>
  <c r="GJ32" i="2"/>
  <c r="GF32" i="2"/>
  <c r="GE32" i="2"/>
  <c r="GD32" i="2"/>
  <c r="FZ32" i="2"/>
  <c r="FY32" i="2"/>
  <c r="FX32" i="2"/>
  <c r="FT32" i="2"/>
  <c r="FU32" i="2" s="1"/>
  <c r="FV32" i="2" s="1"/>
  <c r="FS32" i="2"/>
  <c r="FQ32" i="2"/>
  <c r="FR32" i="2" s="1"/>
  <c r="FO32" i="2"/>
  <c r="FN32" i="2"/>
  <c r="FM32" i="2"/>
  <c r="FL32" i="2"/>
  <c r="FK32" i="2"/>
  <c r="FG32" i="2"/>
  <c r="FF32" i="2"/>
  <c r="FE32" i="2"/>
  <c r="FD32" i="2"/>
  <c r="FC32" i="2"/>
  <c r="FN19" i="2"/>
  <c r="FF19" i="2"/>
  <c r="FF55" i="2" s="1"/>
  <c r="FM18" i="2"/>
  <c r="FE18" i="2"/>
  <c r="FE56" i="2" s="1"/>
  <c r="FR9" i="2"/>
  <c r="FS9" i="2" s="1"/>
  <c r="FT9" i="2" s="1"/>
  <c r="FU9" i="2" s="1"/>
  <c r="FV9" i="2" s="1"/>
  <c r="FW9" i="2" s="1"/>
  <c r="FX9" i="2" s="1"/>
  <c r="FY9" i="2" s="1"/>
  <c r="FZ9" i="2" s="1"/>
  <c r="GA9" i="2" s="1"/>
  <c r="GB9" i="2" s="1"/>
  <c r="GC9" i="2" s="1"/>
  <c r="GD9" i="2" s="1"/>
  <c r="GE9" i="2" s="1"/>
  <c r="GF9" i="2" s="1"/>
  <c r="GG9" i="2" s="1"/>
  <c r="GH9" i="2" s="1"/>
  <c r="GI9" i="2" s="1"/>
  <c r="GJ9" i="2" s="1"/>
  <c r="GK9" i="2" s="1"/>
  <c r="GL9" i="2" s="1"/>
  <c r="GM9" i="2" s="1"/>
  <c r="GN9" i="2" s="1"/>
  <c r="GO9" i="2" s="1"/>
  <c r="GP9" i="2" s="1"/>
  <c r="GQ9" i="2" s="1"/>
  <c r="GR9" i="2" s="1"/>
  <c r="GS9" i="2" s="1"/>
  <c r="GT9" i="2" s="1"/>
  <c r="GU9" i="2" s="1"/>
  <c r="GV9" i="2" s="1"/>
  <c r="GW9" i="2" s="1"/>
  <c r="GX9" i="2" s="1"/>
  <c r="GY9" i="2" s="1"/>
  <c r="GZ9" i="2" s="1"/>
  <c r="HA9" i="2" s="1"/>
  <c r="HB9" i="2" s="1"/>
  <c r="HC9" i="2" s="1"/>
  <c r="HD9" i="2" s="1"/>
  <c r="HE9" i="2" s="1"/>
  <c r="HF9" i="2" s="1"/>
  <c r="HG9" i="2" s="1"/>
  <c r="HH9" i="2" s="1"/>
  <c r="HI9" i="2" s="1"/>
  <c r="HJ9" i="2" s="1"/>
  <c r="HK9" i="2" s="1"/>
  <c r="HL9" i="2" s="1"/>
  <c r="HM9" i="2" s="1"/>
  <c r="HN9" i="2" s="1"/>
  <c r="HO9" i="2" s="1"/>
  <c r="HP9" i="2" s="1"/>
  <c r="HQ9" i="2" s="1"/>
  <c r="HR9" i="2" s="1"/>
  <c r="HS9" i="2" s="1"/>
  <c r="HT9" i="2" s="1"/>
  <c r="HU9" i="2" s="1"/>
  <c r="HV9" i="2" s="1"/>
  <c r="HW9" i="2" s="1"/>
  <c r="HX9" i="2" s="1"/>
  <c r="HY9" i="2" s="1"/>
  <c r="HZ9" i="2" s="1"/>
  <c r="IA9" i="2" s="1"/>
  <c r="IB9" i="2" s="1"/>
  <c r="IC9" i="2" s="1"/>
  <c r="ID9" i="2" s="1"/>
  <c r="IE9" i="2" s="1"/>
  <c r="IF9" i="2" s="1"/>
  <c r="IG9" i="2" s="1"/>
  <c r="IH9" i="2" s="1"/>
  <c r="EV56" i="2"/>
  <c r="EU56" i="2"/>
  <c r="EN56" i="2"/>
  <c r="EM56" i="2"/>
  <c r="EF56" i="2"/>
  <c r="EE56" i="2"/>
  <c r="DX56" i="2"/>
  <c r="DW56" i="2"/>
  <c r="DP56" i="2"/>
  <c r="DO56" i="2"/>
  <c r="DH56" i="2"/>
  <c r="DG56" i="2"/>
  <c r="CZ56" i="2"/>
  <c r="CY56" i="2"/>
  <c r="EZ55" i="2"/>
  <c r="EW55" i="2"/>
  <c r="EV55" i="2"/>
  <c r="EU55" i="2"/>
  <c r="ET55" i="2"/>
  <c r="ES55" i="2"/>
  <c r="ER55" i="2"/>
  <c r="EO55" i="2"/>
  <c r="EN55" i="2"/>
  <c r="EM55" i="2"/>
  <c r="EL55" i="2"/>
  <c r="EK55" i="2"/>
  <c r="EJ55" i="2"/>
  <c r="EG55" i="2"/>
  <c r="EF55" i="2"/>
  <c r="EE55" i="2"/>
  <c r="ED55" i="2"/>
  <c r="EC55" i="2"/>
  <c r="EB55" i="2"/>
  <c r="DY55" i="2"/>
  <c r="DX55" i="2"/>
  <c r="DW55" i="2"/>
  <c r="DV55" i="2"/>
  <c r="DU55" i="2"/>
  <c r="DT55" i="2"/>
  <c r="DQ55" i="2"/>
  <c r="DP55" i="2"/>
  <c r="DO55" i="2"/>
  <c r="DN55" i="2"/>
  <c r="DM55" i="2"/>
  <c r="DL55" i="2"/>
  <c r="DI55" i="2"/>
  <c r="DH55" i="2"/>
  <c r="DG55" i="2"/>
  <c r="DF55" i="2"/>
  <c r="DE55" i="2"/>
  <c r="DD55" i="2"/>
  <c r="DA55" i="2"/>
  <c r="CZ55" i="2"/>
  <c r="CY55" i="2"/>
  <c r="CX55" i="2"/>
  <c r="CW55" i="2"/>
  <c r="CV55" i="2"/>
  <c r="EY41" i="2"/>
  <c r="EZ41" i="2" s="1"/>
  <c r="FA41" i="2" s="1"/>
  <c r="FB41" i="2" s="1"/>
  <c r="EX41" i="2"/>
  <c r="EW41" i="2"/>
  <c r="EV41" i="2"/>
  <c r="EU41" i="2"/>
  <c r="EQ41" i="2"/>
  <c r="ER41" i="2" s="1"/>
  <c r="ES41" i="2" s="1"/>
  <c r="ET41" i="2" s="1"/>
  <c r="EP41" i="2"/>
  <c r="EO41" i="2"/>
  <c r="EN41" i="2"/>
  <c r="EM41" i="2"/>
  <c r="EI41" i="2"/>
  <c r="EJ41" i="2" s="1"/>
  <c r="EK41" i="2" s="1"/>
  <c r="EL41" i="2" s="1"/>
  <c r="EH41" i="2"/>
  <c r="EG41" i="2"/>
  <c r="EF41" i="2"/>
  <c r="EE41" i="2"/>
  <c r="EA41" i="2"/>
  <c r="EB41" i="2" s="1"/>
  <c r="EC41" i="2" s="1"/>
  <c r="ED41" i="2" s="1"/>
  <c r="DZ41" i="2"/>
  <c r="DY41" i="2"/>
  <c r="DX41" i="2"/>
  <c r="DW41" i="2"/>
  <c r="DS41" i="2"/>
  <c r="DT41" i="2" s="1"/>
  <c r="DU41" i="2" s="1"/>
  <c r="DV41" i="2" s="1"/>
  <c r="DR41" i="2"/>
  <c r="DQ41" i="2"/>
  <c r="DP41" i="2"/>
  <c r="DO41" i="2"/>
  <c r="DK41" i="2"/>
  <c r="DL41" i="2" s="1"/>
  <c r="DM41" i="2" s="1"/>
  <c r="DN41" i="2" s="1"/>
  <c r="DJ41" i="2"/>
  <c r="DI41" i="2"/>
  <c r="DH41" i="2"/>
  <c r="DG41" i="2"/>
  <c r="DC41" i="2"/>
  <c r="DD41" i="2" s="1"/>
  <c r="DE41" i="2" s="1"/>
  <c r="DF41" i="2" s="1"/>
  <c r="DB41" i="2"/>
  <c r="DA41" i="2"/>
  <c r="CZ41" i="2"/>
  <c r="CY41" i="2"/>
  <c r="EY40" i="2"/>
  <c r="EZ40" i="2" s="1"/>
  <c r="EX40" i="2"/>
  <c r="EW40" i="2"/>
  <c r="EV40" i="2"/>
  <c r="EU40" i="2"/>
  <c r="EQ40" i="2"/>
  <c r="EP40" i="2"/>
  <c r="EO40" i="2"/>
  <c r="EN40" i="2"/>
  <c r="EM40" i="2"/>
  <c r="EI40" i="2"/>
  <c r="EJ40" i="2" s="1"/>
  <c r="EH40" i="2"/>
  <c r="EG40" i="2"/>
  <c r="EF40" i="2"/>
  <c r="EE40" i="2"/>
  <c r="EA40" i="2"/>
  <c r="DZ40" i="2"/>
  <c r="DY40" i="2"/>
  <c r="DX40" i="2"/>
  <c r="DW40" i="2"/>
  <c r="DS40" i="2"/>
  <c r="DT40" i="2" s="1"/>
  <c r="DR40" i="2"/>
  <c r="DQ40" i="2"/>
  <c r="DP40" i="2"/>
  <c r="DO40" i="2"/>
  <c r="DK40" i="2"/>
  <c r="DJ40" i="2"/>
  <c r="DI40" i="2"/>
  <c r="DH40" i="2"/>
  <c r="DG40" i="2"/>
  <c r="DC40" i="2"/>
  <c r="DD40" i="2" s="1"/>
  <c r="DB40" i="2"/>
  <c r="DA40" i="2"/>
  <c r="CZ40" i="2"/>
  <c r="CY40" i="2"/>
  <c r="EY39" i="2"/>
  <c r="EZ39" i="2" s="1"/>
  <c r="FA39" i="2" s="1"/>
  <c r="FB39" i="2" s="1"/>
  <c r="EX39" i="2"/>
  <c r="EW39" i="2"/>
  <c r="EV39" i="2"/>
  <c r="EU39" i="2"/>
  <c r="EQ39" i="2"/>
  <c r="ER39" i="2" s="1"/>
  <c r="ES39" i="2" s="1"/>
  <c r="ET39" i="2" s="1"/>
  <c r="EP39" i="2"/>
  <c r="EO39" i="2"/>
  <c r="EN39" i="2"/>
  <c r="EM39" i="2"/>
  <c r="EI39" i="2"/>
  <c r="EJ39" i="2" s="1"/>
  <c r="EK39" i="2" s="1"/>
  <c r="EL39" i="2" s="1"/>
  <c r="EH39" i="2"/>
  <c r="EG39" i="2"/>
  <c r="EF39" i="2"/>
  <c r="EE39" i="2"/>
  <c r="EA39" i="2"/>
  <c r="EB39" i="2" s="1"/>
  <c r="EC39" i="2" s="1"/>
  <c r="ED39" i="2" s="1"/>
  <c r="DZ39" i="2"/>
  <c r="DY39" i="2"/>
  <c r="DX39" i="2"/>
  <c r="DW39" i="2"/>
  <c r="DS39" i="2"/>
  <c r="DT39" i="2" s="1"/>
  <c r="DU39" i="2" s="1"/>
  <c r="DV39" i="2" s="1"/>
  <c r="DR39" i="2"/>
  <c r="DQ39" i="2"/>
  <c r="DP39" i="2"/>
  <c r="DO39" i="2"/>
  <c r="DK39" i="2"/>
  <c r="DL39" i="2" s="1"/>
  <c r="DM39" i="2" s="1"/>
  <c r="DN39" i="2" s="1"/>
  <c r="DJ39" i="2"/>
  <c r="DI39" i="2"/>
  <c r="DH39" i="2"/>
  <c r="DG39" i="2"/>
  <c r="DC39" i="2"/>
  <c r="DD39" i="2" s="1"/>
  <c r="DE39" i="2" s="1"/>
  <c r="DF39" i="2" s="1"/>
  <c r="DB39" i="2"/>
  <c r="DA39" i="2"/>
  <c r="CZ39" i="2"/>
  <c r="CY39" i="2"/>
  <c r="EY38" i="2"/>
  <c r="EZ38" i="2" s="1"/>
  <c r="FA38" i="2" s="1"/>
  <c r="FB38" i="2" s="1"/>
  <c r="EX38" i="2"/>
  <c r="EW38" i="2"/>
  <c r="EV38" i="2"/>
  <c r="EU38" i="2"/>
  <c r="EQ38" i="2"/>
  <c r="ER38" i="2" s="1"/>
  <c r="ES38" i="2" s="1"/>
  <c r="ET38" i="2" s="1"/>
  <c r="EP38" i="2"/>
  <c r="EO38" i="2"/>
  <c r="EN38" i="2"/>
  <c r="EM38" i="2"/>
  <c r="EI38" i="2"/>
  <c r="EJ38" i="2" s="1"/>
  <c r="EK38" i="2" s="1"/>
  <c r="EL38" i="2" s="1"/>
  <c r="EH38" i="2"/>
  <c r="EG38" i="2"/>
  <c r="EF38" i="2"/>
  <c r="EE38" i="2"/>
  <c r="EA38" i="2"/>
  <c r="EB38" i="2" s="1"/>
  <c r="EC38" i="2" s="1"/>
  <c r="ED38" i="2" s="1"/>
  <c r="DZ38" i="2"/>
  <c r="DY38" i="2"/>
  <c r="DX38" i="2"/>
  <c r="DW38" i="2"/>
  <c r="DS38" i="2"/>
  <c r="DT38" i="2" s="1"/>
  <c r="DU38" i="2" s="1"/>
  <c r="DV38" i="2" s="1"/>
  <c r="DR38" i="2"/>
  <c r="DQ38" i="2"/>
  <c r="DP38" i="2"/>
  <c r="DO38" i="2"/>
  <c r="DK38" i="2"/>
  <c r="DL38" i="2" s="1"/>
  <c r="DM38" i="2" s="1"/>
  <c r="DN38" i="2" s="1"/>
  <c r="DJ38" i="2"/>
  <c r="DI38" i="2"/>
  <c r="DH38" i="2"/>
  <c r="DG38" i="2"/>
  <c r="DC38" i="2"/>
  <c r="DD38" i="2" s="1"/>
  <c r="DE38" i="2" s="1"/>
  <c r="DF38" i="2" s="1"/>
  <c r="DB38" i="2"/>
  <c r="DA38" i="2"/>
  <c r="CZ38" i="2"/>
  <c r="CY38" i="2"/>
  <c r="EY37" i="2"/>
  <c r="EZ37" i="2" s="1"/>
  <c r="FA37" i="2" s="1"/>
  <c r="FB37" i="2" s="1"/>
  <c r="EX37" i="2"/>
  <c r="EW37" i="2"/>
  <c r="EV37" i="2"/>
  <c r="EU37" i="2"/>
  <c r="EQ37" i="2"/>
  <c r="ER37" i="2" s="1"/>
  <c r="ES37" i="2" s="1"/>
  <c r="ET37" i="2" s="1"/>
  <c r="EP37" i="2"/>
  <c r="EO37" i="2"/>
  <c r="EN37" i="2"/>
  <c r="EM37" i="2"/>
  <c r="EI37" i="2"/>
  <c r="EJ37" i="2" s="1"/>
  <c r="EK37" i="2" s="1"/>
  <c r="EL37" i="2" s="1"/>
  <c r="EH37" i="2"/>
  <c r="EG37" i="2"/>
  <c r="EF37" i="2"/>
  <c r="EE37" i="2"/>
  <c r="EA37" i="2"/>
  <c r="EB37" i="2" s="1"/>
  <c r="EC37" i="2" s="1"/>
  <c r="ED37" i="2" s="1"/>
  <c r="DZ37" i="2"/>
  <c r="DY37" i="2"/>
  <c r="DX37" i="2"/>
  <c r="DW37" i="2"/>
  <c r="DS37" i="2"/>
  <c r="DT37" i="2" s="1"/>
  <c r="DU37" i="2" s="1"/>
  <c r="DV37" i="2" s="1"/>
  <c r="DR37" i="2"/>
  <c r="DQ37" i="2"/>
  <c r="DP37" i="2"/>
  <c r="DO37" i="2"/>
  <c r="DK37" i="2"/>
  <c r="DL37" i="2" s="1"/>
  <c r="DM37" i="2" s="1"/>
  <c r="DN37" i="2" s="1"/>
  <c r="DJ37" i="2"/>
  <c r="DI37" i="2"/>
  <c r="DH37" i="2"/>
  <c r="DG37" i="2"/>
  <c r="DC37" i="2"/>
  <c r="DD37" i="2" s="1"/>
  <c r="DE37" i="2" s="1"/>
  <c r="DF37" i="2" s="1"/>
  <c r="DB37" i="2"/>
  <c r="DA37" i="2"/>
  <c r="CZ37" i="2"/>
  <c r="CY37" i="2"/>
  <c r="EY36" i="2"/>
  <c r="EZ36" i="2" s="1"/>
  <c r="FA36" i="2" s="1"/>
  <c r="FB36" i="2" s="1"/>
  <c r="EX36" i="2"/>
  <c r="EW36" i="2"/>
  <c r="EV36" i="2"/>
  <c r="EU36" i="2"/>
  <c r="EQ36" i="2"/>
  <c r="ER36" i="2" s="1"/>
  <c r="ES36" i="2" s="1"/>
  <c r="ET36" i="2" s="1"/>
  <c r="EP36" i="2"/>
  <c r="EO36" i="2"/>
  <c r="EN36" i="2"/>
  <c r="EM36" i="2"/>
  <c r="EI36" i="2"/>
  <c r="EJ36" i="2" s="1"/>
  <c r="EK36" i="2" s="1"/>
  <c r="EL36" i="2" s="1"/>
  <c r="EH36" i="2"/>
  <c r="EG36" i="2"/>
  <c r="EF36" i="2"/>
  <c r="EE36" i="2"/>
  <c r="EA36" i="2"/>
  <c r="EB36" i="2" s="1"/>
  <c r="EC36" i="2" s="1"/>
  <c r="ED36" i="2" s="1"/>
  <c r="DZ36" i="2"/>
  <c r="DY36" i="2"/>
  <c r="DX36" i="2"/>
  <c r="DW36" i="2"/>
  <c r="DS36" i="2"/>
  <c r="DT36" i="2" s="1"/>
  <c r="DU36" i="2" s="1"/>
  <c r="DV36" i="2" s="1"/>
  <c r="DR36" i="2"/>
  <c r="DQ36" i="2"/>
  <c r="DP36" i="2"/>
  <c r="DO36" i="2"/>
  <c r="DK36" i="2"/>
  <c r="DL36" i="2" s="1"/>
  <c r="DM36" i="2" s="1"/>
  <c r="DN36" i="2" s="1"/>
  <c r="DJ36" i="2"/>
  <c r="DI36" i="2"/>
  <c r="DH36" i="2"/>
  <c r="DG36" i="2"/>
  <c r="DC36" i="2"/>
  <c r="DD36" i="2" s="1"/>
  <c r="DE36" i="2" s="1"/>
  <c r="DF36" i="2" s="1"/>
  <c r="DB36" i="2"/>
  <c r="DA36" i="2"/>
  <c r="CZ36" i="2"/>
  <c r="CY36" i="2"/>
  <c r="EY35" i="2"/>
  <c r="EZ35" i="2" s="1"/>
  <c r="FA35" i="2" s="1"/>
  <c r="FB35" i="2" s="1"/>
  <c r="EX35" i="2"/>
  <c r="EW35" i="2"/>
  <c r="EV35" i="2"/>
  <c r="EU35" i="2"/>
  <c r="EQ35" i="2"/>
  <c r="ER35" i="2" s="1"/>
  <c r="ES35" i="2" s="1"/>
  <c r="ET35" i="2" s="1"/>
  <c r="EP35" i="2"/>
  <c r="EO35" i="2"/>
  <c r="EN35" i="2"/>
  <c r="EM35" i="2"/>
  <c r="EI35" i="2"/>
  <c r="EJ35" i="2" s="1"/>
  <c r="EK35" i="2" s="1"/>
  <c r="EL35" i="2" s="1"/>
  <c r="EH35" i="2"/>
  <c r="EG35" i="2"/>
  <c r="EF35" i="2"/>
  <c r="EE35" i="2"/>
  <c r="EA35" i="2"/>
  <c r="EB35" i="2" s="1"/>
  <c r="EC35" i="2" s="1"/>
  <c r="ED35" i="2" s="1"/>
  <c r="DZ35" i="2"/>
  <c r="DY35" i="2"/>
  <c r="DX35" i="2"/>
  <c r="DW35" i="2"/>
  <c r="DS35" i="2"/>
  <c r="DT35" i="2" s="1"/>
  <c r="DU35" i="2" s="1"/>
  <c r="DV35" i="2" s="1"/>
  <c r="DR35" i="2"/>
  <c r="DQ35" i="2"/>
  <c r="DP35" i="2"/>
  <c r="DO35" i="2"/>
  <c r="DK35" i="2"/>
  <c r="DL35" i="2" s="1"/>
  <c r="DM35" i="2" s="1"/>
  <c r="DN35" i="2" s="1"/>
  <c r="DJ35" i="2"/>
  <c r="DI35" i="2"/>
  <c r="DH35" i="2"/>
  <c r="DG35" i="2"/>
  <c r="DC35" i="2"/>
  <c r="DD35" i="2" s="1"/>
  <c r="DE35" i="2" s="1"/>
  <c r="DF35" i="2" s="1"/>
  <c r="DB35" i="2"/>
  <c r="DA35" i="2"/>
  <c r="CZ35" i="2"/>
  <c r="CY35" i="2"/>
  <c r="EY34" i="2"/>
  <c r="EZ34" i="2" s="1"/>
  <c r="FA34" i="2" s="1"/>
  <c r="FB34" i="2" s="1"/>
  <c r="EX34" i="2"/>
  <c r="EW34" i="2"/>
  <c r="EV34" i="2"/>
  <c r="EU34" i="2"/>
  <c r="EQ34" i="2"/>
  <c r="ER34" i="2" s="1"/>
  <c r="ES34" i="2" s="1"/>
  <c r="ET34" i="2" s="1"/>
  <c r="EP34" i="2"/>
  <c r="EO34" i="2"/>
  <c r="EN34" i="2"/>
  <c r="EM34" i="2"/>
  <c r="EI34" i="2"/>
  <c r="EJ34" i="2" s="1"/>
  <c r="EK34" i="2" s="1"/>
  <c r="EL34" i="2" s="1"/>
  <c r="EH34" i="2"/>
  <c r="EG34" i="2"/>
  <c r="EF34" i="2"/>
  <c r="EE34" i="2"/>
  <c r="EA34" i="2"/>
  <c r="EB34" i="2" s="1"/>
  <c r="EC34" i="2" s="1"/>
  <c r="ED34" i="2" s="1"/>
  <c r="DZ34" i="2"/>
  <c r="DY34" i="2"/>
  <c r="DX34" i="2"/>
  <c r="DW34" i="2"/>
  <c r="DS34" i="2"/>
  <c r="DT34" i="2" s="1"/>
  <c r="DU34" i="2" s="1"/>
  <c r="DV34" i="2" s="1"/>
  <c r="DR34" i="2"/>
  <c r="DQ34" i="2"/>
  <c r="DP34" i="2"/>
  <c r="DO34" i="2"/>
  <c r="DK34" i="2"/>
  <c r="DL34" i="2" s="1"/>
  <c r="DM34" i="2" s="1"/>
  <c r="DN34" i="2" s="1"/>
  <c r="DJ34" i="2"/>
  <c r="DI34" i="2"/>
  <c r="DH34" i="2"/>
  <c r="DG34" i="2"/>
  <c r="DC34" i="2"/>
  <c r="DD34" i="2" s="1"/>
  <c r="DE34" i="2" s="1"/>
  <c r="DF34" i="2" s="1"/>
  <c r="DB34" i="2"/>
  <c r="DA34" i="2"/>
  <c r="CZ34" i="2"/>
  <c r="CY34" i="2"/>
  <c r="EY33" i="2"/>
  <c r="EZ33" i="2" s="1"/>
  <c r="FA33" i="2" s="1"/>
  <c r="FB33" i="2" s="1"/>
  <c r="EX33" i="2"/>
  <c r="EW33" i="2"/>
  <c r="EV33" i="2"/>
  <c r="EU33" i="2"/>
  <c r="EQ33" i="2"/>
  <c r="ER33" i="2" s="1"/>
  <c r="ES33" i="2" s="1"/>
  <c r="ET33" i="2" s="1"/>
  <c r="EP33" i="2"/>
  <c r="EO33" i="2"/>
  <c r="EN33" i="2"/>
  <c r="EM33" i="2"/>
  <c r="EI33" i="2"/>
  <c r="EJ33" i="2" s="1"/>
  <c r="EK33" i="2" s="1"/>
  <c r="EL33" i="2" s="1"/>
  <c r="EH33" i="2"/>
  <c r="EG33" i="2"/>
  <c r="EF33" i="2"/>
  <c r="EE33" i="2"/>
  <c r="EA33" i="2"/>
  <c r="EB33" i="2" s="1"/>
  <c r="EC33" i="2" s="1"/>
  <c r="ED33" i="2" s="1"/>
  <c r="DZ33" i="2"/>
  <c r="DY33" i="2"/>
  <c r="DX33" i="2"/>
  <c r="DW33" i="2"/>
  <c r="DS33" i="2"/>
  <c r="DT33" i="2" s="1"/>
  <c r="DU33" i="2" s="1"/>
  <c r="DV33" i="2" s="1"/>
  <c r="DR33" i="2"/>
  <c r="DQ33" i="2"/>
  <c r="DP33" i="2"/>
  <c r="DO33" i="2"/>
  <c r="DK33" i="2"/>
  <c r="DL33" i="2" s="1"/>
  <c r="DM33" i="2" s="1"/>
  <c r="DN33" i="2" s="1"/>
  <c r="DJ33" i="2"/>
  <c r="DI33" i="2"/>
  <c r="DH33" i="2"/>
  <c r="DG33" i="2"/>
  <c r="DC33" i="2"/>
  <c r="DD33" i="2" s="1"/>
  <c r="DE33" i="2" s="1"/>
  <c r="DF33" i="2" s="1"/>
  <c r="DB33" i="2"/>
  <c r="DA33" i="2"/>
  <c r="CZ33" i="2"/>
  <c r="CY33" i="2"/>
  <c r="EY32" i="2"/>
  <c r="EX32" i="2"/>
  <c r="EW32" i="2"/>
  <c r="EV32" i="2"/>
  <c r="EU32" i="2"/>
  <c r="EQ32" i="2"/>
  <c r="EP32" i="2"/>
  <c r="EO32" i="2"/>
  <c r="EN32" i="2"/>
  <c r="EM32" i="2"/>
  <c r="EI32" i="2"/>
  <c r="EH32" i="2"/>
  <c r="EG32" i="2"/>
  <c r="EF32" i="2"/>
  <c r="EE32" i="2"/>
  <c r="EA32" i="2"/>
  <c r="DZ32" i="2"/>
  <c r="DY32" i="2"/>
  <c r="DX32" i="2"/>
  <c r="DW32" i="2"/>
  <c r="DS32" i="2"/>
  <c r="DR32" i="2"/>
  <c r="DQ32" i="2"/>
  <c r="DP32" i="2"/>
  <c r="DO32" i="2"/>
  <c r="DK32" i="2"/>
  <c r="DJ32" i="2"/>
  <c r="DI32" i="2"/>
  <c r="DH32" i="2"/>
  <c r="DG32" i="2"/>
  <c r="DC32" i="2"/>
  <c r="DB32" i="2"/>
  <c r="DA32" i="2"/>
  <c r="CZ32" i="2"/>
  <c r="CY32" i="2"/>
  <c r="EX19" i="2"/>
  <c r="EX55" i="2" s="1"/>
  <c r="EP19" i="2"/>
  <c r="EP55" i="2" s="1"/>
  <c r="EH19" i="2"/>
  <c r="EH55" i="2" s="1"/>
  <c r="DZ19" i="2"/>
  <c r="DZ55" i="2" s="1"/>
  <c r="DR19" i="2"/>
  <c r="DR55" i="2" s="1"/>
  <c r="DJ19" i="2"/>
  <c r="DJ55" i="2" s="1"/>
  <c r="DB19" i="2"/>
  <c r="DB55" i="2" s="1"/>
  <c r="EW18" i="2"/>
  <c r="EW56" i="2" s="1"/>
  <c r="EO18" i="2"/>
  <c r="EO56" i="2" s="1"/>
  <c r="EG18" i="2"/>
  <c r="DY18" i="2"/>
  <c r="DY56" i="2" s="1"/>
  <c r="DQ18" i="2"/>
  <c r="DQ56" i="2" s="1"/>
  <c r="DI18" i="2"/>
  <c r="DI56" i="2" s="1"/>
  <c r="DA18" i="2"/>
  <c r="CR56" i="2"/>
  <c r="CQ56" i="2"/>
  <c r="CI56" i="2"/>
  <c r="CD56" i="2"/>
  <c r="CC56" i="2"/>
  <c r="CB56" i="2"/>
  <c r="CA56" i="2"/>
  <c r="BZ56" i="2"/>
  <c r="BY56" i="2"/>
  <c r="BX56" i="2"/>
  <c r="BW56" i="2"/>
  <c r="BV56" i="2"/>
  <c r="BU56" i="2"/>
  <c r="BT56" i="2"/>
  <c r="CS55" i="2"/>
  <c r="CR55" i="2"/>
  <c r="CQ55" i="2"/>
  <c r="CP55" i="2"/>
  <c r="CO55" i="2"/>
  <c r="CN55" i="2"/>
  <c r="CM55" i="2"/>
  <c r="CI55" i="2"/>
  <c r="CH55" i="2"/>
  <c r="CG55" i="2"/>
  <c r="CF55" i="2"/>
  <c r="CE55" i="2"/>
  <c r="CD55" i="2"/>
  <c r="CB55" i="2"/>
  <c r="BV55" i="2"/>
  <c r="BU55" i="2"/>
  <c r="BT55" i="2"/>
  <c r="BS55" i="2"/>
  <c r="BR55" i="2"/>
  <c r="BQ55" i="2"/>
  <c r="CU41" i="2"/>
  <c r="CV41" i="2" s="1"/>
  <c r="CT41" i="2"/>
  <c r="CS41" i="2"/>
  <c r="CR41" i="2"/>
  <c r="CQ41" i="2"/>
  <c r="CM41" i="2"/>
  <c r="CN41" i="2" s="1"/>
  <c r="CO41" i="2" s="1"/>
  <c r="CP41" i="2" s="1"/>
  <c r="CI41" i="2"/>
  <c r="CE41" i="2"/>
  <c r="CF41" i="2" s="1"/>
  <c r="CG41" i="2" s="1"/>
  <c r="CH41" i="2" s="1"/>
  <c r="CD41" i="2"/>
  <c r="CC41" i="2"/>
  <c r="CB41" i="2"/>
  <c r="CA41" i="2"/>
  <c r="BZ41" i="2"/>
  <c r="BY41" i="2"/>
  <c r="BX41" i="2"/>
  <c r="BW41" i="2"/>
  <c r="BV41" i="2"/>
  <c r="BU41" i="2"/>
  <c r="BT41" i="2"/>
  <c r="CU40" i="2"/>
  <c r="CT40" i="2"/>
  <c r="CS40" i="2"/>
  <c r="CR40" i="2"/>
  <c r="CQ40" i="2"/>
  <c r="CM40" i="2"/>
  <c r="CN40" i="2" s="1"/>
  <c r="CI40" i="2"/>
  <c r="CE40" i="2"/>
  <c r="CF40" i="2" s="1"/>
  <c r="CD40" i="2"/>
  <c r="CC40" i="2"/>
  <c r="CB40" i="2"/>
  <c r="CA40" i="2"/>
  <c r="BZ40" i="2"/>
  <c r="BY40" i="2"/>
  <c r="BX40" i="2"/>
  <c r="BW40" i="2"/>
  <c r="BV40" i="2"/>
  <c r="BU40" i="2"/>
  <c r="BT40" i="2"/>
  <c r="CU39" i="2"/>
  <c r="CV39" i="2" s="1"/>
  <c r="CW39" i="2" s="1"/>
  <c r="CX39" i="2" s="1"/>
  <c r="CT39" i="2"/>
  <c r="CS39" i="2"/>
  <c r="CR39" i="2"/>
  <c r="CQ39" i="2"/>
  <c r="CM39" i="2"/>
  <c r="CN39" i="2" s="1"/>
  <c r="CO39" i="2" s="1"/>
  <c r="CP39" i="2" s="1"/>
  <c r="CI39" i="2"/>
  <c r="CE39" i="2"/>
  <c r="CF39" i="2" s="1"/>
  <c r="CG39" i="2" s="1"/>
  <c r="CH39" i="2" s="1"/>
  <c r="CD39" i="2"/>
  <c r="CC39" i="2"/>
  <c r="CB39" i="2"/>
  <c r="CA39" i="2"/>
  <c r="BZ39" i="2"/>
  <c r="BY39" i="2"/>
  <c r="BX39" i="2"/>
  <c r="BW39" i="2"/>
  <c r="BV39" i="2"/>
  <c r="BU39" i="2"/>
  <c r="BT39" i="2"/>
  <c r="CU38" i="2"/>
  <c r="CV38" i="2" s="1"/>
  <c r="CW38" i="2" s="1"/>
  <c r="CX38" i="2" s="1"/>
  <c r="CT38" i="2"/>
  <c r="CS38" i="2"/>
  <c r="CR38" i="2"/>
  <c r="CQ38" i="2"/>
  <c r="CM38" i="2"/>
  <c r="CN38" i="2" s="1"/>
  <c r="CO38" i="2" s="1"/>
  <c r="CP38" i="2" s="1"/>
  <c r="CI38" i="2"/>
  <c r="CE38" i="2"/>
  <c r="CF38" i="2" s="1"/>
  <c r="CG38" i="2" s="1"/>
  <c r="CH38" i="2" s="1"/>
  <c r="CD38" i="2"/>
  <c r="CC38" i="2"/>
  <c r="CB38" i="2"/>
  <c r="CA38" i="2"/>
  <c r="BZ38" i="2"/>
  <c r="BY38" i="2"/>
  <c r="BX38" i="2"/>
  <c r="BW38" i="2"/>
  <c r="BV38" i="2"/>
  <c r="BU38" i="2"/>
  <c r="BT38" i="2"/>
  <c r="CU37" i="2"/>
  <c r="CV37" i="2" s="1"/>
  <c r="CW37" i="2" s="1"/>
  <c r="CX37" i="2" s="1"/>
  <c r="CT37" i="2"/>
  <c r="CS37" i="2"/>
  <c r="CR37" i="2"/>
  <c r="CQ37" i="2"/>
  <c r="CM37" i="2"/>
  <c r="CN37" i="2" s="1"/>
  <c r="CO37" i="2" s="1"/>
  <c r="CP37" i="2" s="1"/>
  <c r="CI37" i="2"/>
  <c r="CE37" i="2"/>
  <c r="CF37" i="2" s="1"/>
  <c r="CG37" i="2" s="1"/>
  <c r="CH37" i="2" s="1"/>
  <c r="CD37" i="2"/>
  <c r="CC37" i="2"/>
  <c r="CB37" i="2"/>
  <c r="CA37" i="2"/>
  <c r="BZ37" i="2"/>
  <c r="BY37" i="2"/>
  <c r="BX37" i="2"/>
  <c r="BW37" i="2"/>
  <c r="BV37" i="2"/>
  <c r="BU37" i="2"/>
  <c r="BT37" i="2"/>
  <c r="CU36" i="2"/>
  <c r="CV36" i="2" s="1"/>
  <c r="CW36" i="2" s="1"/>
  <c r="CX36" i="2" s="1"/>
  <c r="CT36" i="2"/>
  <c r="CS36" i="2"/>
  <c r="CR36" i="2"/>
  <c r="CQ36" i="2"/>
  <c r="CM36" i="2"/>
  <c r="CN36" i="2" s="1"/>
  <c r="CO36" i="2" s="1"/>
  <c r="CP36" i="2" s="1"/>
  <c r="CI36" i="2"/>
  <c r="CE36" i="2"/>
  <c r="CF36" i="2" s="1"/>
  <c r="CG36" i="2" s="1"/>
  <c r="CH36" i="2" s="1"/>
  <c r="CD36" i="2"/>
  <c r="CC36" i="2"/>
  <c r="CB36" i="2"/>
  <c r="CA36" i="2"/>
  <c r="BZ36" i="2"/>
  <c r="BY36" i="2"/>
  <c r="BX36" i="2"/>
  <c r="BW36" i="2"/>
  <c r="BV36" i="2"/>
  <c r="BU36" i="2"/>
  <c r="BT36" i="2"/>
  <c r="CU35" i="2"/>
  <c r="CV35" i="2" s="1"/>
  <c r="CW35" i="2" s="1"/>
  <c r="CX35" i="2" s="1"/>
  <c r="CT35" i="2"/>
  <c r="CS35" i="2"/>
  <c r="CR35" i="2"/>
  <c r="CQ35" i="2"/>
  <c r="CM35" i="2"/>
  <c r="CN35" i="2" s="1"/>
  <c r="CO35" i="2" s="1"/>
  <c r="CP35" i="2" s="1"/>
  <c r="CI35" i="2"/>
  <c r="CE35" i="2"/>
  <c r="CF35" i="2" s="1"/>
  <c r="CG35" i="2" s="1"/>
  <c r="CH35" i="2" s="1"/>
  <c r="CD35" i="2"/>
  <c r="CC35" i="2"/>
  <c r="CB35" i="2"/>
  <c r="CA35" i="2"/>
  <c r="BZ35" i="2"/>
  <c r="BY35" i="2"/>
  <c r="BX35" i="2"/>
  <c r="BW35" i="2"/>
  <c r="BV35" i="2"/>
  <c r="BU35" i="2"/>
  <c r="BT35" i="2"/>
  <c r="CU34" i="2"/>
  <c r="CV34" i="2" s="1"/>
  <c r="CW34" i="2" s="1"/>
  <c r="CX34" i="2" s="1"/>
  <c r="CT34" i="2"/>
  <c r="CS34" i="2"/>
  <c r="CR34" i="2"/>
  <c r="CQ34" i="2"/>
  <c r="CM34" i="2"/>
  <c r="CN34" i="2" s="1"/>
  <c r="CO34" i="2" s="1"/>
  <c r="CP34" i="2" s="1"/>
  <c r="CI34" i="2"/>
  <c r="CE34" i="2"/>
  <c r="CF34" i="2" s="1"/>
  <c r="CG34" i="2" s="1"/>
  <c r="CH34" i="2" s="1"/>
  <c r="CD34" i="2"/>
  <c r="CC34" i="2"/>
  <c r="CB34" i="2"/>
  <c r="CA34" i="2"/>
  <c r="BZ34" i="2"/>
  <c r="BY34" i="2"/>
  <c r="BX34" i="2"/>
  <c r="BW34" i="2"/>
  <c r="BV34" i="2"/>
  <c r="BU34" i="2"/>
  <c r="BT34" i="2"/>
  <c r="CU33" i="2"/>
  <c r="CV33" i="2" s="1"/>
  <c r="CW33" i="2" s="1"/>
  <c r="CX33" i="2" s="1"/>
  <c r="CT33" i="2"/>
  <c r="CS33" i="2"/>
  <c r="CR33" i="2"/>
  <c r="CQ33" i="2"/>
  <c r="CM33" i="2"/>
  <c r="CN33" i="2" s="1"/>
  <c r="CO33" i="2" s="1"/>
  <c r="CP33" i="2" s="1"/>
  <c r="CI33" i="2"/>
  <c r="CE33" i="2"/>
  <c r="CF33" i="2" s="1"/>
  <c r="CG33" i="2" s="1"/>
  <c r="CH33" i="2" s="1"/>
  <c r="CD33" i="2"/>
  <c r="CC33" i="2"/>
  <c r="CB33" i="2"/>
  <c r="CA33" i="2"/>
  <c r="BZ33" i="2"/>
  <c r="BY33" i="2"/>
  <c r="BX33" i="2"/>
  <c r="BW33" i="2"/>
  <c r="BV33" i="2"/>
  <c r="BU33" i="2"/>
  <c r="BT33" i="2"/>
  <c r="CU32" i="2"/>
  <c r="CT32" i="2"/>
  <c r="CS32" i="2"/>
  <c r="CR32" i="2"/>
  <c r="CQ32" i="2"/>
  <c r="CM32" i="2"/>
  <c r="CI32" i="2"/>
  <c r="CE32" i="2"/>
  <c r="CD32" i="2"/>
  <c r="CC32" i="2"/>
  <c r="CB32" i="2"/>
  <c r="CA32" i="2"/>
  <c r="BZ32" i="2"/>
  <c r="BY32" i="2"/>
  <c r="BX32" i="2"/>
  <c r="BW32" i="2"/>
  <c r="BV32" i="2"/>
  <c r="BU32" i="2"/>
  <c r="BT32" i="2"/>
  <c r="CT19" i="2"/>
  <c r="CT55" i="2" s="1"/>
  <c r="CC19" i="2"/>
  <c r="CC55" i="2" s="1"/>
  <c r="BW55" i="2"/>
  <c r="CS18" i="2"/>
  <c r="CS56" i="2" s="1"/>
  <c r="CE18" i="2"/>
  <c r="BP56" i="2"/>
  <c r="BO56" i="2"/>
  <c r="BN56" i="2"/>
  <c r="Q56" i="2"/>
  <c r="L56" i="2"/>
  <c r="O56" i="2"/>
  <c r="M56" i="2"/>
  <c r="P56" i="2"/>
  <c r="K56" i="2"/>
  <c r="J56" i="2"/>
  <c r="I56" i="2"/>
  <c r="H56" i="2"/>
  <c r="D56" i="2"/>
  <c r="BP55" i="2"/>
  <c r="BO55" i="2"/>
  <c r="BN55" i="2"/>
  <c r="Q55" i="2"/>
  <c r="L55" i="2"/>
  <c r="O55" i="2"/>
  <c r="N55" i="2"/>
  <c r="M55" i="2"/>
  <c r="P55" i="2"/>
  <c r="K55" i="2"/>
  <c r="J55" i="2"/>
  <c r="I55" i="2"/>
  <c r="H55" i="2"/>
  <c r="G55" i="2"/>
  <c r="F55" i="2"/>
  <c r="E55" i="2"/>
  <c r="D55" i="2"/>
  <c r="D41" i="2"/>
  <c r="O49" i="2"/>
  <c r="O50" i="2" s="1"/>
  <c r="D40" i="2"/>
  <c r="D39" i="2"/>
  <c r="E39" i="2" s="1"/>
  <c r="F39" i="2" s="1"/>
  <c r="G39" i="2" s="1"/>
  <c r="D38" i="2"/>
  <c r="E38" i="2" s="1"/>
  <c r="F38" i="2" s="1"/>
  <c r="G38" i="2" s="1"/>
  <c r="D37" i="2"/>
  <c r="E37" i="2" s="1"/>
  <c r="F37" i="2" s="1"/>
  <c r="G37" i="2" s="1"/>
  <c r="D36" i="2"/>
  <c r="E36" i="2" s="1"/>
  <c r="F36" i="2" s="1"/>
  <c r="G36" i="2" s="1"/>
  <c r="D35" i="2"/>
  <c r="E35" i="2" s="1"/>
  <c r="F35" i="2" s="1"/>
  <c r="G35" i="2" s="1"/>
  <c r="D34" i="2"/>
  <c r="E34" i="2" s="1"/>
  <c r="F34" i="2" s="1"/>
  <c r="G34" i="2" s="1"/>
  <c r="D33" i="2"/>
  <c r="E33" i="2" s="1"/>
  <c r="F33" i="2" s="1"/>
  <c r="G33" i="2" s="1"/>
  <c r="D32" i="2"/>
  <c r="E32" i="2" s="1"/>
  <c r="F32" i="2" s="1"/>
  <c r="G32" i="2" s="1"/>
  <c r="E9" i="2"/>
  <c r="F9" i="2" s="1"/>
  <c r="G9" i="2" s="1"/>
  <c r="H9" i="2" s="1"/>
  <c r="I9" i="2" s="1"/>
  <c r="J9" i="2" s="1"/>
  <c r="K9" i="2" s="1"/>
  <c r="L9" i="2" s="1"/>
  <c r="M9" i="2" s="1"/>
  <c r="N9" i="2" s="1"/>
  <c r="O9" i="2" s="1"/>
  <c r="P9" i="2" s="1"/>
  <c r="Q9" i="2" s="1"/>
  <c r="R9" i="2" s="1"/>
  <c r="S9" i="2" s="1"/>
  <c r="T9" i="2" s="1"/>
  <c r="U9" i="2" s="1"/>
  <c r="V9" i="2" s="1"/>
  <c r="W9" i="2" s="1"/>
  <c r="X9" i="2" s="1"/>
  <c r="Y9" i="2" s="1"/>
  <c r="Z9" i="2" s="1"/>
  <c r="AA9" i="2" s="1"/>
  <c r="AB9" i="2" s="1"/>
  <c r="AC9" i="2" s="1"/>
  <c r="AD9" i="2" s="1"/>
  <c r="AE9" i="2" s="1"/>
  <c r="AF9" i="2" s="1"/>
  <c r="AG9" i="2" s="1"/>
  <c r="AH9" i="2" s="1"/>
  <c r="AI9" i="2" s="1"/>
  <c r="AJ9" i="2" s="1"/>
  <c r="AK9" i="2" s="1"/>
  <c r="AL9" i="2" s="1"/>
  <c r="AM9" i="2" s="1"/>
  <c r="AN9" i="2" s="1"/>
  <c r="AO9" i="2" s="1"/>
  <c r="AP9" i="2" s="1"/>
  <c r="AQ9" i="2" s="1"/>
  <c r="AR9" i="2" s="1"/>
  <c r="AS9" i="2" s="1"/>
  <c r="AT9" i="2" s="1"/>
  <c r="AU9" i="2" s="1"/>
  <c r="AV9" i="2" s="1"/>
  <c r="AW9" i="2" s="1"/>
  <c r="AX9" i="2" s="1"/>
  <c r="AY9" i="2" s="1"/>
  <c r="AZ9" i="2" s="1"/>
  <c r="BA9" i="2" s="1"/>
  <c r="BB9" i="2" s="1"/>
  <c r="BC9" i="2" s="1"/>
  <c r="BD9" i="2" s="1"/>
  <c r="BE9" i="2" s="1"/>
  <c r="BF9" i="2" s="1"/>
  <c r="BG9" i="2" s="1"/>
  <c r="BH9" i="2" s="1"/>
  <c r="BI9" i="2" s="1"/>
  <c r="BJ9" i="2" s="1"/>
  <c r="BK9" i="2" s="1"/>
  <c r="BL9" i="2" s="1"/>
  <c r="BM9" i="2" s="1"/>
  <c r="BN9" i="2" s="1"/>
  <c r="IS49" i="2" l="1"/>
  <c r="IS50" i="2" s="1"/>
  <c r="IW49" i="2"/>
  <c r="IW50" i="2" s="1"/>
  <c r="JC49" i="2"/>
  <c r="JC50" i="2" s="1"/>
  <c r="JK49" i="2"/>
  <c r="JK50" i="2" s="1"/>
  <c r="KI52" i="2"/>
  <c r="KH52" i="2"/>
  <c r="MJ52" i="2"/>
  <c r="KA52" i="2"/>
  <c r="KA58" i="2" s="1"/>
  <c r="LG52" i="2"/>
  <c r="BG29" i="2"/>
  <c r="BG28" i="2"/>
  <c r="BH28" i="2" s="1"/>
  <c r="BI28" i="2" s="1"/>
  <c r="BJ28" i="2" s="1"/>
  <c r="BF29" i="2"/>
  <c r="BF28" i="2"/>
  <c r="IR49" i="2"/>
  <c r="IR50" i="2" s="1"/>
  <c r="IV49" i="2"/>
  <c r="IV50" i="2" s="1"/>
  <c r="KR52" i="2"/>
  <c r="KR58" i="2" s="1"/>
  <c r="ME52" i="2"/>
  <c r="KQ52" i="2"/>
  <c r="LV52" i="2"/>
  <c r="EU49" i="2"/>
  <c r="EU50" i="2" s="1"/>
  <c r="HO49" i="2"/>
  <c r="HO50" i="2" s="1"/>
  <c r="HV49" i="2"/>
  <c r="HV50" i="2" s="1"/>
  <c r="HU49" i="2"/>
  <c r="HU50" i="2" s="1"/>
  <c r="ID49" i="2"/>
  <c r="ID50" i="2" s="1"/>
  <c r="IQ49" i="2"/>
  <c r="IQ50" i="2" s="1"/>
  <c r="IU49" i="2"/>
  <c r="IU50" i="2" s="1"/>
  <c r="JH49" i="2"/>
  <c r="JH50" i="2" s="1"/>
  <c r="LW52" i="2"/>
  <c r="LW58" i="2" s="1"/>
  <c r="EM49" i="2"/>
  <c r="EM50" i="2" s="1"/>
  <c r="EQ49" i="2"/>
  <c r="EQ50" i="2" s="1"/>
  <c r="IT49" i="2"/>
  <c r="IT50" i="2" s="1"/>
  <c r="IT52" i="2" s="1"/>
  <c r="IT58" i="2" s="1"/>
  <c r="JT49" i="2"/>
  <c r="JT50" i="2" s="1"/>
  <c r="KY52" i="2"/>
  <c r="IR32" i="2"/>
  <c r="IQ48" i="2"/>
  <c r="EE49" i="2"/>
  <c r="EE50" i="2" s="1"/>
  <c r="EE52" i="2" s="1"/>
  <c r="IQ9" i="2"/>
  <c r="IR9" i="2" s="1"/>
  <c r="IS9" i="2" s="1"/>
  <c r="IT9" i="2" s="1"/>
  <c r="IU9" i="2" s="1"/>
  <c r="IV9" i="2" s="1"/>
  <c r="IW9" i="2" s="1"/>
  <c r="IX9" i="2" s="1"/>
  <c r="KP52" i="2"/>
  <c r="KP58" i="2" s="1"/>
  <c r="EH49" i="2"/>
  <c r="EH50" i="2" s="1"/>
  <c r="FP52" i="2"/>
  <c r="FP58" i="2" s="1"/>
  <c r="KX52" i="2"/>
  <c r="GQ48" i="2"/>
  <c r="HH48" i="2"/>
  <c r="IH49" i="2"/>
  <c r="IH50" i="2" s="1"/>
  <c r="IL49" i="2"/>
  <c r="IL50" i="2" s="1"/>
  <c r="IP49" i="2"/>
  <c r="IP50" i="2" s="1"/>
  <c r="EI19" i="2"/>
  <c r="EI55" i="2" s="1"/>
  <c r="IO48" i="2"/>
  <c r="JH48" i="2"/>
  <c r="JP48" i="2"/>
  <c r="BT49" i="2"/>
  <c r="BT50" i="2" s="1"/>
  <c r="BX49" i="2"/>
  <c r="BX50" i="2" s="1"/>
  <c r="CB49" i="2"/>
  <c r="CB50" i="2" s="1"/>
  <c r="CI49" i="2"/>
  <c r="CI50" i="2" s="1"/>
  <c r="CT49" i="2"/>
  <c r="CT50" i="2" s="1"/>
  <c r="HN48" i="2"/>
  <c r="IB48" i="2"/>
  <c r="IK48" i="2"/>
  <c r="JI49" i="2"/>
  <c r="JI50" i="2" s="1"/>
  <c r="JP49" i="2"/>
  <c r="JP50" i="2" s="1"/>
  <c r="JP52" i="2" s="1"/>
  <c r="JX49" i="2"/>
  <c r="JX50" i="2" s="1"/>
  <c r="ML52" i="2"/>
  <c r="LF52" i="2"/>
  <c r="P48" i="2"/>
  <c r="D48" i="2"/>
  <c r="J48" i="2"/>
  <c r="O48" i="2"/>
  <c r="Q48" i="2"/>
  <c r="BU49" i="2"/>
  <c r="BU50" i="2" s="1"/>
  <c r="BY49" i="2"/>
  <c r="BY50" i="2" s="1"/>
  <c r="CC49" i="2"/>
  <c r="CC50" i="2" s="1"/>
  <c r="CQ49" i="2"/>
  <c r="CQ50" i="2" s="1"/>
  <c r="CU49" i="2"/>
  <c r="CU50" i="2" s="1"/>
  <c r="CY48" i="2"/>
  <c r="DQ48" i="2"/>
  <c r="EE48" i="2"/>
  <c r="EW48" i="2"/>
  <c r="DA49" i="2"/>
  <c r="DA50" i="2" s="1"/>
  <c r="DO49" i="2"/>
  <c r="DO50" i="2" s="1"/>
  <c r="EG49" i="2"/>
  <c r="EG50" i="2" s="1"/>
  <c r="DP49" i="2"/>
  <c r="DP50" i="2" s="1"/>
  <c r="FD48" i="2"/>
  <c r="FD52" i="2" s="1"/>
  <c r="GF49" i="2"/>
  <c r="GF50" i="2" s="1"/>
  <c r="IY48" i="2"/>
  <c r="JC48" i="2"/>
  <c r="HP49" i="2"/>
  <c r="HP50" i="2" s="1"/>
  <c r="MD52" i="2"/>
  <c r="MD58" i="2" s="1"/>
  <c r="DR49" i="2"/>
  <c r="DR50" i="2" s="1"/>
  <c r="DY49" i="2"/>
  <c r="DY50" i="2" s="1"/>
  <c r="L48" i="2"/>
  <c r="BN48" i="2"/>
  <c r="D49" i="2"/>
  <c r="D50" i="2" s="1"/>
  <c r="N49" i="2"/>
  <c r="N50" i="2" s="1"/>
  <c r="BP49" i="2"/>
  <c r="BP50" i="2" s="1"/>
  <c r="P49" i="2"/>
  <c r="P50" i="2" s="1"/>
  <c r="L49" i="2"/>
  <c r="L50" i="2" s="1"/>
  <c r="BN49" i="2"/>
  <c r="BN50" i="2" s="1"/>
  <c r="BW49" i="2"/>
  <c r="BW50" i="2" s="1"/>
  <c r="CA49" i="2"/>
  <c r="CA50" i="2" s="1"/>
  <c r="CS49" i="2"/>
  <c r="CS50" i="2" s="1"/>
  <c r="EY19" i="2"/>
  <c r="EY55" i="2" s="1"/>
  <c r="CY49" i="2"/>
  <c r="CY50" i="2" s="1"/>
  <c r="DJ49" i="2"/>
  <c r="DJ50" i="2" s="1"/>
  <c r="DQ49" i="2"/>
  <c r="DQ50" i="2" s="1"/>
  <c r="EP49" i="2"/>
  <c r="EP50" i="2" s="1"/>
  <c r="EW49" i="2"/>
  <c r="EW50" i="2" s="1"/>
  <c r="FC48" i="2"/>
  <c r="FG48" i="2"/>
  <c r="FN48" i="2"/>
  <c r="HC48" i="2"/>
  <c r="GQ49" i="2"/>
  <c r="GQ50" i="2" s="1"/>
  <c r="HD49" i="2"/>
  <c r="HD50" i="2" s="1"/>
  <c r="HD52" i="2" s="1"/>
  <c r="HB49" i="2"/>
  <c r="HB50" i="2" s="1"/>
  <c r="IG48" i="2"/>
  <c r="IL48" i="2"/>
  <c r="HT49" i="2"/>
  <c r="HT50" i="2" s="1"/>
  <c r="IA49" i="2"/>
  <c r="IA50" i="2" s="1"/>
  <c r="IG49" i="2"/>
  <c r="IG50" i="2" s="1"/>
  <c r="IK49" i="2"/>
  <c r="IK50" i="2" s="1"/>
  <c r="IO49" i="2"/>
  <c r="IO50" i="2" s="1"/>
  <c r="IO52" i="2" s="1"/>
  <c r="IY49" i="2"/>
  <c r="IY50" i="2" s="1"/>
  <c r="JD49" i="2"/>
  <c r="JD50" i="2" s="1"/>
  <c r="EF49" i="2"/>
  <c r="EF50" i="2" s="1"/>
  <c r="GY49" i="2"/>
  <c r="GY50" i="2" s="1"/>
  <c r="FR49" i="2"/>
  <c r="FR50" i="2" s="1"/>
  <c r="CT18" i="2"/>
  <c r="CT56" i="2" s="1"/>
  <c r="DS19" i="2"/>
  <c r="DS55" i="2" s="1"/>
  <c r="H49" i="2"/>
  <c r="H50" i="2" s="1"/>
  <c r="M49" i="2"/>
  <c r="M50" i="2" s="1"/>
  <c r="BO49" i="2"/>
  <c r="BO50" i="2" s="1"/>
  <c r="E49" i="2"/>
  <c r="E50" i="2" s="1"/>
  <c r="Q49" i="2"/>
  <c r="Q50" i="2" s="1"/>
  <c r="Q52" i="2" s="1"/>
  <c r="Q43" i="2" s="1"/>
  <c r="BU48" i="2"/>
  <c r="BY48" i="2"/>
  <c r="CC48" i="2"/>
  <c r="CQ48" i="2"/>
  <c r="CQ52" i="2" s="1"/>
  <c r="CU48" i="2"/>
  <c r="BV49" i="2"/>
  <c r="BV50" i="2" s="1"/>
  <c r="BZ49" i="2"/>
  <c r="BZ50" i="2" s="1"/>
  <c r="CD49" i="2"/>
  <c r="CD50" i="2" s="1"/>
  <c r="CR49" i="2"/>
  <c r="CR50" i="2" s="1"/>
  <c r="DC19" i="2"/>
  <c r="DC55" i="2" s="1"/>
  <c r="FM48" i="2"/>
  <c r="FM52" i="2" s="1"/>
  <c r="GK48" i="2"/>
  <c r="GJ49" i="2"/>
  <c r="GJ50" i="2" s="1"/>
  <c r="GW49" i="2"/>
  <c r="GW50" i="2" s="1"/>
  <c r="HC49" i="2"/>
  <c r="HC50" i="2" s="1"/>
  <c r="HC52" i="2" s="1"/>
  <c r="HJ49" i="2"/>
  <c r="HJ50" i="2" s="1"/>
  <c r="IF48" i="2"/>
  <c r="IP48" i="2"/>
  <c r="HQ40" i="2"/>
  <c r="HR40" i="2" s="1"/>
  <c r="HR49" i="2" s="1"/>
  <c r="HR50" i="2" s="1"/>
  <c r="JQ49" i="2"/>
  <c r="JQ50" i="2" s="1"/>
  <c r="CW41" i="2"/>
  <c r="CX41" i="2" s="1"/>
  <c r="I48" i="2"/>
  <c r="BO48" i="2"/>
  <c r="BO52" i="2" s="1"/>
  <c r="BO43" i="2" s="1"/>
  <c r="M48" i="2"/>
  <c r="M52" i="2" s="1"/>
  <c r="M43" i="2" s="1"/>
  <c r="BP48" i="2"/>
  <c r="G49" i="2"/>
  <c r="G50" i="2" s="1"/>
  <c r="I49" i="2"/>
  <c r="I50" i="2" s="1"/>
  <c r="BT48" i="2"/>
  <c r="BX48" i="2"/>
  <c r="CB48" i="2"/>
  <c r="CI48" i="2"/>
  <c r="CI52" i="2" s="1"/>
  <c r="DB48" i="2"/>
  <c r="DI48" i="2"/>
  <c r="DP48" i="2"/>
  <c r="DW48" i="2"/>
  <c r="EH48" i="2"/>
  <c r="EV48" i="2"/>
  <c r="DB49" i="2"/>
  <c r="DB50" i="2" s="1"/>
  <c r="DI49" i="2"/>
  <c r="DI50" i="2" s="1"/>
  <c r="DW49" i="2"/>
  <c r="DW50" i="2" s="1"/>
  <c r="EA49" i="2"/>
  <c r="EA50" i="2" s="1"/>
  <c r="EO49" i="2"/>
  <c r="EO50" i="2" s="1"/>
  <c r="EN49" i="2"/>
  <c r="EN50" i="2" s="1"/>
  <c r="FM56" i="2"/>
  <c r="FN18" i="2"/>
  <c r="FF48" i="2"/>
  <c r="FL48" i="2"/>
  <c r="FL52" i="2" s="1"/>
  <c r="FQ48" i="2"/>
  <c r="FQ52" i="2" s="1"/>
  <c r="GJ48" i="2"/>
  <c r="HD48" i="2"/>
  <c r="FR48" i="2"/>
  <c r="K48" i="2"/>
  <c r="BV48" i="2"/>
  <c r="BZ48" i="2"/>
  <c r="CD48" i="2"/>
  <c r="CR48" i="2"/>
  <c r="CR52" i="2" s="1"/>
  <c r="DZ18" i="2"/>
  <c r="DZ56" i="2" s="1"/>
  <c r="EX18" i="2"/>
  <c r="CV32" i="2"/>
  <c r="CZ48" i="2"/>
  <c r="DG48" i="2"/>
  <c r="DR48" i="2"/>
  <c r="DY48" i="2"/>
  <c r="EF48" i="2"/>
  <c r="EM48" i="2"/>
  <c r="EX48" i="2"/>
  <c r="CV40" i="2"/>
  <c r="CW40" i="2" s="1"/>
  <c r="DG49" i="2"/>
  <c r="DG50" i="2" s="1"/>
  <c r="DG52" i="2" s="1"/>
  <c r="DK49" i="2"/>
  <c r="DK50" i="2" s="1"/>
  <c r="EX49" i="2"/>
  <c r="EX50" i="2" s="1"/>
  <c r="EX52" i="2" s="1"/>
  <c r="DH49" i="2"/>
  <c r="DH50" i="2" s="1"/>
  <c r="FH32" i="2"/>
  <c r="FH48" i="2" s="1"/>
  <c r="FS48" i="2"/>
  <c r="GE48" i="2"/>
  <c r="H48" i="2"/>
  <c r="DJ18" i="2"/>
  <c r="DK18" i="2" s="1"/>
  <c r="DK56" i="2" s="1"/>
  <c r="DK19" i="2"/>
  <c r="DK55" i="2" s="1"/>
  <c r="EA19" i="2"/>
  <c r="EA55" i="2" s="1"/>
  <c r="EQ19" i="2"/>
  <c r="EQ55" i="2" s="1"/>
  <c r="DH48" i="2"/>
  <c r="DZ48" i="2"/>
  <c r="EN48" i="2"/>
  <c r="DZ49" i="2"/>
  <c r="DZ50" i="2" s="1"/>
  <c r="EZ49" i="2"/>
  <c r="EZ50" i="2" s="1"/>
  <c r="FA40" i="2"/>
  <c r="FA49" i="2" s="1"/>
  <c r="FA50" i="2" s="1"/>
  <c r="CZ49" i="2"/>
  <c r="CZ50" i="2" s="1"/>
  <c r="DX49" i="2"/>
  <c r="DX50" i="2" s="1"/>
  <c r="FF18" i="2"/>
  <c r="FF56" i="2" s="1"/>
  <c r="FN55" i="2"/>
  <c r="FO19" i="2"/>
  <c r="FO55" i="2" s="1"/>
  <c r="EV49" i="2"/>
  <c r="EV50" i="2" s="1"/>
  <c r="GF48" i="2"/>
  <c r="GP48" i="2"/>
  <c r="HI48" i="2"/>
  <c r="FC49" i="2"/>
  <c r="FC50" i="2" s="1"/>
  <c r="FG49" i="2"/>
  <c r="FG50" i="2" s="1"/>
  <c r="FN49" i="2"/>
  <c r="FN50" i="2" s="1"/>
  <c r="FY49" i="2"/>
  <c r="FY50" i="2" s="1"/>
  <c r="GD49" i="2"/>
  <c r="GD50" i="2" s="1"/>
  <c r="GK49" i="2"/>
  <c r="GK50" i="2" s="1"/>
  <c r="GK52" i="2" s="1"/>
  <c r="HI49" i="2"/>
  <c r="HI50" i="2" s="1"/>
  <c r="HI52" i="2" s="1"/>
  <c r="GP49" i="2"/>
  <c r="GP50" i="2" s="1"/>
  <c r="JS48" i="2"/>
  <c r="HN49" i="2"/>
  <c r="HN50" i="2" s="1"/>
  <c r="HN52" i="2" s="1"/>
  <c r="HZ49" i="2"/>
  <c r="HZ50" i="2" s="1"/>
  <c r="II49" i="2"/>
  <c r="II50" i="2" s="1"/>
  <c r="II52" i="2" s="1"/>
  <c r="II58" i="2" s="1"/>
  <c r="IM49" i="2"/>
  <c r="IM50" i="2" s="1"/>
  <c r="JE40" i="2"/>
  <c r="JE49" i="2" s="1"/>
  <c r="JE50" i="2" s="1"/>
  <c r="JL49" i="2"/>
  <c r="JL50" i="2" s="1"/>
  <c r="JS49" i="2"/>
  <c r="JS50" i="2" s="1"/>
  <c r="JY49" i="2"/>
  <c r="JY50" i="2" s="1"/>
  <c r="KJ52" i="2"/>
  <c r="KJ43" i="2" s="1"/>
  <c r="LN52" i="2"/>
  <c r="LN43" i="2" s="1"/>
  <c r="FF49" i="2"/>
  <c r="FF50" i="2" s="1"/>
  <c r="FF52" i="2" s="1"/>
  <c r="GX49" i="2"/>
  <c r="GX50" i="2" s="1"/>
  <c r="JM49" i="2"/>
  <c r="JM50" i="2" s="1"/>
  <c r="GA49" i="2"/>
  <c r="GA50" i="2" s="1"/>
  <c r="GL49" i="2"/>
  <c r="GL50" i="2" s="1"/>
  <c r="JU40" i="2"/>
  <c r="JU49" i="2" s="1"/>
  <c r="JU50" i="2" s="1"/>
  <c r="GB40" i="2"/>
  <c r="GB49" i="2" s="1"/>
  <c r="GB50" i="2" s="1"/>
  <c r="GN40" i="2"/>
  <c r="GO40" i="2" s="1"/>
  <c r="GZ40" i="2"/>
  <c r="GZ49" i="2" s="1"/>
  <c r="GZ50" i="2" s="1"/>
  <c r="HL40" i="2"/>
  <c r="HM40" i="2" s="1"/>
  <c r="HM49" i="2" s="1"/>
  <c r="HM50" i="2" s="1"/>
  <c r="FZ49" i="2"/>
  <c r="FZ50" i="2" s="1"/>
  <c r="GM41" i="2"/>
  <c r="GN41" i="2" s="1"/>
  <c r="GO41" i="2" s="1"/>
  <c r="KX58" i="2"/>
  <c r="KX43" i="2"/>
  <c r="LY49" i="2"/>
  <c r="LY50" i="2" s="1"/>
  <c r="LZ40" i="2"/>
  <c r="LX58" i="2"/>
  <c r="LX43" i="2"/>
  <c r="ME58" i="2"/>
  <c r="ME43" i="2"/>
  <c r="KS49" i="2"/>
  <c r="KS50" i="2" s="1"/>
  <c r="KT40" i="2"/>
  <c r="MG48" i="2"/>
  <c r="MH32" i="2"/>
  <c r="KW58" i="2"/>
  <c r="KW43" i="2"/>
  <c r="LP58" i="2"/>
  <c r="LP43" i="2"/>
  <c r="KL40" i="2"/>
  <c r="KK49" i="2"/>
  <c r="KK50" i="2" s="1"/>
  <c r="KO58" i="2"/>
  <c r="KO43" i="2"/>
  <c r="LH58" i="2"/>
  <c r="LH43" i="2"/>
  <c r="LM58" i="2"/>
  <c r="LM43" i="2"/>
  <c r="LB40" i="2"/>
  <c r="LA49" i="2"/>
  <c r="LA50" i="2" s="1"/>
  <c r="KC49" i="2"/>
  <c r="KC50" i="2" s="1"/>
  <c r="KD40" i="2"/>
  <c r="KS48" i="2"/>
  <c r="KT32" i="2"/>
  <c r="MJ58" i="2"/>
  <c r="MJ43" i="2"/>
  <c r="MK58" i="2"/>
  <c r="MK43" i="2"/>
  <c r="LT58" i="2"/>
  <c r="LT43" i="2"/>
  <c r="LY48" i="2"/>
  <c r="LZ32" i="2"/>
  <c r="LL58" i="2"/>
  <c r="LL43" i="2"/>
  <c r="LV58" i="2"/>
  <c r="LV43" i="2"/>
  <c r="LD58" i="2"/>
  <c r="LD43" i="2"/>
  <c r="KG58" i="2"/>
  <c r="KG43" i="2"/>
  <c r="KZ58" i="2"/>
  <c r="KZ43" i="2"/>
  <c r="KB52" i="2"/>
  <c r="MF58" i="2"/>
  <c r="MF43" i="2"/>
  <c r="LE58" i="2"/>
  <c r="LE43" i="2"/>
  <c r="LF58" i="2"/>
  <c r="LF43" i="2"/>
  <c r="KN58" i="2"/>
  <c r="KN43" i="2"/>
  <c r="LI48" i="2"/>
  <c r="LJ32" i="2"/>
  <c r="LW43" i="2"/>
  <c r="KF58" i="2"/>
  <c r="KF43" i="2"/>
  <c r="LO58" i="2"/>
  <c r="LO43" i="2"/>
  <c r="KP43" i="2"/>
  <c r="LQ48" i="2"/>
  <c r="LR32" i="2"/>
  <c r="KV58" i="2"/>
  <c r="KV43" i="2"/>
  <c r="KC48" i="2"/>
  <c r="KD32" i="2"/>
  <c r="KK48" i="2"/>
  <c r="KL32" i="2"/>
  <c r="MH40" i="2"/>
  <c r="MG49" i="2"/>
  <c r="MG50" i="2" s="1"/>
  <c r="MB58" i="2"/>
  <c r="MB43" i="2"/>
  <c r="ML58" i="2"/>
  <c r="ML43" i="2"/>
  <c r="KY58" i="2"/>
  <c r="KY43" i="2"/>
  <c r="MC58" i="2"/>
  <c r="MC43" i="2"/>
  <c r="LR40" i="2"/>
  <c r="LQ49" i="2"/>
  <c r="LQ50" i="2" s="1"/>
  <c r="KQ58" i="2"/>
  <c r="KQ43" i="2"/>
  <c r="LU58" i="2"/>
  <c r="LU43" i="2"/>
  <c r="LI49" i="2"/>
  <c r="LI50" i="2" s="1"/>
  <c r="LJ40" i="2"/>
  <c r="KI58" i="2"/>
  <c r="KI43" i="2"/>
  <c r="LA48" i="2"/>
  <c r="LB32" i="2"/>
  <c r="LG58" i="2"/>
  <c r="LG43" i="2"/>
  <c r="KH58" i="2"/>
  <c r="KH43" i="2"/>
  <c r="HR48" i="2"/>
  <c r="HS32" i="2"/>
  <c r="HS48" i="2" s="1"/>
  <c r="IN19" i="2"/>
  <c r="IN55" i="2" s="1"/>
  <c r="HT48" i="2"/>
  <c r="IC32" i="2"/>
  <c r="IH48" i="2"/>
  <c r="IM32" i="2"/>
  <c r="IM48" i="2" s="1"/>
  <c r="IZ48" i="2"/>
  <c r="JD32" i="2"/>
  <c r="JK48" i="2"/>
  <c r="JX48" i="2"/>
  <c r="IO19" i="2"/>
  <c r="IO55" i="2" s="1"/>
  <c r="HP48" i="2"/>
  <c r="HU48" i="2"/>
  <c r="HU52" i="2" s="1"/>
  <c r="HZ48" i="2"/>
  <c r="JL48" i="2"/>
  <c r="JL52" i="2" s="1"/>
  <c r="JM32" i="2"/>
  <c r="HQ48" i="2"/>
  <c r="HV48" i="2"/>
  <c r="HV52" i="2" s="1"/>
  <c r="HW32" i="2"/>
  <c r="JT48" i="2"/>
  <c r="JU32" i="2"/>
  <c r="IE40" i="2"/>
  <c r="IE49" i="2" s="1"/>
  <c r="IE50" i="2" s="1"/>
  <c r="JA48" i="2"/>
  <c r="JI48" i="2"/>
  <c r="JI52" i="2" s="1"/>
  <c r="JQ48" i="2"/>
  <c r="JY48" i="2"/>
  <c r="JY52" i="2" s="1"/>
  <c r="HO48" i="2"/>
  <c r="IA48" i="2"/>
  <c r="IJ48" i="2"/>
  <c r="IN48" i="2"/>
  <c r="IX48" i="2"/>
  <c r="JB48" i="2"/>
  <c r="JJ32" i="2"/>
  <c r="JJ48" i="2" s="1"/>
  <c r="JR32" i="2"/>
  <c r="JR48" i="2" s="1"/>
  <c r="JZ32" i="2"/>
  <c r="JZ48" i="2" s="1"/>
  <c r="HW40" i="2"/>
  <c r="IP52" i="2"/>
  <c r="IW52" i="2"/>
  <c r="JA49" i="2"/>
  <c r="JA50" i="2" s="1"/>
  <c r="IB49" i="2"/>
  <c r="IB50" i="2" s="1"/>
  <c r="IF49" i="2"/>
  <c r="IF50" i="2" s="1"/>
  <c r="IF52" i="2" s="1"/>
  <c r="IJ49" i="2"/>
  <c r="IJ50" i="2" s="1"/>
  <c r="IN49" i="2"/>
  <c r="IN50" i="2" s="1"/>
  <c r="IX49" i="2"/>
  <c r="IX50" i="2" s="1"/>
  <c r="JB49" i="2"/>
  <c r="JB50" i="2" s="1"/>
  <c r="JJ40" i="2"/>
  <c r="JJ49" i="2" s="1"/>
  <c r="JJ50" i="2" s="1"/>
  <c r="JN40" i="2"/>
  <c r="JR40" i="2"/>
  <c r="JR49" i="2" s="1"/>
  <c r="JR50" i="2" s="1"/>
  <c r="JV40" i="2"/>
  <c r="JZ40" i="2"/>
  <c r="JZ49" i="2" s="1"/>
  <c r="JZ50" i="2" s="1"/>
  <c r="IC49" i="2"/>
  <c r="IC50" i="2" s="1"/>
  <c r="IG52" i="2"/>
  <c r="IK52" i="2"/>
  <c r="IU52" i="2"/>
  <c r="IU58" i="2" s="1"/>
  <c r="IU29" i="2" s="1"/>
  <c r="JC52" i="2"/>
  <c r="JS52" i="2"/>
  <c r="IV52" i="2"/>
  <c r="IV58" i="2" s="1"/>
  <c r="IV29" i="2" s="1"/>
  <c r="IZ49" i="2"/>
  <c r="IZ50" i="2" s="1"/>
  <c r="JH52" i="2"/>
  <c r="FV48" i="2"/>
  <c r="FW32" i="2"/>
  <c r="FW48" i="2" s="1"/>
  <c r="GU32" i="2"/>
  <c r="GU48" i="2" s="1"/>
  <c r="GT48" i="2"/>
  <c r="FG19" i="2"/>
  <c r="FG55" i="2" s="1"/>
  <c r="FE48" i="2"/>
  <c r="FE52" i="2" s="1"/>
  <c r="FX48" i="2"/>
  <c r="FX52" i="2" s="1"/>
  <c r="GG32" i="2"/>
  <c r="GL48" i="2"/>
  <c r="GM32" i="2"/>
  <c r="GV48" i="2"/>
  <c r="GV52" i="2" s="1"/>
  <c r="HE32" i="2"/>
  <c r="HK32" i="2"/>
  <c r="HJ48" i="2"/>
  <c r="HJ52" i="2" s="1"/>
  <c r="GJ52" i="2"/>
  <c r="HH52" i="2"/>
  <c r="FK48" i="2"/>
  <c r="FK52" i="2" s="1"/>
  <c r="FO48" i="2"/>
  <c r="FO52" i="2" s="1"/>
  <c r="FT48" i="2"/>
  <c r="FT52" i="2" s="1"/>
  <c r="FY48" i="2"/>
  <c r="GD48" i="2"/>
  <c r="GR48" i="2"/>
  <c r="GR52" i="2" s="1"/>
  <c r="GW48" i="2"/>
  <c r="GW52" i="2" s="1"/>
  <c r="HB48" i="2"/>
  <c r="FU48" i="2"/>
  <c r="FZ48" i="2"/>
  <c r="GA32" i="2"/>
  <c r="GS48" i="2"/>
  <c r="GX48" i="2"/>
  <c r="GY32" i="2"/>
  <c r="FS52" i="2"/>
  <c r="GE52" i="2"/>
  <c r="FU40" i="2"/>
  <c r="GG40" i="2"/>
  <c r="GS40" i="2"/>
  <c r="HE40" i="2"/>
  <c r="FH40" i="2"/>
  <c r="DA56" i="2"/>
  <c r="DB18" i="2"/>
  <c r="EP18" i="2"/>
  <c r="EA48" i="2"/>
  <c r="EA52" i="2" s="1"/>
  <c r="EB32" i="2"/>
  <c r="EO48" i="2"/>
  <c r="DU40" i="2"/>
  <c r="DT49" i="2"/>
  <c r="DT50" i="2" s="1"/>
  <c r="DR18" i="2"/>
  <c r="EA18" i="2"/>
  <c r="EA56" i="2" s="1"/>
  <c r="EG56" i="2"/>
  <c r="EH18" i="2"/>
  <c r="DA48" i="2"/>
  <c r="DJ48" i="2"/>
  <c r="DJ52" i="2" s="1"/>
  <c r="DO48" i="2"/>
  <c r="DS48" i="2"/>
  <c r="DT32" i="2"/>
  <c r="DX48" i="2"/>
  <c r="EG48" i="2"/>
  <c r="EP48" i="2"/>
  <c r="EP52" i="2" s="1"/>
  <c r="EU48" i="2"/>
  <c r="EU52" i="2" s="1"/>
  <c r="EY48" i="2"/>
  <c r="EZ32" i="2"/>
  <c r="DK48" i="2"/>
  <c r="DK52" i="2" s="1"/>
  <c r="DL32" i="2"/>
  <c r="EQ48" i="2"/>
  <c r="EQ52" i="2" s="1"/>
  <c r="ER32" i="2"/>
  <c r="DE40" i="2"/>
  <c r="DD49" i="2"/>
  <c r="DD50" i="2" s="1"/>
  <c r="EK40" i="2"/>
  <c r="EJ49" i="2"/>
  <c r="EJ50" i="2" s="1"/>
  <c r="EW52" i="2"/>
  <c r="DC48" i="2"/>
  <c r="DD32" i="2"/>
  <c r="EI48" i="2"/>
  <c r="EJ32" i="2"/>
  <c r="DC49" i="2"/>
  <c r="DC50" i="2" s="1"/>
  <c r="DS49" i="2"/>
  <c r="DS50" i="2" s="1"/>
  <c r="EI49" i="2"/>
  <c r="EI50" i="2" s="1"/>
  <c r="EY49" i="2"/>
  <c r="EY50" i="2" s="1"/>
  <c r="DL40" i="2"/>
  <c r="EB40" i="2"/>
  <c r="ER40" i="2"/>
  <c r="CN32" i="2"/>
  <c r="CO32" i="2" s="1"/>
  <c r="CP32" i="2" s="1"/>
  <c r="CM48" i="2"/>
  <c r="CU18" i="2"/>
  <c r="CU56" i="2" s="1"/>
  <c r="CU19" i="2"/>
  <c r="CU55" i="2" s="1"/>
  <c r="CO40" i="2"/>
  <c r="CN49" i="2"/>
  <c r="CN50" i="2" s="1"/>
  <c r="CN52" i="2" s="1"/>
  <c r="CN58" i="2" s="1"/>
  <c r="BW48" i="2"/>
  <c r="CA48" i="2"/>
  <c r="CA52" i="2" s="1"/>
  <c r="CF32" i="2"/>
  <c r="CE48" i="2"/>
  <c r="CS48" i="2"/>
  <c r="BY52" i="2"/>
  <c r="BY43" i="2" s="1"/>
  <c r="CF56" i="2"/>
  <c r="CE56" i="2"/>
  <c r="CT48" i="2"/>
  <c r="CT52" i="2" s="1"/>
  <c r="BV52" i="2"/>
  <c r="BV43" i="2" s="1"/>
  <c r="BR49" i="2"/>
  <c r="BR50" i="2" s="1"/>
  <c r="BR52" i="2" s="1"/>
  <c r="BR58" i="2" s="1"/>
  <c r="BS49" i="2"/>
  <c r="BS50" i="2" s="1"/>
  <c r="BS52" i="2" s="1"/>
  <c r="BS58" i="2" s="1"/>
  <c r="CG40" i="2"/>
  <c r="CF49" i="2"/>
  <c r="CF50" i="2" s="1"/>
  <c r="CE49" i="2"/>
  <c r="CE50" i="2" s="1"/>
  <c r="CM49" i="2"/>
  <c r="CM50" i="2" s="1"/>
  <c r="BQ49" i="2"/>
  <c r="BQ50" i="2" s="1"/>
  <c r="BQ52" i="2" s="1"/>
  <c r="BQ58" i="2" s="1"/>
  <c r="BP52" i="2"/>
  <c r="BP43" i="2" s="1"/>
  <c r="K49" i="2"/>
  <c r="K50" i="2" s="1"/>
  <c r="O52" i="2"/>
  <c r="O43" i="2" s="1"/>
  <c r="N48" i="2"/>
  <c r="N52" i="2" s="1"/>
  <c r="N43" i="2" s="1"/>
  <c r="F49" i="2"/>
  <c r="F50" i="2" s="1"/>
  <c r="J49" i="2"/>
  <c r="J50" i="2" s="1"/>
  <c r="DJ56" i="2" l="1"/>
  <c r="JK52" i="2"/>
  <c r="IH52" i="2"/>
  <c r="KA43" i="2"/>
  <c r="KR43" i="2"/>
  <c r="IQ52" i="2"/>
  <c r="IQ58" i="2" s="1"/>
  <c r="IQ29" i="2" s="1"/>
  <c r="EG52" i="2"/>
  <c r="BZ52" i="2"/>
  <c r="BZ43" i="2" s="1"/>
  <c r="DP52" i="2"/>
  <c r="IL52" i="2"/>
  <c r="EV52" i="2"/>
  <c r="GP52" i="2"/>
  <c r="EN52" i="2"/>
  <c r="FG52" i="2"/>
  <c r="L52" i="2"/>
  <c r="L43" i="2" s="1"/>
  <c r="CY52" i="2"/>
  <c r="CC52" i="2"/>
  <c r="P52" i="2"/>
  <c r="P43" i="2" s="1"/>
  <c r="BX52" i="2"/>
  <c r="BX43" i="2" s="1"/>
  <c r="GD52" i="2"/>
  <c r="HQ49" i="2"/>
  <c r="HQ50" i="2" s="1"/>
  <c r="HQ52" i="2" s="1"/>
  <c r="HQ43" i="2" s="1"/>
  <c r="CS52" i="2"/>
  <c r="DA52" i="2"/>
  <c r="DA58" i="2" s="1"/>
  <c r="HL49" i="2"/>
  <c r="HL50" i="2" s="1"/>
  <c r="HS40" i="2"/>
  <c r="HS49" i="2" s="1"/>
  <c r="HS50" i="2" s="1"/>
  <c r="HS52" i="2" s="1"/>
  <c r="HS58" i="2" s="1"/>
  <c r="HP52" i="2"/>
  <c r="HP58" i="2" s="1"/>
  <c r="EM52" i="2"/>
  <c r="EM58" i="2" s="1"/>
  <c r="DB52" i="2"/>
  <c r="FZ52" i="2"/>
  <c r="FZ43" i="2" s="1"/>
  <c r="HO52" i="2"/>
  <c r="HO58" i="2" s="1"/>
  <c r="DZ52" i="2"/>
  <c r="DZ43" i="2" s="1"/>
  <c r="DX52" i="2"/>
  <c r="IM52" i="2"/>
  <c r="IM43" i="2" s="1"/>
  <c r="H52" i="2"/>
  <c r="H43" i="2" s="1"/>
  <c r="CZ52" i="2"/>
  <c r="CZ58" i="2" s="1"/>
  <c r="EF52" i="2"/>
  <c r="EO52" i="2"/>
  <c r="EO43" i="2" s="1"/>
  <c r="FY52" i="2"/>
  <c r="FY43" i="2" s="1"/>
  <c r="FC52" i="2"/>
  <c r="FC58" i="2" s="1"/>
  <c r="DR52" i="2"/>
  <c r="FB40" i="2"/>
  <c r="FB49" i="2" s="1"/>
  <c r="FB50" i="2" s="1"/>
  <c r="FI32" i="2"/>
  <c r="FJ32" i="2" s="1"/>
  <c r="FJ48" i="2" s="1"/>
  <c r="DY52" i="2"/>
  <c r="DY43" i="2" s="1"/>
  <c r="EH52" i="2"/>
  <c r="BT52" i="2"/>
  <c r="BT43" i="2" s="1"/>
  <c r="MG52" i="2"/>
  <c r="DI52" i="2"/>
  <c r="DI43" i="2" s="1"/>
  <c r="GC40" i="2"/>
  <c r="GC49" i="2" s="1"/>
  <c r="GC50" i="2" s="1"/>
  <c r="GX52" i="2"/>
  <c r="GX58" i="2" s="1"/>
  <c r="HT52" i="2"/>
  <c r="HT43" i="2" s="1"/>
  <c r="HA40" i="2"/>
  <c r="HA49" i="2" s="1"/>
  <c r="HA50" i="2" s="1"/>
  <c r="LI52" i="2"/>
  <c r="LI43" i="2" s="1"/>
  <c r="DH52" i="2"/>
  <c r="DH58" i="2" s="1"/>
  <c r="CD52" i="2"/>
  <c r="DW52" i="2"/>
  <c r="DW43" i="2" s="1"/>
  <c r="CU52" i="2"/>
  <c r="BU52" i="2"/>
  <c r="BU43" i="2" s="1"/>
  <c r="FR52" i="2"/>
  <c r="FR58" i="2" s="1"/>
  <c r="IY52" i="2"/>
  <c r="BN52" i="2"/>
  <c r="BN43" i="2" s="1"/>
  <c r="GF52" i="2"/>
  <c r="GF58" i="2" s="1"/>
  <c r="GF29" i="2" s="1"/>
  <c r="DQ52" i="2"/>
  <c r="DQ58" i="2" s="1"/>
  <c r="D52" i="2"/>
  <c r="CB52" i="2"/>
  <c r="GQ52" i="2"/>
  <c r="GQ58" i="2" s="1"/>
  <c r="DO52" i="2"/>
  <c r="DO58" i="2" s="1"/>
  <c r="IB52" i="2"/>
  <c r="IB43" i="2" s="1"/>
  <c r="JX52" i="2"/>
  <c r="JX58" i="2" s="1"/>
  <c r="MD43" i="2"/>
  <c r="IT29" i="2"/>
  <c r="IT28" i="2"/>
  <c r="IR48" i="2"/>
  <c r="IR52" i="2" s="1"/>
  <c r="IR58" i="2" s="1"/>
  <c r="IR29" i="2" s="1"/>
  <c r="IS32" i="2"/>
  <c r="HB52" i="2"/>
  <c r="HB58" i="2" s="1"/>
  <c r="JQ52" i="2"/>
  <c r="JQ58" i="2" s="1"/>
  <c r="BW52" i="2"/>
  <c r="BW43" i="2" s="1"/>
  <c r="FG18" i="2"/>
  <c r="FG56" i="2" s="1"/>
  <c r="JF40" i="2"/>
  <c r="IA52" i="2"/>
  <c r="IA43" i="2" s="1"/>
  <c r="JT52" i="2"/>
  <c r="HZ52" i="2"/>
  <c r="HZ58" i="2" s="1"/>
  <c r="FN52" i="2"/>
  <c r="GL52" i="2"/>
  <c r="GL43" i="2" s="1"/>
  <c r="E48" i="2"/>
  <c r="E52" i="2" s="1"/>
  <c r="GO49" i="2"/>
  <c r="GO50" i="2" s="1"/>
  <c r="J52" i="2"/>
  <c r="J43" i="2" s="1"/>
  <c r="K52" i="2"/>
  <c r="K43" i="2" s="1"/>
  <c r="IZ9" i="2"/>
  <c r="IY9" i="2"/>
  <c r="EI52" i="2"/>
  <c r="EI43" i="2" s="1"/>
  <c r="IZ52" i="2"/>
  <c r="JR52" i="2"/>
  <c r="JR58" i="2" s="1"/>
  <c r="LQ52" i="2"/>
  <c r="LQ58" i="2" s="1"/>
  <c r="I52" i="2"/>
  <c r="I43" i="2" s="1"/>
  <c r="IX52" i="2"/>
  <c r="IX43" i="2" s="1"/>
  <c r="CM52" i="2"/>
  <c r="CM43" i="2" s="1"/>
  <c r="DS52" i="2"/>
  <c r="DS43" i="2" s="1"/>
  <c r="HR52" i="2"/>
  <c r="HR58" i="2" s="1"/>
  <c r="KJ58" i="2"/>
  <c r="KJ29" i="2" s="1"/>
  <c r="LN58" i="2"/>
  <c r="LN29" i="2" s="1"/>
  <c r="JZ52" i="2"/>
  <c r="JZ58" i="2" s="1"/>
  <c r="KC52" i="2"/>
  <c r="KC43" i="2" s="1"/>
  <c r="CE52" i="2"/>
  <c r="CE58" i="2" s="1"/>
  <c r="EY52" i="2"/>
  <c r="JB52" i="2"/>
  <c r="JB58" i="2" s="1"/>
  <c r="JA52" i="2"/>
  <c r="GN49" i="2"/>
  <c r="GN50" i="2" s="1"/>
  <c r="GM49" i="2"/>
  <c r="GM50" i="2" s="1"/>
  <c r="FN56" i="2"/>
  <c r="FO18" i="2"/>
  <c r="FO56" i="2" s="1"/>
  <c r="CW49" i="2"/>
  <c r="CW50" i="2" s="1"/>
  <c r="CX40" i="2"/>
  <c r="CX49" i="2" s="1"/>
  <c r="CX50" i="2" s="1"/>
  <c r="CV48" i="2"/>
  <c r="CW32" i="2"/>
  <c r="EZ48" i="2"/>
  <c r="EZ52" i="2" s="1"/>
  <c r="EZ58" i="2" s="1"/>
  <c r="EZ29" i="2" s="1"/>
  <c r="FA32" i="2"/>
  <c r="EX56" i="2"/>
  <c r="EY18" i="2"/>
  <c r="EY56" i="2" s="1"/>
  <c r="BX55" i="2"/>
  <c r="BX58" i="2" s="1"/>
  <c r="CV49" i="2"/>
  <c r="CV50" i="2" s="1"/>
  <c r="CV52" i="2" s="1"/>
  <c r="CV58" i="2" s="1"/>
  <c r="CV29" i="2" s="1"/>
  <c r="LG29" i="2"/>
  <c r="KI29" i="2"/>
  <c r="LU29" i="2"/>
  <c r="LS40" i="2"/>
  <c r="LS49" i="2" s="1"/>
  <c r="LS50" i="2" s="1"/>
  <c r="LR49" i="2"/>
  <c r="LR50" i="2" s="1"/>
  <c r="KA29" i="2"/>
  <c r="ML29" i="2"/>
  <c r="MI40" i="2"/>
  <c r="MI49" i="2" s="1"/>
  <c r="MI50" i="2" s="1"/>
  <c r="MH49" i="2"/>
  <c r="MH50" i="2" s="1"/>
  <c r="LO29" i="2"/>
  <c r="LW29" i="2"/>
  <c r="KN29" i="2"/>
  <c r="LE29" i="2"/>
  <c r="LZ48" i="2"/>
  <c r="MA32" i="2"/>
  <c r="MA48" i="2" s="1"/>
  <c r="KE40" i="2"/>
  <c r="KE49" i="2" s="1"/>
  <c r="KE50" i="2" s="1"/>
  <c r="KD49" i="2"/>
  <c r="KD50" i="2" s="1"/>
  <c r="MH48" i="2"/>
  <c r="MI32" i="2"/>
  <c r="MI48" i="2" s="1"/>
  <c r="MA40" i="2"/>
  <c r="MA49" i="2" s="1"/>
  <c r="MA50" i="2" s="1"/>
  <c r="LZ49" i="2"/>
  <c r="LZ50" i="2" s="1"/>
  <c r="LB48" i="2"/>
  <c r="LC32" i="2"/>
  <c r="LC48" i="2" s="1"/>
  <c r="LK40" i="2"/>
  <c r="LK49" i="2" s="1"/>
  <c r="LK50" i="2" s="1"/>
  <c r="LJ49" i="2"/>
  <c r="LJ50" i="2" s="1"/>
  <c r="KL48" i="2"/>
  <c r="KM32" i="2"/>
  <c r="KM48" i="2" s="1"/>
  <c r="LJ48" i="2"/>
  <c r="LK32" i="2"/>
  <c r="LK48" i="2" s="1"/>
  <c r="KZ29" i="2"/>
  <c r="LD29" i="2"/>
  <c r="LT29" i="2"/>
  <c r="MJ29" i="2"/>
  <c r="KC58" i="2"/>
  <c r="LM29" i="2"/>
  <c r="KO29" i="2"/>
  <c r="LP29" i="2"/>
  <c r="ME29" i="2"/>
  <c r="LY52" i="2"/>
  <c r="KX29" i="2"/>
  <c r="KH29" i="2"/>
  <c r="LI58" i="2"/>
  <c r="KQ29" i="2"/>
  <c r="MC29" i="2"/>
  <c r="KY29" i="2"/>
  <c r="MB29" i="2"/>
  <c r="KV29" i="2"/>
  <c r="KP29" i="2"/>
  <c r="KF29" i="2"/>
  <c r="LF29" i="2"/>
  <c r="MF29" i="2"/>
  <c r="KT48" i="2"/>
  <c r="KU32" i="2"/>
  <c r="KU48" i="2" s="1"/>
  <c r="LA52" i="2"/>
  <c r="KK52" i="2"/>
  <c r="KU40" i="2"/>
  <c r="KU49" i="2" s="1"/>
  <c r="KU50" i="2" s="1"/>
  <c r="KT49" i="2"/>
  <c r="KT50" i="2" s="1"/>
  <c r="LQ43" i="2"/>
  <c r="MG58" i="2"/>
  <c r="MG43" i="2"/>
  <c r="KD48" i="2"/>
  <c r="KE32" i="2"/>
  <c r="KE48" i="2" s="1"/>
  <c r="LR48" i="2"/>
  <c r="LS32" i="2"/>
  <c r="LS48" i="2" s="1"/>
  <c r="KB58" i="2"/>
  <c r="KB43" i="2"/>
  <c r="KG29" i="2"/>
  <c r="LV29" i="2"/>
  <c r="LL29" i="2"/>
  <c r="KR29" i="2"/>
  <c r="MK29" i="2"/>
  <c r="LC40" i="2"/>
  <c r="LC49" i="2" s="1"/>
  <c r="LC50" i="2" s="1"/>
  <c r="LB49" i="2"/>
  <c r="LB50" i="2" s="1"/>
  <c r="LH29" i="2"/>
  <c r="KM40" i="2"/>
  <c r="KM49" i="2" s="1"/>
  <c r="KM50" i="2" s="1"/>
  <c r="KL49" i="2"/>
  <c r="KL50" i="2" s="1"/>
  <c r="KW29" i="2"/>
  <c r="KS52" i="2"/>
  <c r="LX29" i="2"/>
  <c r="MD29" i="2"/>
  <c r="IH58" i="2"/>
  <c r="IH43" i="2"/>
  <c r="JI58" i="2"/>
  <c r="JI43" i="2"/>
  <c r="JX43" i="2"/>
  <c r="HQ58" i="2"/>
  <c r="JM48" i="2"/>
  <c r="JM52" i="2" s="1"/>
  <c r="JN32" i="2"/>
  <c r="JR43" i="2"/>
  <c r="JQ43" i="2"/>
  <c r="JL58" i="2"/>
  <c r="JL43" i="2"/>
  <c r="JK58" i="2"/>
  <c r="JK43" i="2"/>
  <c r="IK58" i="2"/>
  <c r="IK29" i="2" s="1"/>
  <c r="IK43" i="2"/>
  <c r="JN49" i="2"/>
  <c r="JN50" i="2" s="1"/>
  <c r="JO40" i="2"/>
  <c r="JO49" i="2" s="1"/>
  <c r="JO50" i="2" s="1"/>
  <c r="IP58" i="2"/>
  <c r="IP43" i="2"/>
  <c r="JH58" i="2"/>
  <c r="JH43" i="2"/>
  <c r="JC58" i="2"/>
  <c r="JC43" i="2"/>
  <c r="IG58" i="2"/>
  <c r="IG43" i="2"/>
  <c r="JJ52" i="2"/>
  <c r="IN52" i="2"/>
  <c r="JY58" i="2"/>
  <c r="JY43" i="2"/>
  <c r="IL58" i="2"/>
  <c r="IL29" i="2" s="1"/>
  <c r="IL43" i="2"/>
  <c r="HO43" i="2"/>
  <c r="HN58" i="2"/>
  <c r="HN43" i="2"/>
  <c r="JU48" i="2"/>
  <c r="JU52" i="2" s="1"/>
  <c r="JV32" i="2"/>
  <c r="HW48" i="2"/>
  <c r="HX32" i="2"/>
  <c r="IC48" i="2"/>
  <c r="IC52" i="2" s="1"/>
  <c r="ID32" i="2"/>
  <c r="IZ58" i="2"/>
  <c r="IZ43" i="2"/>
  <c r="IU43" i="2"/>
  <c r="HU58" i="2"/>
  <c r="HU43" i="2"/>
  <c r="IF58" i="2"/>
  <c r="IF43" i="2"/>
  <c r="IV43" i="2"/>
  <c r="IQ43" i="2"/>
  <c r="IX58" i="2"/>
  <c r="IW58" i="2"/>
  <c r="IW29" i="2" s="1"/>
  <c r="IW43" i="2"/>
  <c r="JT58" i="2"/>
  <c r="JT43" i="2"/>
  <c r="IY58" i="2"/>
  <c r="IY43" i="2"/>
  <c r="JV49" i="2"/>
  <c r="JV50" i="2" s="1"/>
  <c r="JW40" i="2"/>
  <c r="JW49" i="2" s="1"/>
  <c r="JW50" i="2" s="1"/>
  <c r="JF49" i="2"/>
  <c r="JF50" i="2" s="1"/>
  <c r="JG40" i="2"/>
  <c r="JG49" i="2" s="1"/>
  <c r="JG50" i="2" s="1"/>
  <c r="IJ52" i="2"/>
  <c r="JD48" i="2"/>
  <c r="JD52" i="2" s="1"/>
  <c r="JE32" i="2"/>
  <c r="JB9" i="2"/>
  <c r="JA9" i="2"/>
  <c r="JP58" i="2"/>
  <c r="JP43" i="2"/>
  <c r="JS58" i="2"/>
  <c r="JS43" i="2"/>
  <c r="IO58" i="2"/>
  <c r="IO43" i="2"/>
  <c r="JA58" i="2"/>
  <c r="JA43" i="2"/>
  <c r="HW49" i="2"/>
  <c r="HW50" i="2" s="1"/>
  <c r="HX40" i="2"/>
  <c r="HV58" i="2"/>
  <c r="HV43" i="2"/>
  <c r="FZ58" i="2"/>
  <c r="FZ29" i="2" s="1"/>
  <c r="FT58" i="2"/>
  <c r="FT43" i="2"/>
  <c r="GR58" i="2"/>
  <c r="GR43" i="2"/>
  <c r="GV58" i="2"/>
  <c r="GV43" i="2"/>
  <c r="FX58" i="2"/>
  <c r="FX29" i="2" s="1"/>
  <c r="FX43" i="2"/>
  <c r="FU49" i="2"/>
  <c r="FU50" i="2" s="1"/>
  <c r="FU52" i="2" s="1"/>
  <c r="FV40" i="2"/>
  <c r="FO58" i="2"/>
  <c r="FO43" i="2"/>
  <c r="FG58" i="2"/>
  <c r="FG43" i="2"/>
  <c r="FK58" i="2"/>
  <c r="FK43" i="2"/>
  <c r="GP58" i="2"/>
  <c r="GP43" i="2"/>
  <c r="GD58" i="2"/>
  <c r="GD29" i="2" s="1"/>
  <c r="GD43" i="2"/>
  <c r="GM48" i="2"/>
  <c r="GM52" i="2" s="1"/>
  <c r="GN32" i="2"/>
  <c r="FI48" i="2"/>
  <c r="HE49" i="2"/>
  <c r="HE50" i="2" s="1"/>
  <c r="HF40" i="2"/>
  <c r="GG49" i="2"/>
  <c r="GG50" i="2" s="1"/>
  <c r="GH40" i="2"/>
  <c r="FF58" i="2"/>
  <c r="FF43" i="2"/>
  <c r="GE58" i="2"/>
  <c r="GE29" i="2" s="1"/>
  <c r="GE43" i="2"/>
  <c r="FD58" i="2"/>
  <c r="FD43" i="2"/>
  <c r="GA48" i="2"/>
  <c r="GA52" i="2" s="1"/>
  <c r="GB32" i="2"/>
  <c r="HI58" i="2"/>
  <c r="HI43" i="2"/>
  <c r="FY58" i="2"/>
  <c r="FY29" i="2" s="1"/>
  <c r="FQ58" i="2"/>
  <c r="FQ43" i="2"/>
  <c r="HK48" i="2"/>
  <c r="HK52" i="2" s="1"/>
  <c r="HL32" i="2"/>
  <c r="FL58" i="2"/>
  <c r="FL43" i="2"/>
  <c r="FH49" i="2"/>
  <c r="FH50" i="2" s="1"/>
  <c r="FH52" i="2" s="1"/>
  <c r="FH58" i="2" s="1"/>
  <c r="FI40" i="2"/>
  <c r="HJ58" i="2"/>
  <c r="HJ43" i="2"/>
  <c r="FS58" i="2"/>
  <c r="FS43" i="2"/>
  <c r="GY48" i="2"/>
  <c r="GY52" i="2" s="1"/>
  <c r="GZ32" i="2"/>
  <c r="GW58" i="2"/>
  <c r="GW43" i="2"/>
  <c r="FN43" i="2"/>
  <c r="HH58" i="2"/>
  <c r="HH43" i="2"/>
  <c r="GJ58" i="2"/>
  <c r="GJ29" i="2" s="1"/>
  <c r="GJ43" i="2"/>
  <c r="FM58" i="2"/>
  <c r="FM43" i="2"/>
  <c r="HE48" i="2"/>
  <c r="HF32" i="2"/>
  <c r="GG48" i="2"/>
  <c r="GH32" i="2"/>
  <c r="HD58" i="2"/>
  <c r="HD43" i="2"/>
  <c r="GF43" i="2"/>
  <c r="FE58" i="2"/>
  <c r="FE43" i="2"/>
  <c r="GT40" i="2"/>
  <c r="GS49" i="2"/>
  <c r="GS50" i="2" s="1"/>
  <c r="GS52" i="2" s="1"/>
  <c r="HC58" i="2"/>
  <c r="HC43" i="2"/>
  <c r="GK58" i="2"/>
  <c r="GK43" i="2"/>
  <c r="DK58" i="2"/>
  <c r="DK43" i="2"/>
  <c r="EG58" i="2"/>
  <c r="EG43" i="2"/>
  <c r="EQ43" i="2"/>
  <c r="EK49" i="2"/>
  <c r="EK50" i="2" s="1"/>
  <c r="EL40" i="2"/>
  <c r="EL49" i="2" s="1"/>
  <c r="EL50" i="2" s="1"/>
  <c r="ER49" i="2"/>
  <c r="ER50" i="2" s="1"/>
  <c r="ES40" i="2"/>
  <c r="DY58" i="2"/>
  <c r="EJ48" i="2"/>
  <c r="EJ52" i="2" s="1"/>
  <c r="EJ58" i="2" s="1"/>
  <c r="EK32" i="2"/>
  <c r="EV58" i="2"/>
  <c r="EV43" i="2"/>
  <c r="DJ58" i="2"/>
  <c r="DJ43" i="2"/>
  <c r="ER48" i="2"/>
  <c r="ES32" i="2"/>
  <c r="EH56" i="2"/>
  <c r="EH58" i="2" s="1"/>
  <c r="EI18" i="2"/>
  <c r="EI56" i="2" s="1"/>
  <c r="EI58" i="2" s="1"/>
  <c r="EF58" i="2"/>
  <c r="EF43" i="2"/>
  <c r="EB48" i="2"/>
  <c r="EC32" i="2"/>
  <c r="EB49" i="2"/>
  <c r="EB50" i="2" s="1"/>
  <c r="EC40" i="2"/>
  <c r="EX58" i="2"/>
  <c r="EX43" i="2"/>
  <c r="DR43" i="2"/>
  <c r="DP58" i="2"/>
  <c r="DP43" i="2"/>
  <c r="DI58" i="2"/>
  <c r="DZ58" i="2"/>
  <c r="DL49" i="2"/>
  <c r="DL50" i="2" s="1"/>
  <c r="DM40" i="2"/>
  <c r="DC52" i="2"/>
  <c r="DD48" i="2"/>
  <c r="DD52" i="2" s="1"/>
  <c r="DD58" i="2" s="1"/>
  <c r="DE32" i="2"/>
  <c r="EW58" i="2"/>
  <c r="EW43" i="2"/>
  <c r="EE58" i="2"/>
  <c r="EE43" i="2"/>
  <c r="DE49" i="2"/>
  <c r="DE50" i="2" s="1"/>
  <c r="DF40" i="2"/>
  <c r="DF49" i="2" s="1"/>
  <c r="DF50" i="2" s="1"/>
  <c r="DL48" i="2"/>
  <c r="DM32" i="2"/>
  <c r="EH43" i="2"/>
  <c r="DB43" i="2"/>
  <c r="DT48" i="2"/>
  <c r="DT52" i="2" s="1"/>
  <c r="DT58" i="2" s="1"/>
  <c r="DU32" i="2"/>
  <c r="EP56" i="2"/>
  <c r="EP58" i="2" s="1"/>
  <c r="EQ18" i="2"/>
  <c r="EQ56" i="2" s="1"/>
  <c r="EQ58" i="2" s="1"/>
  <c r="EY43" i="2"/>
  <c r="EN58" i="2"/>
  <c r="EN43" i="2"/>
  <c r="DG58" i="2"/>
  <c r="DG43" i="2"/>
  <c r="EP43" i="2"/>
  <c r="DQ43" i="2"/>
  <c r="CY58" i="2"/>
  <c r="CY43" i="2"/>
  <c r="DX58" i="2"/>
  <c r="DX43" i="2"/>
  <c r="EA58" i="2"/>
  <c r="EA43" i="2"/>
  <c r="DR56" i="2"/>
  <c r="DR58" i="2" s="1"/>
  <c r="DS18" i="2"/>
  <c r="DS56" i="2" s="1"/>
  <c r="DS58" i="2" s="1"/>
  <c r="EU58" i="2"/>
  <c r="EU43" i="2"/>
  <c r="DU49" i="2"/>
  <c r="DU50" i="2" s="1"/>
  <c r="DV40" i="2"/>
  <c r="DV49" i="2" s="1"/>
  <c r="DV50" i="2" s="1"/>
  <c r="DB56" i="2"/>
  <c r="DB58" i="2" s="1"/>
  <c r="DC18" i="2"/>
  <c r="DC56" i="2" s="1"/>
  <c r="CS43" i="2"/>
  <c r="CS58" i="2"/>
  <c r="CA43" i="2"/>
  <c r="CC58" i="2"/>
  <c r="CC43" i="2"/>
  <c r="CI58" i="2"/>
  <c r="CI43" i="2"/>
  <c r="CR43" i="2"/>
  <c r="CR58" i="2"/>
  <c r="BV58" i="2"/>
  <c r="CU58" i="2"/>
  <c r="CU43" i="2"/>
  <c r="CN29" i="2"/>
  <c r="CB58" i="2"/>
  <c r="CB43" i="2"/>
  <c r="CM18" i="2"/>
  <c r="CM56" i="2" s="1"/>
  <c r="CH40" i="2"/>
  <c r="CH49" i="2" s="1"/>
  <c r="CH50" i="2" s="1"/>
  <c r="CG49" i="2"/>
  <c r="CG50" i="2" s="1"/>
  <c r="BW58" i="2"/>
  <c r="CQ58" i="2"/>
  <c r="CQ43" i="2"/>
  <c r="BU58" i="2"/>
  <c r="CF48" i="2"/>
  <c r="CF52" i="2" s="1"/>
  <c r="CG32" i="2"/>
  <c r="CP40" i="2"/>
  <c r="CP49" i="2" s="1"/>
  <c r="CP50" i="2" s="1"/>
  <c r="CP52" i="2" s="1"/>
  <c r="CP58" i="2" s="1"/>
  <c r="CO49" i="2"/>
  <c r="CO50" i="2" s="1"/>
  <c r="CO52" i="2" s="1"/>
  <c r="CO58" i="2" s="1"/>
  <c r="BT58" i="2"/>
  <c r="CD58" i="2"/>
  <c r="CD43" i="2"/>
  <c r="CT43" i="2"/>
  <c r="CT58" i="2"/>
  <c r="K58" i="2"/>
  <c r="L58" i="2"/>
  <c r="N58" i="2"/>
  <c r="P58" i="2"/>
  <c r="Q58" i="2"/>
  <c r="M58" i="2"/>
  <c r="O58" i="2"/>
  <c r="H58" i="2"/>
  <c r="BP58" i="2"/>
  <c r="BN58" i="2"/>
  <c r="BO58" i="2"/>
  <c r="JZ43" i="2" l="1"/>
  <c r="BT28" i="2"/>
  <c r="BT29" i="2"/>
  <c r="FT29" i="2"/>
  <c r="FT28" i="2"/>
  <c r="JB43" i="2"/>
  <c r="EY58" i="2"/>
  <c r="E58" i="2"/>
  <c r="E43" i="2"/>
  <c r="D58" i="2"/>
  <c r="D43" i="2"/>
  <c r="FR29" i="2"/>
  <c r="DH43" i="2"/>
  <c r="HP43" i="2"/>
  <c r="GX43" i="2"/>
  <c r="N29" i="2"/>
  <c r="Q28" i="2"/>
  <c r="R28" i="2" s="1"/>
  <c r="S28" i="2" s="1"/>
  <c r="T28" i="2" s="1"/>
  <c r="Q29" i="2"/>
  <c r="L29" i="2"/>
  <c r="CE43" i="2"/>
  <c r="EM43" i="2"/>
  <c r="DA43" i="2"/>
  <c r="CZ43" i="2"/>
  <c r="HB43" i="2"/>
  <c r="IM58" i="2"/>
  <c r="IM29" i="2" s="1"/>
  <c r="E29" i="2"/>
  <c r="M29" i="2"/>
  <c r="BO29" i="2"/>
  <c r="P29" i="2"/>
  <c r="P28" i="2"/>
  <c r="M28" i="2" s="1"/>
  <c r="N28" i="2" s="1"/>
  <c r="K29" i="2"/>
  <c r="K28" i="2"/>
  <c r="DW58" i="2"/>
  <c r="FC43" i="2"/>
  <c r="H29" i="2"/>
  <c r="H28" i="2"/>
  <c r="BN29" i="2"/>
  <c r="O29" i="2"/>
  <c r="O28" i="2"/>
  <c r="L28" i="2" s="1"/>
  <c r="DO43" i="2"/>
  <c r="J58" i="2"/>
  <c r="CM58" i="2"/>
  <c r="EO58" i="2"/>
  <c r="GL58" i="2"/>
  <c r="IB58" i="2"/>
  <c r="IB29" i="2" s="1"/>
  <c r="HT58" i="2"/>
  <c r="HT29" i="2" s="1"/>
  <c r="FN58" i="2"/>
  <c r="FN29" i="2" s="1"/>
  <c r="GQ43" i="2"/>
  <c r="HZ43" i="2"/>
  <c r="FR43" i="2"/>
  <c r="HR43" i="2"/>
  <c r="IA58" i="2"/>
  <c r="IA29" i="2" s="1"/>
  <c r="BO9" i="2"/>
  <c r="BP9" i="2" s="1"/>
  <c r="HS43" i="2"/>
  <c r="LB52" i="2"/>
  <c r="LB43" i="2" s="1"/>
  <c r="IS48" i="2"/>
  <c r="IS52" i="2" s="1"/>
  <c r="F48" i="2"/>
  <c r="F52" i="2" s="1"/>
  <c r="F43" i="2" s="1"/>
  <c r="G48" i="2"/>
  <c r="G52" i="2" s="1"/>
  <c r="G43" i="2" s="1"/>
  <c r="LZ52" i="2"/>
  <c r="LZ43" i="2" s="1"/>
  <c r="I58" i="2"/>
  <c r="KM52" i="2"/>
  <c r="KM43" i="2" s="1"/>
  <c r="KL52" i="2"/>
  <c r="KL43" i="2" s="1"/>
  <c r="LC52" i="2"/>
  <c r="LC58" i="2" s="1"/>
  <c r="KT52" i="2"/>
  <c r="KT43" i="2" s="1"/>
  <c r="MA52" i="2"/>
  <c r="MA43" i="2" s="1"/>
  <c r="EB52" i="2"/>
  <c r="EB58" i="2" s="1"/>
  <c r="BY55" i="2"/>
  <c r="BY58" i="2" s="1"/>
  <c r="BY28" i="2" s="1"/>
  <c r="FA48" i="2"/>
  <c r="FA52" i="2" s="1"/>
  <c r="FA58" i="2" s="1"/>
  <c r="FB32" i="2"/>
  <c r="FB48" i="2" s="1"/>
  <c r="FB52" i="2" s="1"/>
  <c r="FB58" i="2" s="1"/>
  <c r="FB29" i="2" s="1"/>
  <c r="LJ52" i="2"/>
  <c r="LJ43" i="2" s="1"/>
  <c r="MI52" i="2"/>
  <c r="MI58" i="2" s="1"/>
  <c r="CX32" i="2"/>
  <c r="CX48" i="2" s="1"/>
  <c r="CX52" i="2" s="1"/>
  <c r="CX58" i="2" s="1"/>
  <c r="CW48" i="2"/>
  <c r="CW52" i="2" s="1"/>
  <c r="CW58" i="2" s="1"/>
  <c r="CW29" i="2" s="1"/>
  <c r="HE52" i="2"/>
  <c r="HE43" i="2" s="1"/>
  <c r="MG29" i="2"/>
  <c r="KU52" i="2"/>
  <c r="LI29" i="2"/>
  <c r="LR52" i="2"/>
  <c r="LB58" i="2"/>
  <c r="KK58" i="2"/>
  <c r="KK43" i="2"/>
  <c r="LY58" i="2"/>
  <c r="LY43" i="2"/>
  <c r="LS52" i="2"/>
  <c r="KS58" i="2"/>
  <c r="KS43" i="2"/>
  <c r="KB29" i="2"/>
  <c r="LQ29" i="2"/>
  <c r="LA58" i="2"/>
  <c r="LA43" i="2"/>
  <c r="KD52" i="2"/>
  <c r="MH52" i="2"/>
  <c r="KC29" i="2"/>
  <c r="LK52" i="2"/>
  <c r="KE52" i="2"/>
  <c r="HU29" i="2"/>
  <c r="JN48" i="2"/>
  <c r="JN52" i="2" s="1"/>
  <c r="JO32" i="2"/>
  <c r="JO48" i="2" s="1"/>
  <c r="JO52" i="2" s="1"/>
  <c r="JC9" i="2"/>
  <c r="JD9" i="2"/>
  <c r="JE9" i="2" s="1"/>
  <c r="JF9" i="2" s="1"/>
  <c r="JG9" i="2" s="1"/>
  <c r="JH9" i="2" s="1"/>
  <c r="JI9" i="2" s="1"/>
  <c r="JJ9" i="2" s="1"/>
  <c r="JK9" i="2" s="1"/>
  <c r="JL9" i="2" s="1"/>
  <c r="JM9" i="2" s="1"/>
  <c r="JN9" i="2" s="1"/>
  <c r="JO9" i="2" s="1"/>
  <c r="JP9" i="2" s="1"/>
  <c r="JQ9" i="2" s="1"/>
  <c r="JR9" i="2" s="1"/>
  <c r="JS9" i="2" s="1"/>
  <c r="JT9" i="2" s="1"/>
  <c r="JU9" i="2" s="1"/>
  <c r="JV9" i="2" s="1"/>
  <c r="JW9" i="2" s="1"/>
  <c r="JX9" i="2" s="1"/>
  <c r="JY9" i="2" s="1"/>
  <c r="JZ9" i="2" s="1"/>
  <c r="KA9" i="2" s="1"/>
  <c r="KB9" i="2" s="1"/>
  <c r="KC9" i="2" s="1"/>
  <c r="KD9" i="2" s="1"/>
  <c r="KE9" i="2" s="1"/>
  <c r="KF9" i="2" s="1"/>
  <c r="KG9" i="2" s="1"/>
  <c r="KH9" i="2" s="1"/>
  <c r="KI9" i="2" s="1"/>
  <c r="KJ9" i="2" s="1"/>
  <c r="KK9" i="2" s="1"/>
  <c r="KL9" i="2" s="1"/>
  <c r="KM9" i="2" s="1"/>
  <c r="KN9" i="2" s="1"/>
  <c r="KO9" i="2" s="1"/>
  <c r="KP9" i="2" s="1"/>
  <c r="KQ9" i="2" s="1"/>
  <c r="KR9" i="2" s="1"/>
  <c r="KS9" i="2" s="1"/>
  <c r="KT9" i="2" s="1"/>
  <c r="KU9" i="2" s="1"/>
  <c r="KV9" i="2" s="1"/>
  <c r="KW9" i="2" s="1"/>
  <c r="KX9" i="2" s="1"/>
  <c r="KY9" i="2" s="1"/>
  <c r="KZ9" i="2" s="1"/>
  <c r="LA9" i="2" s="1"/>
  <c r="LB9" i="2" s="1"/>
  <c r="LC9" i="2" s="1"/>
  <c r="LD9" i="2" s="1"/>
  <c r="LE9" i="2" s="1"/>
  <c r="LF9" i="2" s="1"/>
  <c r="LG9" i="2" s="1"/>
  <c r="LH9" i="2" s="1"/>
  <c r="LI9" i="2" s="1"/>
  <c r="LJ9" i="2" s="1"/>
  <c r="LK9" i="2" s="1"/>
  <c r="LL9" i="2" s="1"/>
  <c r="LM9" i="2" s="1"/>
  <c r="LN9" i="2" s="1"/>
  <c r="LO9" i="2" s="1"/>
  <c r="LP9" i="2" s="1"/>
  <c r="LQ9" i="2" s="1"/>
  <c r="LR9" i="2" s="1"/>
  <c r="LS9" i="2" s="1"/>
  <c r="LT9" i="2" s="1"/>
  <c r="LU9" i="2" s="1"/>
  <c r="LV9" i="2" s="1"/>
  <c r="LW9" i="2" s="1"/>
  <c r="LX9" i="2" s="1"/>
  <c r="LY9" i="2" s="1"/>
  <c r="LZ9" i="2" s="1"/>
  <c r="MA9" i="2" s="1"/>
  <c r="MB9" i="2" s="1"/>
  <c r="MC9" i="2" s="1"/>
  <c r="MD9" i="2" s="1"/>
  <c r="ME9" i="2" s="1"/>
  <c r="MF9" i="2" s="1"/>
  <c r="MG9" i="2" s="1"/>
  <c r="MH9" i="2" s="1"/>
  <c r="MI9" i="2" s="1"/>
  <c r="MJ9" i="2" s="1"/>
  <c r="MK9" i="2" s="1"/>
  <c r="ML9" i="2" s="1"/>
  <c r="MM9" i="2" s="1"/>
  <c r="MN9" i="2" s="1"/>
  <c r="MO9" i="2" s="1"/>
  <c r="JE48" i="2"/>
  <c r="JE52" i="2" s="1"/>
  <c r="JF32" i="2"/>
  <c r="IC58" i="2"/>
  <c r="IC43" i="2"/>
  <c r="IW28" i="2"/>
  <c r="IV28" i="2"/>
  <c r="IZ29" i="2"/>
  <c r="HO29" i="2"/>
  <c r="IT43" i="2"/>
  <c r="HW52" i="2"/>
  <c r="JA29" i="2"/>
  <c r="IO28" i="2"/>
  <c r="IP28" i="2" s="1"/>
  <c r="IQ28" i="2" s="1"/>
  <c r="IR28" i="2" s="1"/>
  <c r="IO29" i="2"/>
  <c r="JP29" i="2"/>
  <c r="JD58" i="2"/>
  <c r="JD43" i="2"/>
  <c r="HP29" i="2"/>
  <c r="ID48" i="2"/>
  <c r="ID52" i="2" s="1"/>
  <c r="IE32" i="2"/>
  <c r="IE48" i="2" s="1"/>
  <c r="IE52" i="2" s="1"/>
  <c r="JV48" i="2"/>
  <c r="JV52" i="2" s="1"/>
  <c r="JW32" i="2"/>
  <c r="JW48" i="2" s="1"/>
  <c r="JW52" i="2" s="1"/>
  <c r="JJ58" i="2"/>
  <c r="JJ43" i="2"/>
  <c r="IG29" i="2"/>
  <c r="JC29" i="2"/>
  <c r="IP29" i="2"/>
  <c r="JK29" i="2"/>
  <c r="JQ29" i="2"/>
  <c r="JM58" i="2"/>
  <c r="JM43" i="2"/>
  <c r="HR29" i="2"/>
  <c r="HQ29" i="2"/>
  <c r="JX29" i="2"/>
  <c r="IH29" i="2"/>
  <c r="HV29" i="2"/>
  <c r="JS29" i="2"/>
  <c r="HY40" i="2"/>
  <c r="HY49" i="2" s="1"/>
  <c r="HY50" i="2" s="1"/>
  <c r="HX49" i="2"/>
  <c r="HX50" i="2" s="1"/>
  <c r="IY29" i="2"/>
  <c r="IX28" i="2"/>
  <c r="IY28" i="2" s="1"/>
  <c r="IZ28" i="2" s="1"/>
  <c r="JA28" i="2" s="1"/>
  <c r="JB28" i="2" s="1"/>
  <c r="JC28" i="2" s="1"/>
  <c r="IX29" i="2"/>
  <c r="IJ58" i="2"/>
  <c r="IJ43" i="2"/>
  <c r="JT29" i="2"/>
  <c r="HZ29" i="2"/>
  <c r="IF29" i="2"/>
  <c r="IU28" i="2"/>
  <c r="JU58" i="2"/>
  <c r="JU43" i="2"/>
  <c r="HN29" i="2"/>
  <c r="JY29" i="2"/>
  <c r="JB29" i="2"/>
  <c r="IR43" i="2"/>
  <c r="HX48" i="2"/>
  <c r="HY32" i="2"/>
  <c r="HY48" i="2" s="1"/>
  <c r="IN58" i="2"/>
  <c r="IN29" i="2" s="1"/>
  <c r="IN43" i="2"/>
  <c r="JZ29" i="2"/>
  <c r="JH29" i="2"/>
  <c r="JL29" i="2"/>
  <c r="JR29" i="2"/>
  <c r="HS29" i="2"/>
  <c r="JI29" i="2"/>
  <c r="HF48" i="2"/>
  <c r="HG32" i="2"/>
  <c r="HG48" i="2" s="1"/>
  <c r="FD29" i="2"/>
  <c r="HC29" i="2"/>
  <c r="HD29" i="2"/>
  <c r="HK58" i="2"/>
  <c r="HK43" i="2"/>
  <c r="FI49" i="2"/>
  <c r="FI50" i="2" s="1"/>
  <c r="FI52" i="2" s="1"/>
  <c r="FI58" i="2" s="1"/>
  <c r="FJ40" i="2"/>
  <c r="FJ49" i="2" s="1"/>
  <c r="FJ50" i="2" s="1"/>
  <c r="FJ52" i="2" s="1"/>
  <c r="FJ58" i="2" s="1"/>
  <c r="FF29" i="2"/>
  <c r="HB29" i="2"/>
  <c r="FE29" i="2"/>
  <c r="GY58" i="2"/>
  <c r="GY43" i="2"/>
  <c r="HJ29" i="2"/>
  <c r="FH29" i="2"/>
  <c r="GB48" i="2"/>
  <c r="GB52" i="2" s="1"/>
  <c r="GC32" i="2"/>
  <c r="GC48" i="2" s="1"/>
  <c r="GC52" i="2" s="1"/>
  <c r="GI40" i="2"/>
  <c r="GI49" i="2" s="1"/>
  <c r="GI50" i="2" s="1"/>
  <c r="GH49" i="2"/>
  <c r="GH50" i="2" s="1"/>
  <c r="GN48" i="2"/>
  <c r="GN52" i="2" s="1"/>
  <c r="GO32" i="2"/>
  <c r="GO48" i="2" s="1"/>
  <c r="GO52" i="2" s="1"/>
  <c r="FG29" i="2"/>
  <c r="FU58" i="2"/>
  <c r="FU29" i="2" s="1"/>
  <c r="FU43" i="2"/>
  <c r="GS58" i="2"/>
  <c r="GS43" i="2"/>
  <c r="GH48" i="2"/>
  <c r="GI32" i="2"/>
  <c r="GI48" i="2" s="1"/>
  <c r="GA58" i="2"/>
  <c r="GA29" i="2" s="1"/>
  <c r="GA43" i="2"/>
  <c r="GG52" i="2"/>
  <c r="GM58" i="2"/>
  <c r="GM43" i="2"/>
  <c r="FK29" i="2"/>
  <c r="GR29" i="2"/>
  <c r="GZ48" i="2"/>
  <c r="GZ52" i="2" s="1"/>
  <c r="HA32" i="2"/>
  <c r="HA48" i="2" s="1"/>
  <c r="HA52" i="2" s="1"/>
  <c r="HI29" i="2"/>
  <c r="GK29" i="2"/>
  <c r="GU40" i="2"/>
  <c r="GU49" i="2" s="1"/>
  <c r="GU50" i="2" s="1"/>
  <c r="GU52" i="2" s="1"/>
  <c r="GT49" i="2"/>
  <c r="GT50" i="2" s="1"/>
  <c r="GT52" i="2" s="1"/>
  <c r="FM29" i="2"/>
  <c r="HH29" i="2"/>
  <c r="GW29" i="2"/>
  <c r="FL29" i="2"/>
  <c r="FQ29" i="2"/>
  <c r="FQ28" i="2"/>
  <c r="FR28" i="2" s="1"/>
  <c r="HF49" i="2"/>
  <c r="HF50" i="2" s="1"/>
  <c r="HG40" i="2"/>
  <c r="HG49" i="2" s="1"/>
  <c r="HG50" i="2" s="1"/>
  <c r="FO29" i="2"/>
  <c r="HL48" i="2"/>
  <c r="HL52" i="2" s="1"/>
  <c r="HM32" i="2"/>
  <c r="HM48" i="2" s="1"/>
  <c r="HM52" i="2" s="1"/>
  <c r="FC29" i="2"/>
  <c r="GP29" i="2"/>
  <c r="GQ29" i="2"/>
  <c r="GL29" i="2"/>
  <c r="FV49" i="2"/>
  <c r="FV50" i="2" s="1"/>
  <c r="FV52" i="2" s="1"/>
  <c r="FW40" i="2"/>
  <c r="FW49" i="2" s="1"/>
  <c r="FW50" i="2" s="1"/>
  <c r="FW52" i="2" s="1"/>
  <c r="GV29" i="2"/>
  <c r="GX29" i="2"/>
  <c r="DD29" i="2"/>
  <c r="EI29" i="2"/>
  <c r="DB29" i="2"/>
  <c r="DS29" i="2"/>
  <c r="DA29" i="2"/>
  <c r="EH29" i="2"/>
  <c r="EW29" i="2"/>
  <c r="DJ29" i="2"/>
  <c r="DH29" i="2"/>
  <c r="EA29" i="2"/>
  <c r="EP29" i="2"/>
  <c r="EY29" i="2"/>
  <c r="DC58" i="2"/>
  <c r="DC43" i="2"/>
  <c r="DM49" i="2"/>
  <c r="DM50" i="2" s="1"/>
  <c r="DN40" i="2"/>
  <c r="DN49" i="2" s="1"/>
  <c r="DN50" i="2" s="1"/>
  <c r="DP29" i="2"/>
  <c r="EX29" i="2"/>
  <c r="CX29" i="2"/>
  <c r="DX29" i="2"/>
  <c r="DQ29" i="2"/>
  <c r="DG29" i="2"/>
  <c r="EN29" i="2"/>
  <c r="DM48" i="2"/>
  <c r="DN32" i="2"/>
  <c r="DN48" i="2" s="1"/>
  <c r="DE48" i="2"/>
  <c r="DE52" i="2" s="1"/>
  <c r="DE58" i="2" s="1"/>
  <c r="DF32" i="2"/>
  <c r="DF48" i="2" s="1"/>
  <c r="DF52" i="2" s="1"/>
  <c r="DF58" i="2" s="1"/>
  <c r="DL52" i="2"/>
  <c r="DL58" i="2" s="1"/>
  <c r="DZ29" i="2"/>
  <c r="DI29" i="2"/>
  <c r="EC49" i="2"/>
  <c r="EC50" i="2" s="1"/>
  <c r="ED40" i="2"/>
  <c r="ED49" i="2" s="1"/>
  <c r="ED50" i="2" s="1"/>
  <c r="ES48" i="2"/>
  <c r="ET32" i="2"/>
  <c r="ET48" i="2" s="1"/>
  <c r="ES49" i="2"/>
  <c r="ES50" i="2" s="1"/>
  <c r="ET40" i="2"/>
  <c r="ET49" i="2" s="1"/>
  <c r="ET50" i="2" s="1"/>
  <c r="DO29" i="2"/>
  <c r="EO29" i="2"/>
  <c r="EU29" i="2"/>
  <c r="DT29" i="2"/>
  <c r="EE29" i="2"/>
  <c r="DR29" i="2"/>
  <c r="EB29" i="2"/>
  <c r="EF29" i="2"/>
  <c r="DW29" i="2"/>
  <c r="EV29" i="2"/>
  <c r="DY29" i="2"/>
  <c r="ER52" i="2"/>
  <c r="ER58" i="2" s="1"/>
  <c r="CY29" i="2"/>
  <c r="EM29" i="2"/>
  <c r="DU48" i="2"/>
  <c r="DU52" i="2" s="1"/>
  <c r="DU58" i="2" s="1"/>
  <c r="DV32" i="2"/>
  <c r="DV48" i="2" s="1"/>
  <c r="DV52" i="2" s="1"/>
  <c r="DV58" i="2" s="1"/>
  <c r="CZ29" i="2"/>
  <c r="EC48" i="2"/>
  <c r="ED32" i="2"/>
  <c r="ED48" i="2" s="1"/>
  <c r="EK48" i="2"/>
  <c r="EK52" i="2" s="1"/>
  <c r="EK58" i="2" s="1"/>
  <c r="EL32" i="2"/>
  <c r="EL48" i="2" s="1"/>
  <c r="EL52" i="2" s="1"/>
  <c r="EL58" i="2" s="1"/>
  <c r="EJ29" i="2"/>
  <c r="EQ29" i="2"/>
  <c r="EG29" i="2"/>
  <c r="DK29" i="2"/>
  <c r="CF58" i="2"/>
  <c r="CF43" i="2"/>
  <c r="CR29" i="2"/>
  <c r="CQ29" i="2"/>
  <c r="BW29" i="2"/>
  <c r="BW28" i="2"/>
  <c r="BX28" i="2" s="1"/>
  <c r="CB28" i="2"/>
  <c r="CC28" i="2" s="1"/>
  <c r="CD28" i="2" s="1"/>
  <c r="CE28" i="2" s="1"/>
  <c r="CB29" i="2"/>
  <c r="CU29" i="2"/>
  <c r="BX29" i="2"/>
  <c r="CD29" i="2"/>
  <c r="CO29" i="2"/>
  <c r="CT29" i="2"/>
  <c r="CP29" i="2"/>
  <c r="BU28" i="2"/>
  <c r="BU29" i="2"/>
  <c r="BV28" i="2"/>
  <c r="BV29" i="2"/>
  <c r="CI29" i="2"/>
  <c r="CE29" i="2"/>
  <c r="CG48" i="2"/>
  <c r="CG52" i="2" s="1"/>
  <c r="CH32" i="2"/>
  <c r="CH48" i="2" s="1"/>
  <c r="CH52" i="2" s="1"/>
  <c r="CS29" i="2"/>
  <c r="CC29" i="2"/>
  <c r="BP29" i="2"/>
  <c r="MA58" i="2" l="1"/>
  <c r="CM29" i="2"/>
  <c r="BQ9" i="2"/>
  <c r="BR9" i="2" s="1"/>
  <c r="BS9" i="2" s="1"/>
  <c r="BT9" i="2" s="1"/>
  <c r="D28" i="2"/>
  <c r="E28" i="2" s="1"/>
  <c r="D29" i="2"/>
  <c r="FU28" i="2"/>
  <c r="HE58" i="2"/>
  <c r="HE29" i="2" s="1"/>
  <c r="J29" i="2"/>
  <c r="J28" i="2"/>
  <c r="BN28" i="2"/>
  <c r="BO28" i="2" s="1"/>
  <c r="BP28" i="2" s="1"/>
  <c r="I28" i="2"/>
  <c r="I29" i="2"/>
  <c r="BY29" i="2"/>
  <c r="KM58" i="2"/>
  <c r="IS58" i="2"/>
  <c r="IS29" i="2" s="1"/>
  <c r="IS43" i="2"/>
  <c r="KT58" i="2"/>
  <c r="KT29" i="2" s="1"/>
  <c r="LZ58" i="2"/>
  <c r="LZ29" i="2" s="1"/>
  <c r="IS28" i="2"/>
  <c r="MI43" i="2"/>
  <c r="G58" i="2"/>
  <c r="F58" i="2"/>
  <c r="LJ58" i="2"/>
  <c r="LJ29" i="2" s="1"/>
  <c r="HF52" i="2"/>
  <c r="HF43" i="2" s="1"/>
  <c r="LC43" i="2"/>
  <c r="KL58" i="2"/>
  <c r="KL29" i="2" s="1"/>
  <c r="ES52" i="2"/>
  <c r="ES58" i="2" s="1"/>
  <c r="ES29" i="2" s="1"/>
  <c r="EC52" i="2"/>
  <c r="EC58" i="2" s="1"/>
  <c r="EC29" i="2" s="1"/>
  <c r="FA29" i="2"/>
  <c r="CA19" i="2"/>
  <c r="CA55" i="2" s="1"/>
  <c r="CA58" i="2" s="1"/>
  <c r="BZ55" i="2"/>
  <c r="BZ58" i="2" s="1"/>
  <c r="HY52" i="2"/>
  <c r="HY43" i="2" s="1"/>
  <c r="DN52" i="2"/>
  <c r="DN58" i="2" s="1"/>
  <c r="DN29" i="2" s="1"/>
  <c r="KE58" i="2"/>
  <c r="KE43" i="2"/>
  <c r="MH58" i="2"/>
  <c r="MH43" i="2"/>
  <c r="LY29" i="2"/>
  <c r="LB29" i="2"/>
  <c r="KD58" i="2"/>
  <c r="KD43" i="2"/>
  <c r="LC29" i="2"/>
  <c r="KS29" i="2"/>
  <c r="MA29" i="2"/>
  <c r="LS58" i="2"/>
  <c r="LS43" i="2"/>
  <c r="KK29" i="2"/>
  <c r="KU58" i="2"/>
  <c r="KU43" i="2"/>
  <c r="MI29" i="2"/>
  <c r="LK58" i="2"/>
  <c r="LK43" i="2"/>
  <c r="LA29" i="2"/>
  <c r="KM29" i="2"/>
  <c r="LR58" i="2"/>
  <c r="LR43" i="2"/>
  <c r="JW58" i="2"/>
  <c r="JW43" i="2"/>
  <c r="JM29" i="2"/>
  <c r="IE58" i="2"/>
  <c r="IE43" i="2"/>
  <c r="JO58" i="2"/>
  <c r="JO43" i="2"/>
  <c r="JV58" i="2"/>
  <c r="JV43" i="2"/>
  <c r="JU29" i="2"/>
  <c r="JN58" i="2"/>
  <c r="JN43" i="2"/>
  <c r="JJ29" i="2"/>
  <c r="ID58" i="2"/>
  <c r="ID43" i="2"/>
  <c r="HW58" i="2"/>
  <c r="HW43" i="2"/>
  <c r="IC29" i="2"/>
  <c r="IN28" i="2"/>
  <c r="IJ28" i="2"/>
  <c r="IK28" i="2" s="1"/>
  <c r="IL28" i="2" s="1"/>
  <c r="IM28" i="2" s="1"/>
  <c r="IJ29" i="2"/>
  <c r="JD29" i="2"/>
  <c r="JD28" i="2"/>
  <c r="JF48" i="2"/>
  <c r="JF52" i="2" s="1"/>
  <c r="JG32" i="2"/>
  <c r="JG48" i="2" s="1"/>
  <c r="JG52" i="2" s="1"/>
  <c r="HX52" i="2"/>
  <c r="JE58" i="2"/>
  <c r="JE43" i="2"/>
  <c r="GZ58" i="2"/>
  <c r="GZ43" i="2"/>
  <c r="GM29" i="2"/>
  <c r="GH52" i="2"/>
  <c r="FW58" i="2"/>
  <c r="FW29" i="2" s="1"/>
  <c r="FW43" i="2"/>
  <c r="HM58" i="2"/>
  <c r="HM43" i="2"/>
  <c r="HG52" i="2"/>
  <c r="GT58" i="2"/>
  <c r="GT43" i="2"/>
  <c r="GS29" i="2"/>
  <c r="GI52" i="2"/>
  <c r="GY29" i="2"/>
  <c r="HK29" i="2"/>
  <c r="FV58" i="2"/>
  <c r="FV29" i="2" s="1"/>
  <c r="FV43" i="2"/>
  <c r="HL58" i="2"/>
  <c r="HL43" i="2"/>
  <c r="GU58" i="2"/>
  <c r="GU43" i="2"/>
  <c r="GO58" i="2"/>
  <c r="GO43" i="2"/>
  <c r="GC58" i="2"/>
  <c r="GC29" i="2" s="1"/>
  <c r="GC43" i="2"/>
  <c r="FJ29" i="2"/>
  <c r="HA58" i="2"/>
  <c r="HA43" i="2"/>
  <c r="GG58" i="2"/>
  <c r="GG29" i="2" s="1"/>
  <c r="GG43" i="2"/>
  <c r="GN58" i="2"/>
  <c r="GN43" i="2"/>
  <c r="GB58" i="2"/>
  <c r="GB29" i="2" s="1"/>
  <c r="GB43" i="2"/>
  <c r="FI29" i="2"/>
  <c r="EL29" i="2"/>
  <c r="EK29" i="2"/>
  <c r="DE29" i="2"/>
  <c r="DM52" i="2"/>
  <c r="DM58" i="2" s="1"/>
  <c r="DC29" i="2"/>
  <c r="DU29" i="2"/>
  <c r="DL29" i="2"/>
  <c r="ET52" i="2"/>
  <c r="ET58" i="2" s="1"/>
  <c r="ED52" i="2"/>
  <c r="ED58" i="2" s="1"/>
  <c r="ER29" i="2"/>
  <c r="DV29" i="2"/>
  <c r="DF29" i="2"/>
  <c r="CH58" i="2"/>
  <c r="CH43" i="2"/>
  <c r="CG58" i="2"/>
  <c r="CG43" i="2"/>
  <c r="CF29" i="2"/>
  <c r="CF28" i="2"/>
  <c r="BV9" i="2" l="1"/>
  <c r="BW9" i="2" s="1"/>
  <c r="BX9" i="2" s="1"/>
  <c r="BY9" i="2" s="1"/>
  <c r="BU9" i="2"/>
  <c r="FV28" i="2"/>
  <c r="FW28" i="2" s="1"/>
  <c r="FX28" i="2" s="1"/>
  <c r="FY28" i="2" s="1"/>
  <c r="FZ28" i="2" s="1"/>
  <c r="GA28" i="2" s="1"/>
  <c r="GB28" i="2" s="1"/>
  <c r="GC28" i="2" s="1"/>
  <c r="GD28" i="2" s="1"/>
  <c r="GE28" i="2" s="1"/>
  <c r="GF28" i="2" s="1"/>
  <c r="GG28" i="2" s="1"/>
  <c r="F29" i="2"/>
  <c r="F28" i="2"/>
  <c r="G28" i="2" s="1"/>
  <c r="G29" i="2"/>
  <c r="HF58" i="2"/>
  <c r="HF29" i="2" s="1"/>
  <c r="HY58" i="2"/>
  <c r="HY29" i="2" s="1"/>
  <c r="CA28" i="2"/>
  <c r="CA29" i="2"/>
  <c r="BZ28" i="2"/>
  <c r="BZ29" i="2"/>
  <c r="LK29" i="2"/>
  <c r="KU29" i="2"/>
  <c r="KD29" i="2"/>
  <c r="KE29" i="2"/>
  <c r="LR29" i="2"/>
  <c r="LS29" i="2"/>
  <c r="MH29" i="2"/>
  <c r="JG58" i="2"/>
  <c r="JG43" i="2"/>
  <c r="HX58" i="2"/>
  <c r="HX43" i="2"/>
  <c r="JF58" i="2"/>
  <c r="JF43" i="2"/>
  <c r="ID29" i="2"/>
  <c r="JN29" i="2"/>
  <c r="JO29" i="2"/>
  <c r="JE29" i="2"/>
  <c r="JE28" i="2"/>
  <c r="HW29" i="2"/>
  <c r="JV29" i="2"/>
  <c r="IE29" i="2"/>
  <c r="JW29" i="2"/>
  <c r="HA29" i="2"/>
  <c r="GN29" i="2"/>
  <c r="GU29" i="2"/>
  <c r="HL29" i="2"/>
  <c r="HG58" i="2"/>
  <c r="HG43" i="2"/>
  <c r="GH58" i="2"/>
  <c r="GH29" i="2" s="1"/>
  <c r="GH43" i="2"/>
  <c r="GZ29" i="2"/>
  <c r="GO29" i="2"/>
  <c r="HM29" i="2"/>
  <c r="GI58" i="2"/>
  <c r="GI29" i="2" s="1"/>
  <c r="GI43" i="2"/>
  <c r="GT29" i="2"/>
  <c r="ED29" i="2"/>
  <c r="DM29" i="2"/>
  <c r="ET29" i="2"/>
  <c r="CG28" i="2"/>
  <c r="CH28" i="2" s="1"/>
  <c r="CI28" i="2" s="1"/>
  <c r="CG29" i="2"/>
  <c r="CH29" i="2"/>
  <c r="CJ28" i="2" l="1"/>
  <c r="CK28" i="2" s="1"/>
  <c r="CL28" i="2" s="1"/>
  <c r="CM28" i="2" s="1"/>
  <c r="CN28" i="2" s="1"/>
  <c r="CO28" i="2" s="1"/>
  <c r="CP28" i="2" s="1"/>
  <c r="CQ28" i="2" s="1"/>
  <c r="CR28" i="2" s="1"/>
  <c r="CS28" i="2" s="1"/>
  <c r="CT28" i="2" s="1"/>
  <c r="CU28" i="2" s="1"/>
  <c r="CV28" i="2" s="1"/>
  <c r="CW28" i="2" s="1"/>
  <c r="CX28" i="2" s="1"/>
  <c r="CY28" i="2" s="1"/>
  <c r="CZ28" i="2" s="1"/>
  <c r="DA28" i="2" s="1"/>
  <c r="DB28" i="2" s="1"/>
  <c r="DC28" i="2" s="1"/>
  <c r="DD28" i="2" s="1"/>
  <c r="DE28" i="2" s="1"/>
  <c r="DF28" i="2" s="1"/>
  <c r="DG28" i="2" s="1"/>
  <c r="DH28" i="2" s="1"/>
  <c r="DI28" i="2" s="1"/>
  <c r="DJ28" i="2" s="1"/>
  <c r="DK28" i="2" s="1"/>
  <c r="DL28" i="2" s="1"/>
  <c r="DM28" i="2" s="1"/>
  <c r="DN28" i="2" s="1"/>
  <c r="DO28" i="2" s="1"/>
  <c r="DP28" i="2" s="1"/>
  <c r="DQ28" i="2" s="1"/>
  <c r="DR28" i="2" s="1"/>
  <c r="DS28" i="2" s="1"/>
  <c r="DT28" i="2" s="1"/>
  <c r="DU28" i="2" s="1"/>
  <c r="DV28" i="2" s="1"/>
  <c r="DW28" i="2" s="1"/>
  <c r="DX28" i="2" s="1"/>
  <c r="DY28" i="2" s="1"/>
  <c r="DZ28" i="2" s="1"/>
  <c r="EA28" i="2" s="1"/>
  <c r="EB28" i="2" s="1"/>
  <c r="EC28" i="2" s="1"/>
  <c r="ED28" i="2" s="1"/>
  <c r="EE28" i="2" s="1"/>
  <c r="EF28" i="2" s="1"/>
  <c r="EG28" i="2" s="1"/>
  <c r="EH28" i="2" s="1"/>
  <c r="EI28" i="2" s="1"/>
  <c r="EJ28" i="2" s="1"/>
  <c r="EK28" i="2" s="1"/>
  <c r="EL28" i="2" s="1"/>
  <c r="EM28" i="2" s="1"/>
  <c r="EN28" i="2" s="1"/>
  <c r="EO28" i="2" s="1"/>
  <c r="EP28" i="2" s="1"/>
  <c r="EQ28" i="2" s="1"/>
  <c r="ER28" i="2" s="1"/>
  <c r="ES28" i="2" s="1"/>
  <c r="ET28" i="2" s="1"/>
  <c r="EU28" i="2" s="1"/>
  <c r="EV28" i="2" s="1"/>
  <c r="EW28" i="2" s="1"/>
  <c r="EX28" i="2" s="1"/>
  <c r="EY28" i="2" s="1"/>
  <c r="EZ28" i="2" s="1"/>
  <c r="FA28" i="2" s="1"/>
  <c r="FB28" i="2" s="1"/>
  <c r="FC28" i="2" s="1"/>
  <c r="FD28" i="2" s="1"/>
  <c r="FE28" i="2" s="1"/>
  <c r="FF28" i="2" s="1"/>
  <c r="FG28" i="2" s="1"/>
  <c r="FH28" i="2" s="1"/>
  <c r="FI28" i="2" s="1"/>
  <c r="FJ28" i="2" s="1"/>
  <c r="FK28" i="2" s="1"/>
  <c r="FL28" i="2" s="1"/>
  <c r="FM28" i="2" s="1"/>
  <c r="FN28" i="2" s="1"/>
  <c r="FO28" i="2" s="1"/>
  <c r="BZ9" i="2"/>
  <c r="CA9" i="2" s="1"/>
  <c r="CB9" i="2" s="1"/>
  <c r="CC9" i="2" s="1"/>
  <c r="CD9" i="2" s="1"/>
  <c r="CE9" i="2" s="1"/>
  <c r="CF9" i="2" s="1"/>
  <c r="CG9" i="2" s="1"/>
  <c r="CH9" i="2" s="1"/>
  <c r="JF28" i="2"/>
  <c r="JG28" i="2" s="1"/>
  <c r="JH28" i="2" s="1"/>
  <c r="JI28" i="2" s="1"/>
  <c r="JJ28" i="2" s="1"/>
  <c r="JK28" i="2" s="1"/>
  <c r="JL28" i="2" s="1"/>
  <c r="JM28" i="2" s="1"/>
  <c r="JN28" i="2" s="1"/>
  <c r="JO28" i="2" s="1"/>
  <c r="JP28" i="2" s="1"/>
  <c r="JQ28" i="2" s="1"/>
  <c r="JR28" i="2" s="1"/>
  <c r="JS28" i="2" s="1"/>
  <c r="JT28" i="2" s="1"/>
  <c r="JU28" i="2" s="1"/>
  <c r="JV28" i="2" s="1"/>
  <c r="JW28" i="2" s="1"/>
  <c r="JX28" i="2" s="1"/>
  <c r="JY28" i="2" s="1"/>
  <c r="JZ28" i="2" s="1"/>
  <c r="KA28" i="2" s="1"/>
  <c r="KB28" i="2" s="1"/>
  <c r="KC28" i="2" s="1"/>
  <c r="KD28" i="2" s="1"/>
  <c r="KE28" i="2" s="1"/>
  <c r="KF28" i="2" s="1"/>
  <c r="KG28" i="2" s="1"/>
  <c r="KH28" i="2" s="1"/>
  <c r="KI28" i="2" s="1"/>
  <c r="KJ28" i="2" s="1"/>
  <c r="KK28" i="2" s="1"/>
  <c r="KL28" i="2" s="1"/>
  <c r="KM28" i="2" s="1"/>
  <c r="KN28" i="2" s="1"/>
  <c r="KO28" i="2" s="1"/>
  <c r="KP28" i="2" s="1"/>
  <c r="KQ28" i="2" s="1"/>
  <c r="KR28" i="2" s="1"/>
  <c r="KS28" i="2" s="1"/>
  <c r="KT28" i="2" s="1"/>
  <c r="KU28" i="2" s="1"/>
  <c r="KV28" i="2" s="1"/>
  <c r="KW28" i="2" s="1"/>
  <c r="KX28" i="2" s="1"/>
  <c r="KY28" i="2" s="1"/>
  <c r="KZ28" i="2" s="1"/>
  <c r="LA28" i="2" s="1"/>
  <c r="LB28" i="2" s="1"/>
  <c r="LC28" i="2" s="1"/>
  <c r="LD28" i="2" s="1"/>
  <c r="LE28" i="2" s="1"/>
  <c r="LF28" i="2" s="1"/>
  <c r="LG28" i="2" s="1"/>
  <c r="LH28" i="2" s="1"/>
  <c r="LI28" i="2" s="1"/>
  <c r="LJ28" i="2" s="1"/>
  <c r="LK28" i="2" s="1"/>
  <c r="LL28" i="2" s="1"/>
  <c r="LM28" i="2" s="1"/>
  <c r="LN28" i="2" s="1"/>
  <c r="LO28" i="2" s="1"/>
  <c r="LP28" i="2" s="1"/>
  <c r="LQ28" i="2" s="1"/>
  <c r="LR28" i="2" s="1"/>
  <c r="LS28" i="2" s="1"/>
  <c r="LT28" i="2" s="1"/>
  <c r="LU28" i="2" s="1"/>
  <c r="LV28" i="2" s="1"/>
  <c r="LW28" i="2" s="1"/>
  <c r="LX28" i="2" s="1"/>
  <c r="LY28" i="2" s="1"/>
  <c r="LZ28" i="2" s="1"/>
  <c r="MA28" i="2" s="1"/>
  <c r="MB28" i="2" s="1"/>
  <c r="MC28" i="2" s="1"/>
  <c r="MD28" i="2" s="1"/>
  <c r="ME28" i="2" s="1"/>
  <c r="MF28" i="2" s="1"/>
  <c r="MG28" i="2" s="1"/>
  <c r="MH28" i="2" s="1"/>
  <c r="MI28" i="2" s="1"/>
  <c r="MJ28" i="2" s="1"/>
  <c r="MK28" i="2" s="1"/>
  <c r="ML28" i="2" s="1"/>
  <c r="JF29" i="2"/>
  <c r="HX29" i="2"/>
  <c r="JG29" i="2"/>
  <c r="GH28" i="2"/>
  <c r="GI28" i="2" s="1"/>
  <c r="GJ28" i="2" s="1"/>
  <c r="GK28" i="2" s="1"/>
  <c r="GL28" i="2" s="1"/>
  <c r="GM28" i="2" s="1"/>
  <c r="GN28" i="2" s="1"/>
  <c r="GO28" i="2" s="1"/>
  <c r="GP28" i="2" s="1"/>
  <c r="GQ28" i="2" s="1"/>
  <c r="GR28" i="2" s="1"/>
  <c r="GS28" i="2" s="1"/>
  <c r="GT28" i="2" s="1"/>
  <c r="GU28" i="2" s="1"/>
  <c r="GV28" i="2" s="1"/>
  <c r="GW28" i="2" s="1"/>
  <c r="GX28" i="2" s="1"/>
  <c r="GY28" i="2" s="1"/>
  <c r="GZ28" i="2" s="1"/>
  <c r="HA28" i="2" s="1"/>
  <c r="HB28" i="2" s="1"/>
  <c r="HC28" i="2" s="1"/>
  <c r="HD28" i="2" s="1"/>
  <c r="HE28" i="2" s="1"/>
  <c r="HF28" i="2" s="1"/>
  <c r="HG28" i="2" s="1"/>
  <c r="HH28" i="2" s="1"/>
  <c r="HI28" i="2" s="1"/>
  <c r="HJ28" i="2" s="1"/>
  <c r="HK28" i="2" s="1"/>
  <c r="HL28" i="2" s="1"/>
  <c r="HM28" i="2" s="1"/>
  <c r="HN28" i="2" s="1"/>
  <c r="HO28" i="2" s="1"/>
  <c r="HP28" i="2" s="1"/>
  <c r="HQ28" i="2" s="1"/>
  <c r="HR28" i="2" s="1"/>
  <c r="HS28" i="2" s="1"/>
  <c r="HT28" i="2" s="1"/>
  <c r="HU28" i="2" s="1"/>
  <c r="HV28" i="2" s="1"/>
  <c r="HW28" i="2" s="1"/>
  <c r="HX28" i="2" s="1"/>
  <c r="HY28" i="2" s="1"/>
  <c r="HZ28" i="2" s="1"/>
  <c r="IA28" i="2" s="1"/>
  <c r="IB28" i="2" s="1"/>
  <c r="IC28" i="2" s="1"/>
  <c r="ID28" i="2" s="1"/>
  <c r="IE28" i="2" s="1"/>
  <c r="IF28" i="2" s="1"/>
  <c r="IG28" i="2" s="1"/>
  <c r="IH28" i="2" s="1"/>
  <c r="HG29" i="2"/>
  <c r="CI9" i="2" l="1"/>
  <c r="CJ9" i="2" s="1"/>
  <c r="CK9" i="2" s="1"/>
  <c r="CL9" i="2" s="1"/>
  <c r="CM9" i="2" s="1"/>
  <c r="CN9" i="2" s="1"/>
  <c r="CO9" i="2" s="1"/>
  <c r="CP9" i="2" s="1"/>
  <c r="CQ9" i="2" s="1"/>
  <c r="CR9" i="2" s="1"/>
  <c r="CS9" i="2" s="1"/>
  <c r="CT9" i="2" s="1"/>
  <c r="CU9" i="2" s="1"/>
  <c r="CV9" i="2" s="1"/>
  <c r="CW9" i="2" s="1"/>
  <c r="CX9" i="2" s="1"/>
  <c r="CY9" i="2" s="1"/>
  <c r="CZ9" i="2" s="1"/>
  <c r="DA9" i="2" s="1"/>
  <c r="DB9" i="2" s="1"/>
  <c r="DC9" i="2" s="1"/>
  <c r="DD9" i="2" s="1"/>
  <c r="DE9" i="2" s="1"/>
  <c r="DF9" i="2" s="1"/>
  <c r="DG9" i="2" s="1"/>
  <c r="DH9" i="2" s="1"/>
  <c r="DI9" i="2" s="1"/>
  <c r="DJ9" i="2" s="1"/>
  <c r="DK9" i="2" s="1"/>
  <c r="DL9" i="2" s="1"/>
  <c r="DM9" i="2" s="1"/>
  <c r="DN9" i="2" s="1"/>
  <c r="DO9" i="2" s="1"/>
  <c r="DP9" i="2" s="1"/>
  <c r="DQ9" i="2" s="1"/>
  <c r="DR9" i="2" s="1"/>
  <c r="DS9" i="2" s="1"/>
  <c r="DT9" i="2" s="1"/>
  <c r="DU9" i="2" s="1"/>
  <c r="DV9" i="2" s="1"/>
  <c r="DW9" i="2" s="1"/>
  <c r="DX9" i="2" s="1"/>
  <c r="DY9" i="2" s="1"/>
  <c r="DZ9" i="2" s="1"/>
  <c r="EA9" i="2" s="1"/>
  <c r="EB9" i="2" s="1"/>
  <c r="EC9" i="2" s="1"/>
  <c r="ED9" i="2" s="1"/>
  <c r="EE9" i="2" s="1"/>
  <c r="EF9" i="2" s="1"/>
  <c r="EG9" i="2" s="1"/>
  <c r="EH9" i="2" s="1"/>
  <c r="EI9" i="2" s="1"/>
  <c r="EJ9" i="2" s="1"/>
  <c r="EK9" i="2" s="1"/>
  <c r="EL9" i="2" s="1"/>
  <c r="EM9" i="2" s="1"/>
  <c r="EN9" i="2" s="1"/>
  <c r="EO9" i="2" s="1"/>
  <c r="EP9" i="2" s="1"/>
  <c r="EQ9" i="2" s="1"/>
  <c r="ER9" i="2" s="1"/>
  <c r="ES9" i="2" s="1"/>
  <c r="ET9" i="2" s="1"/>
  <c r="EU9" i="2" s="1"/>
  <c r="EV9" i="2" s="1"/>
  <c r="EW9" i="2" s="1"/>
  <c r="EX9" i="2" s="1"/>
  <c r="EY9" i="2" s="1"/>
  <c r="EZ9" i="2" s="1"/>
  <c r="FA9" i="2" s="1"/>
  <c r="FB9" i="2" s="1"/>
  <c r="FC9" i="2" s="1"/>
  <c r="FD9" i="2" s="1"/>
  <c r="FE9" i="2" s="1"/>
  <c r="FF9" i="2" s="1"/>
  <c r="FG9" i="2" s="1"/>
  <c r="FH9" i="2" s="1"/>
  <c r="FI9" i="2" s="1"/>
  <c r="FJ9" i="2" s="1"/>
  <c r="FK9" i="2" s="1"/>
  <c r="FL9" i="2" s="1"/>
  <c r="FM9" i="2" s="1"/>
  <c r="FN9" i="2" s="1"/>
  <c r="FO9" i="2" s="1"/>
</calcChain>
</file>

<file path=xl/sharedStrings.xml><?xml version="1.0" encoding="utf-8"?>
<sst xmlns="http://schemas.openxmlformats.org/spreadsheetml/2006/main" count="13359" uniqueCount="544">
  <si>
    <t>Comment</t>
  </si>
  <si>
    <t>Calibration value</t>
  </si>
  <si>
    <t>Inputs</t>
  </si>
  <si>
    <t>Outputs</t>
  </si>
  <si>
    <t>Configure</t>
  </si>
  <si>
    <t>TP #</t>
  </si>
  <si>
    <t>Test case Trace</t>
  </si>
  <si>
    <t>STEP#</t>
  </si>
  <si>
    <t>TIME</t>
  </si>
  <si>
    <t>TYPE</t>
  </si>
  <si>
    <t>RUN</t>
  </si>
  <si>
    <t>Time ( ms)</t>
  </si>
  <si>
    <t>D</t>
  </si>
  <si>
    <t>X</t>
  </si>
  <si>
    <t>STOP</t>
  </si>
  <si>
    <t>SSDD v 2.5</t>
  </si>
  <si>
    <t>Test Procedure Tag</t>
  </si>
  <si>
    <t>config/values</t>
  </si>
  <si>
    <t>dpvpc_tm_incrmntDecrmnt_ms</t>
  </si>
  <si>
    <t>dpvpc_tm_maxDelay_ms</t>
  </si>
  <si>
    <t>dpvpc_y_dmpPositionOffset_mm</t>
  </si>
  <si>
    <t>dpvpc_num_operationalCycleDelay</t>
  </si>
  <si>
    <t>dpvpc_num_resetCycleDelay</t>
  </si>
  <si>
    <t>dpvpc_y_dmpMiddlePosition_mm</t>
  </si>
  <si>
    <t>dpvd_enum_positionErrorCode</t>
  </si>
  <si>
    <t>dpvd_enum_positionErrorRegister</t>
  </si>
  <si>
    <t>dpvd_y_damperPosition_mm</t>
  </si>
  <si>
    <t>dpvd_vel_damperVelocity_mmps</t>
  </si>
  <si>
    <t>dpvd_enum_posSensorNormalRun</t>
  </si>
  <si>
    <t>dpvd_enum_damperStartUpErr</t>
  </si>
  <si>
    <t>dpvd_enum_magnetError</t>
  </si>
  <si>
    <t>dpvd_enum_damperRangeError</t>
  </si>
  <si>
    <t>dpvd_enum_dataFlashError</t>
  </si>
  <si>
    <t>dpvd_enum_controllerError</t>
  </si>
  <si>
    <t>dpvd_enum_damperTemperatureErr</t>
  </si>
  <si>
    <t>dpvd_enum_damperValidSRDOErr</t>
  </si>
  <si>
    <t>dpvpd_y_dmpPosition_mm</t>
  </si>
  <si>
    <t>dpvpd_vel_dmpVelocity_mmps</t>
  </si>
  <si>
    <t xml:space="preserve">dpvpd_enum_dmpPosAndVelValid </t>
  </si>
  <si>
    <t>dpvpd_enum_dmpPVSensorState</t>
  </si>
  <si>
    <t>dpvpd_enum_posSensorNormalRun</t>
  </si>
  <si>
    <t>dpvpd_enum_damperStartUp</t>
  </si>
  <si>
    <t>dpvpd_enum_magnetError</t>
  </si>
  <si>
    <t>dpvpd_enum_damperRangeError</t>
  </si>
  <si>
    <t>dpvpd_enum_dataFlashError</t>
  </si>
  <si>
    <t>dpvpd_enum_controllerError</t>
  </si>
  <si>
    <t>dpvpd_enum_damperTemperatureErr</t>
  </si>
  <si>
    <t>dpvpd_enum_damperValidSRDOErr</t>
  </si>
  <si>
    <t>dpvpd_enum_positionErrorCode</t>
  </si>
  <si>
    <t>dpvpd_enum_positionErrorRegister</t>
  </si>
  <si>
    <t>dpvpd_enum_dpvFailMode</t>
  </si>
  <si>
    <t>dpvpd_enum_activeErrors</t>
  </si>
  <si>
    <t>dpvpd_enum_nmtCtrlMsg</t>
  </si>
  <si>
    <t>pvpd_enum_messageValidit</t>
  </si>
  <si>
    <t>3a</t>
  </si>
  <si>
    <t>TXB-HLC-TP_4106</t>
  </si>
  <si>
    <t>TXB-HLC-TP_4107</t>
  </si>
  <si>
    <t>TXB-HLC-TP_4108</t>
  </si>
  <si>
    <t xml:space="preserve">Configure dpvpc_tm_incrmntDecrmnt_ms to 10
Configure dpvpc_tm_maxDelay_ms to 30
Configure dpvpc_y_dmpPositionOffset_mm to -30
Configure dpvpc_num_operationalCycleDelay to 6
Configure dpvpc_num_resetCycleDelay to 6
</t>
  </si>
  <si>
    <t>TXB-HLC-TC_1714
TXB-HLC-TC_1721
TXB-HLC-TC_1724
TXB-HLC-TC_1729
TXB-HLC-TC_1741</t>
  </si>
  <si>
    <t>TXB-HLC-TC_1700
TXB-HLC-TC_3600
TXB-HLC-TC_3927</t>
  </si>
  <si>
    <t>TXB-HLC-TC_1691</t>
  </si>
  <si>
    <t>TXB-HLC-TC_3933
TXB-HLC-TC_1742</t>
  </si>
  <si>
    <t>TXB-HLC-TC_1739
TXB-HLC-TC_1687</t>
  </si>
  <si>
    <t xml:space="preserve">TXB-HLC-TC_1730
</t>
  </si>
  <si>
    <t>TXB-HLC-TC_1698
TXB-HLC-TC_1740</t>
  </si>
  <si>
    <t>TXB-HLC-TC_1701</t>
  </si>
  <si>
    <t>TXB-HLC-TC_1710
TXB-HLC-TC_1687</t>
  </si>
  <si>
    <t>TXB-HLC-TC_1690
TXB-HLC-TC_1720
TXB-HLC-TC_3929
TXB-HLC-TC_12782</t>
  </si>
  <si>
    <t>TXB-HLC-TC_1702
TXB-HLC-TC_3929</t>
  </si>
  <si>
    <t>TXB-HLC-TC_1703</t>
  </si>
  <si>
    <t>TXB-HLC-TC_1704
TXB-HLC-TC_1746</t>
  </si>
  <si>
    <t>Nominal</t>
  </si>
  <si>
    <t>DPV_DAMPER_STROKE_VELOCITY message Rx.
Assume Damper Position and Velocity Validity set to valid.</t>
  </si>
  <si>
    <t>DPV_DAMPER_STROKE_VELOCITY message not Rx followed by increment condition.</t>
  </si>
  <si>
    <t>DPV_DAMPER_STROKE_VELOCITY message Rx followed by increment condition.</t>
  </si>
  <si>
    <t>DPV_DAMPER_STROKE_VELOCITY message Not-Rx followed by decrement condition.
Threshold reached.Transition from valid to invalid.</t>
  </si>
  <si>
    <t>DPV_DAMPER_STROKE_VELOCITY message Rx followed by decrement condition.</t>
  </si>
  <si>
    <t>DPV_DAMPER_STROKE_VELOCITY message Rx .Threshold reaches zero.Transition from invalid to valid.</t>
  </si>
  <si>
    <t>DPV_DAMPER_STROKE_VELOCITY message Rx.
Assume Damper Position and Velocity Validity is valid in the previous cycle.</t>
  </si>
  <si>
    <t>DPV_DAMPER_STROKE_VELOCITY message Rx.Threshold reaches zero.Transition from invalid to valid.</t>
  </si>
  <si>
    <t>DPV_DAMPER_POSITION_EMCY message Rx.
DPV_DAMPER_STROKE_VELOCITY message Rx followed by increment condition.</t>
  </si>
  <si>
    <t>DPV_ERROR_RESET_OR_NO_ERROR_E</t>
  </si>
  <si>
    <t>Not Received</t>
  </si>
  <si>
    <t>DPV_DEVICE_HARDWARE_E</t>
  </si>
  <si>
    <t>DPV_REGISTER_NO_ERROR_E</t>
  </si>
  <si>
    <t>VALID</t>
  </si>
  <si>
    <t>INVALID</t>
  </si>
  <si>
    <t>DPV_OPERATIONAL_E</t>
  </si>
  <si>
    <t>DPV_NON_OPERATIONAL_E</t>
  </si>
  <si>
    <t>3b</t>
  </si>
  <si>
    <t>4a</t>
  </si>
  <si>
    <t>4b</t>
  </si>
  <si>
    <t>4c</t>
  </si>
  <si>
    <t>TXB-HLC-TP_10382</t>
  </si>
  <si>
    <t>TXB-HLC-TP_4109</t>
  </si>
  <si>
    <t>TXB-HLC-TP_10383</t>
  </si>
  <si>
    <t>TXB-HLC-TP_10384</t>
  </si>
  <si>
    <t>TXB-HLC-TC_1743</t>
  </si>
  <si>
    <t>TXB-HLC-TC_12781</t>
  </si>
  <si>
    <t>TXB-HLC-TC_1719</t>
  </si>
  <si>
    <t>TXB-HLC-TC_1723</t>
  </si>
  <si>
    <t>TXB-HLC-TC_1712
TXB-HLC-TC_1736
TXB-HLC-TC_3926</t>
  </si>
  <si>
    <t>TXB-HLC-TC_1713
TXB-HLC-TC_3939
TXB-HLC-TC_3926</t>
  </si>
  <si>
    <t>TXB-HLC-TC_1715
TXB-HLC-TC_1708</t>
  </si>
  <si>
    <t>TXB-HLC-TC_1755
TXB-HLC-TC_16046
TXB-HLC-TC_16047
TXB-HLC-TC_10316
TXB-HLC-TC_10320
TXB-HLC-TC_10380</t>
  </si>
  <si>
    <t>TXB-HLC-TC_1744</t>
  </si>
  <si>
    <t>TXB-HLC-TC_1745</t>
  </si>
  <si>
    <t>TXB-HLC-TC_1725
TXB-HLC-TC_1709
TXB-HLC-TC_3927
TXB-HLC-TC_1706</t>
  </si>
  <si>
    <t>TXB-HLC-TC_1716</t>
  </si>
  <si>
    <t>TXB-HLC-TC_1717
TXB-HLC-TC_3928</t>
  </si>
  <si>
    <t>TXB-HLC-TC_1718
TXB-HLC-TC_3928</t>
  </si>
  <si>
    <t>TXB-HLC-TC_1707</t>
  </si>
  <si>
    <t>TXB-HLC-TC_1711
TXB-HLC-TC_1687</t>
  </si>
  <si>
    <t>Damper Position and Velocity Sensor State is 'Non-Operational', the DPV Proxy send 'Pre-Operational' command to the CAN Bus Builder.</t>
  </si>
  <si>
    <t>DPV Proxy send 'Configuration' command to the CAN Bus Builder.</t>
  </si>
  <si>
    <t>DPV Proxy send 'Operation' command to the CAN Bus Builder.</t>
  </si>
  <si>
    <t>DPV send ‘No Message’ to CAN Bus Builder for 6 cycles.</t>
  </si>
  <si>
    <t>DPV Proxy return to "Normal Operation" process.</t>
  </si>
  <si>
    <t>Non operational counter is set to 0.
DPV failure mode is set to false.</t>
  </si>
  <si>
    <t>Damper Position and Velocity Sensor State is 'Non-Operational', the DPV Proxy send 'Pre-Operational' command to the CAN Bus Builder by setting Network Manager Control Message to ‘DPV_NMT_PRE_OPER_MSG_E’.</t>
  </si>
  <si>
    <t>DPV Proxy send 'Configuration' command, to the CAN Bus Builder by setting Network Manager Control Message to ‘DPV_NMT_CONFIG_MSG_E’.</t>
  </si>
  <si>
    <t>DPV Proxy send 'Operation' command to the CAN Bus Builder by setting Network Manager Control Message to ‘DPV_NMT_OPER_MSG_E’.</t>
  </si>
  <si>
    <t>DPV send ‘No Message’ to CAN Bus Builder by setting Network Manager Control Message to ‘DPV_NMT_NO_MSG_E’ for 6 cycles.</t>
  </si>
  <si>
    <t>Non operational counter is incremented by 1.
DPV failure mode is set to false.Sending RESET command to CAN bus.</t>
  </si>
  <si>
    <t>DPV_DATA_SET_E</t>
  </si>
  <si>
    <t>DPV_DATA_SET_ERROR_E</t>
  </si>
  <si>
    <t>DPV_DEVICE_HW_AND_OR_DATA_SET_E</t>
  </si>
  <si>
    <t>DPV_NMT_PRE_OPER_MSG_E</t>
  </si>
  <si>
    <t>DPV_NMT_CONFIG_MSG_E</t>
  </si>
  <si>
    <t>DPV_NMT_OPER_MSG_E</t>
  </si>
  <si>
    <t>DPV_NMT_NO_MSG_E</t>
  </si>
  <si>
    <t>DPV_NMT_RESET_MSG_E</t>
  </si>
  <si>
    <t>4d</t>
  </si>
  <si>
    <t>4e</t>
  </si>
  <si>
    <t>4f</t>
  </si>
  <si>
    <t>4g</t>
  </si>
  <si>
    <t>4h</t>
  </si>
  <si>
    <t>4i</t>
  </si>
  <si>
    <t>4j</t>
  </si>
  <si>
    <t>4k</t>
  </si>
  <si>
    <t>4l</t>
  </si>
  <si>
    <t>5A</t>
  </si>
  <si>
    <t>5b</t>
  </si>
  <si>
    <t>5c</t>
  </si>
  <si>
    <t>5d</t>
  </si>
  <si>
    <t>5e</t>
  </si>
  <si>
    <t>5f</t>
  </si>
  <si>
    <t>5g</t>
  </si>
  <si>
    <t xml:space="preserve">Configure dpvpc_tm_incrmntDecrmnt_ms to 0
Configure dpvpc_tm_maxDelay_ms to 0
Configure dpvpc_y_dmpPositionOffset_mm to -500
Configure dpvpc_num_operationalCycleDelay to 1
Configure dpvpc_num_resetCycleDelay to 1
</t>
  </si>
  <si>
    <t>TXB-HLC-TC_1727</t>
  </si>
  <si>
    <t>TXB-HLC-TC_1722
TXB-HLC-TC_1734</t>
  </si>
  <si>
    <t>TXB-HLC-TC_4522
TXB-HLC-TC_16048
TXB-HLC-TC_16049</t>
  </si>
  <si>
    <t>TXB-HLC-TC_13208</t>
  </si>
  <si>
    <t>Minimum</t>
  </si>
  <si>
    <t>Non operational counter is incremented by 1.
DPV failure mode is set to true.Sending RESET command to CAN bus.</t>
  </si>
  <si>
    <t>DPV_DAMPER_STROKE_VELOCITY message Rx.
Damper Position and Velocity Validity set to invalid.</t>
  </si>
  <si>
    <t>DPV_DAMPER_STROKE_VELOCITY message Not-Rx followed by increment condition.
Validity remains in INVALID as the max delay is set to '0'.</t>
  </si>
  <si>
    <t>DPV_DAMPER_STROKE_VELOCITY message Rx followed by decrement condition.
Validity remains in INVALID as the max delay is set to '0'.</t>
  </si>
  <si>
    <t>DPV_DAMPER_STROKE_VELOCITY message Rx.
Validity remains in INVALID as the max delay is set to '0'.</t>
  </si>
  <si>
    <r>
      <rPr>
        <sz val="11"/>
        <rFont val="Calibri"/>
        <family val="2"/>
      </rPr>
      <t>Damper Position and Velocity Sensor State is 'Non-Operational', the DPV Proxy send 'Pre-Operational' command to the CAN Bus Builder by setting Network Manager Control Message to ‘DPV_NMT_PRE_OPER_MSG_E’.</t>
    </r>
  </si>
  <si>
    <r>
      <t>DPV Proxy send '</t>
    </r>
    <r>
      <rPr>
        <b/>
        <sz val="11"/>
        <rFont val="Calibri"/>
        <family val="2"/>
      </rPr>
      <t xml:space="preserve">Configuration' </t>
    </r>
    <r>
      <rPr>
        <sz val="11"/>
        <rFont val="Calibri"/>
        <family val="2"/>
      </rPr>
      <t xml:space="preserve">command, to the CAN Bus Builder by setting </t>
    </r>
    <r>
      <rPr>
        <b/>
        <sz val="11"/>
        <rFont val="Calibri"/>
        <family val="2"/>
      </rPr>
      <t>Network Manager Control Message</t>
    </r>
    <r>
      <rPr>
        <sz val="11"/>
        <rFont val="Calibri"/>
        <family val="2"/>
      </rPr>
      <t xml:space="preserve"> to</t>
    </r>
    <r>
      <rPr>
        <b/>
        <sz val="11"/>
        <rFont val="Calibri"/>
        <family val="2"/>
      </rPr>
      <t xml:space="preserve"> ‘DPV_NMT_CONFIG_MSG_E’.</t>
    </r>
  </si>
  <si>
    <r>
      <t>DPV Proxy send '</t>
    </r>
    <r>
      <rPr>
        <b/>
        <sz val="11"/>
        <rFont val="Calibri"/>
        <family val="2"/>
      </rPr>
      <t xml:space="preserve">Operation' </t>
    </r>
    <r>
      <rPr>
        <sz val="11"/>
        <rFont val="Calibri"/>
        <family val="2"/>
      </rPr>
      <t xml:space="preserve">command to the CAN Bus Builder by setting </t>
    </r>
    <r>
      <rPr>
        <b/>
        <sz val="11"/>
        <rFont val="Calibri"/>
        <family val="2"/>
      </rPr>
      <t>Network Manager Control Message</t>
    </r>
    <r>
      <rPr>
        <sz val="11"/>
        <rFont val="Calibri"/>
        <family val="2"/>
      </rPr>
      <t xml:space="preserve"> to</t>
    </r>
    <r>
      <rPr>
        <b/>
        <sz val="11"/>
        <rFont val="Calibri"/>
        <family val="2"/>
      </rPr>
      <t xml:space="preserve"> ‘DPV_NMT_OPER_MSG_E’</t>
    </r>
    <r>
      <rPr>
        <sz val="11"/>
        <rFont val="Calibri"/>
        <family val="2"/>
      </rPr>
      <t>.</t>
    </r>
  </si>
  <si>
    <t>DPV send ‘No Message’ to CAN Bus Builder by setting Network Manager Control Message to ‘DPV_NMT_NO_MSG_E’ for 1 cycle.</t>
  </si>
  <si>
    <t>Not received</t>
  </si>
  <si>
    <t>5h</t>
  </si>
  <si>
    <t>5i</t>
  </si>
  <si>
    <t>6A</t>
  </si>
  <si>
    <t>8a</t>
  </si>
  <si>
    <t>9a</t>
  </si>
  <si>
    <t>9b</t>
  </si>
  <si>
    <t>9c</t>
  </si>
  <si>
    <t xml:space="preserve">Configure dpvpc_tm_incrmntDecrmnt_ms to 100
Configure dpvpc_tm_maxDelay_ms to 1000
Configure dpvpc_y_dmpPositionOffset_mm to 500
Configure dpvpc_num_operationalCycleDelay to 50
Configure dpvpc_num_resetCycleDelay to 50
</t>
  </si>
  <si>
    <t>TXB-HLC-TC_1731</t>
  </si>
  <si>
    <t>TXB-HLC-TC_1726
TXB-HLC-TC_1738</t>
  </si>
  <si>
    <t>TXB-HLC-TC_13209</t>
  </si>
  <si>
    <t>TXB-HLC-TC_4523</t>
  </si>
  <si>
    <t>TXB-HLC-TC_4524
TXB-HLC-TC_16050
TXB-HLC-TC_16051</t>
  </si>
  <si>
    <t>Maximum</t>
  </si>
  <si>
    <r>
      <t>DPV send ‘</t>
    </r>
    <r>
      <rPr>
        <sz val="11"/>
        <rFont val="Calibri"/>
        <family val="2"/>
      </rPr>
      <t>No Message’ to CAN Bus Builder by setting Network Manager Control Message to ‘DPV_NMT_NO_MSG_E’ for 50 cycles.</t>
    </r>
  </si>
  <si>
    <t>DPV send ‘No Message’ to CAN Bus Builder by setting Network Manager Control Message to ‘DPV_NMT_NO_MSG_E’ for 50 cycles.</t>
  </si>
  <si>
    <t>Verify that DPV Proxy return to "Normal Operation" process.</t>
  </si>
  <si>
    <t>DPV_DAMPER_POSITION_EMCY message not Rx.
DPV_DAMPER_STROKE_VELOCITY message Rx followed by increment condition.</t>
  </si>
  <si>
    <t>DPV_DAMPER_POSITION_EMCY message Rx.
DPV_DAMPER_STROKE_VELOCITY message Not-Rx followed by decrement condition.
Threshold reached.Transition from valid to invalid.</t>
  </si>
  <si>
    <r>
      <t>DPV send ‘</t>
    </r>
    <r>
      <rPr>
        <sz val="11"/>
        <rFont val="Calibri"/>
        <family val="2"/>
      </rPr>
      <t>No Message’ to CAN Bus Builder by setting Network Manager Control Message to ‘DPV_NMT_NO_MSG_E’ for 6 cycles.</t>
    </r>
  </si>
  <si>
    <t>9d</t>
  </si>
  <si>
    <t>9e</t>
  </si>
  <si>
    <t>9f</t>
  </si>
  <si>
    <t>9g</t>
  </si>
  <si>
    <t>9h</t>
  </si>
  <si>
    <t>DPV Proxy performs "DPV Configuration Validation" process.Damper Position and Velocity Sensor State is 'Non-Operational', the DPV Proxy send 'Pre-Operational' command to the CAN Bus Builder by setting Network Manager Control Message to ‘DPV_NMT_PRE_OPER_MSG_E’.</t>
  </si>
  <si>
    <t>DELETE</t>
  </si>
  <si>
    <t>At the end of cycle 1
At the end of cycle 1
Verify dpvpd_y_dmpPosition_mm is 0
Verify dpvpd_vel_dmpVelocity_mmps is 250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2
Verify dpvpd_y_dmpPosition_mm is 0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3
Verify dpvpd_y_dmpPosition_mm is 0
Verify dpvpd_vel_dmpVelocity_mmps is 235
Verify dpvpd_enum_dmpPosAndVelValid  is VALID
Verify dpvpd_enum_dmpPVSensorState is DPV_OPERATIONAL_E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4
Verify dpvpd_y_dmpPosition_mm is 0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5
Verify dpvpd_y_dmpPosition_mm is 270
Verify dpvpd_vel_dmpVelocity_mmps is -250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6
Verify dpvpd_y_dmpPosition_mm is 560
Verify dpvpd_vel_dmpVelocity_mmps is 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7
Verify dpvpd_y_dmpPosition_mm is 420
Verify dpvpd_vel_dmpVelocity_mmps is -1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t>
  </si>
  <si>
    <t>At cycle 8 For 1 cycles
Set dpvd_enum_positionErrorCode to Not Received
Set dpvd_enum_positionErrorRegister to Not Received
Set dpvd_y_damperPosition_mm to 250
Set dpvd_vel_damperVelocity_mmps to 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 For 1 cycles
Set dpvd_enum_positionErrorCode to DPV_ERROR_RESET_OR_NO_ERROR_E
Set dpvd_enum_positionErrorRegister to DPV_REGISTER_NO_ERROR_E
Set dpvd_y_damperPosition_mm to 456
Set dpvd_vel_damperVelocity_mmps to 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11 For 1 cycles
Set dpvd_enum_positionErrorCode to DPV_ERROR_RESET_OR_NO_ERROR_E
Set dpvd_enum_positionErrorRegister to DPV_REGISTER_NO_ERROR_E
Set dpvd_y_damperPosition_mm to 555
Set dpvd_vel_damperVelocity_mmps to -249
Set dpvd_enum_posSensorNormalRun to 1
Set dpvd_enum_damperStartUpErr to 1
Set dpvd_enum_magnetError to 0
Set dpvd_enum_damperRangeError to 0
Set dpvd_enum_dataFlashError to 0
Set dpvd_enum_controllerError to 0
Set dpvd_enum_damperTemperatureErr to 0
Set dpvd_enum_damperValidSRDOErr to 0
At cycle 12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13 For 1 cycles
Set dpvd_enum_positionErrorCode to DPV_ERROR_RESET_OR_NO_ERROR_E
Set dpvd_enum_positionErrorRegister to DPV_REGISTER_NO_ERROR_E
Set dpvd_y_damperPosition_mm to 350
Set dpvd_vel_damperVelocity_mmps to 125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14 For 1 cycles
Set dpvd_enum_positionErrorCode to DPV_DEVICE_HARDWARE_E
Set dpvd_enum_positionErrorRegister to DPV_REGISTER_NO_ERROR_E
Set dpvd_y_damperPosition_mm to 333
Set dpvd_vel_damperVelocity_mmps to -123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15 For 1 cycles
Set dpvd_enum_positionErrorCode to DPV_ERROR_RESET_OR_NO_ERROR_E
Set dpvd_enum_positionErrorRegister to DPV_REGISTER_NO_ERROR_E
Set dpvd_y_damperPosition_mm to 333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16 For 1 cycles
Set dpvd_enum_positionErrorCode to DPV_ERROR_RESET_OR_NO_ERROR_E
Set dpvd_enum_positionErrorRegister to DPV_REGISTER_NO_ERROR_E
Set dpvd_y_damperPosition_mm to 450
Set dpvd_vel_damperVelocity_mmps to -123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17 For 1 cycles
Set dpvd_enum_positionErrorCode to DPV_ERROR_RESET_OR_NO_ERROR_E
Set dpvd_enum_positionErrorRegister to DPV_REGISTER_NO_ERROR_E
Set dpvd_y_damperPosition_mm to 333
Set dpvd_vel_damperVelocity_mmps to 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</si>
  <si>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the end of cycle 8
Verify dpvpd_y_dmpPosition_mm is 220
Verify dpvpd_vel_dmpVelocity_mmps is 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9
Verify dpvpd_y_dmpPosition_mm is 220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10
Verify dpvpd_y_dmpPosition_mm is 426
Verify dpvpd_vel_dmpVelocity_mmps is 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11
Verify dpvpd_y_dmpPosition_mm is 426
Verify dpvpd_vel_dmpVelocity_mmps is 235
Verify dpvpd_enum_dmpPosAndVelValid  is VALID
Verify dpvpd_enum_dmpPVSensorState is DPV_OPERATIONAL_E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12
Verify dpvpd_y_dmpPosition_mm is 426
Verify dpvpd_vel_dmpVelocity_mmps is 235
Verify dpvpd_enum_dmpPosAndVelValid  is INVALID
Verify dpvpd_enum_dmpPVSensorState is DPV_NON_OPERATIONAL_E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13
Verify dpvpd_y_dmpPosition_mm is 320
Verify dpvpd_vel_dmpVelocity_mmps is 125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14
Verify dpvpd_y_dmpPosition_mm is 320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DPV_DEVICE_HARDWARE_E
Verify dpvpd_enum_positionErrorRegister is DPV_REGISTER_NO_ERROR_E
Verify dpvpd_enum_dpvFailMode is 0
Verify dpvpd_enum_activeErrors is 1
Verify dpvpd_enum_nmtCtrlMsg is 0
At the end of cycle 15
Verify dpvpd_y_dmpPosition_mm is 303
Verify dpvpd_vel_dmpVelocity_mmps is 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16
Verify dpvpd_y_dmpPosition_mm is 420
Verify dpvpd_vel_dmpVelocity_mmps is -123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17
Verify dpvpd_y_dmpPosition_mm is 303
Verify dpvpd_vel_dmpVelocity_mmps is 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t>
  </si>
  <si>
    <t>At cycle 18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1
Set dpvd_enum_damperRangeError to 0
Set dpvd_enum_dataFlashError to 0
Set dpvd_enum_controllerError to 0
Set dpvd_enum_damperTemperatureErr to 0
Set dpvd_enum_damperValidSRDOErr to 0
At cycle 19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0
Set dpvd_enum_damperRangeError to 1
Set dpvd_enum_dataFlashError to 0
Set dpvd_enum_controllerError to 0
Set dpvd_enum_damperTemperatureErr to 0
Set dpvd_enum_damperValidSRDOErr to 0
At cycle 20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0
Set dpvd_enum_damperRangeError to 0
Set dpvd_enum_dataFlashError to 1
Set dpvd_enum_controllerError to 0
Set dpvd_enum_damperTemperatureErr to 0
Set dpvd_enum_damperValidSRDOErr to 0
At cycle 21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0
Set dpvd_enum_damperRangeError to 0
Set dpvd_enum_dataFlashError to 0
Set dpvd_enum_controllerError to 1
Set dpvd_enum_damperTemperatureErr to 0
Set dpvd_enum_damperValidSRDOErr to 0
At cycle 22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25 For 4 cycles
Set dpvd_enum_positionErrorCode to DPV_ERROR_RESET_OR_NO_ERROR_E
Set dpvd_enum_positionErrorRegister to DPV_REGISTER_NO_ERROR_E
Set dpvd_y_damperPosition_mm to 302
Set dpvd_vel_damperVelocity_mmps to 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29 For 1 cycles
Set dpvd_enum_positionErrorCode to DPV_ERROR_RESET_OR_NO_ERROR_E
Set dpvd_enum_positionErrorRegister to DPV_REGISTER_NO_ERROR_E
Set dpvd_y_damperPosition_mm to 302
Set dpvd_vel_damperVelocity_mmps to 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</si>
  <si>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the end of cycle 18
Verify dpvpd_y_dmpPosition_mm is 303
Verify dpvpd_vel_dmpVelocity_mmps is 235
Verify dpvpd_enum_dmpPosAndVelValid  is VALID
Verify dpvpd_enum_dmpPVSensorState is DPV_OPERATIONAL_E
Verify dpvpd_enum_posSensorNormalRun is 1
Verify dpvpd_enum_damperStartUp is 0
Verify dpvpd_enum_magnetError is 1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19
Verify dpvpd_y_dmpPosition_mm is 303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1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20
Verify dpvpd_y_dmpPosition_mm is 303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21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22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23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24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25
Verify dpvpd_y_dmpPosition_mm is 272
Verify dpvpd_vel_dmpVelocity_mmps is 3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29
Verify dpvpd_y_dmpPosition_mm is 272
Verify dpvpd_vel_dmpVelocity_mmps is 3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t>
  </si>
  <si>
    <t>At cycle 30 For 1 cycles
Set dpvd_enum_positionErrorCode to DPV_ERROR_RESET_OR_NO_ERROR_E
Set dpvd_enum_positionErrorRegister to DPV_REGISTER_NO_ERROR_E
Set dpvd_y_damperPosition_mm to 303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31 For 1 cycles
Set dpvd_enum_positionErrorCode to DPV_ERROR_RESET_OR_NO_ERROR_E
Set dpvd_enum_positionErrorRegister to DPV_REGISTER_NO_ERROR_E
Set dpvd_y_damperPosition_mm to 304
Set dpvd_vel_damperVelocity_mmps to 2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32 For 1 cycles
Set dpvd_enum_positionErrorCode to DPV_ERROR_RESET_OR_NO_ERROR_E
Set dpvd_enum_positionErrorRegister to DPV_REGISTER_NO_ERROR_E
Set dpvd_y_damperPosition_mm to 0
Set dpvd_vel_damperVelocity_mmps to 5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33 For 1 cycles
Set dpvd_enum_positionErrorCode to DPV_ERROR_RESET_OR_NO_ERROR_E
Set dpvd_enum_positionErrorRegister to DPV_REGISTER_NO_ERROR_E
Set dpvd_y_damperPosition_mm to 304
Set dpvd_vel_damperVelocity_mmps to 8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34 For 1 cycles
Set dpvd_enum_positionErrorCode to DPV_ERROR_RESET_OR_NO_ERROR_E
Set dpvd_enum_positionErrorRegister to DPV_REGISTER_NO_ERROR_E
Set dpvd_y_damperPosition_mm to 304
Set dpvd_vel_damperVelocity_mmps to 11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35 For 1 cycles
Set dpvd_enum_positionErrorCode to DPV_ERROR_RESET_OR_NO_ERROR_E
Set dpvd_enum_positionErrorRegister to DPV_REGISTER_NO_ERROR_E
Set dpvd_y_damperPosition_mm to 304
Set dpvd_vel_damperVelocity_mmps to 14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</si>
  <si>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the end of cycle 30
Verify dpvpd_y_dmpPosition_mm is 273
Verify dpvpd_vel_dmpVelocity_mmps is -1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31
Verify dpvpd_y_dmpPosition_mm is 274
Verify dpvpd_vel_dmpVelocity_mmps is 2
Verify dpvpd_enum_dmpPosAndVelValid  is INVALID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32
Verify dpvpd_y_dmpPosition_mm is 274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33
Verify dpvpd_y_dmpPosition_mm is 274
Verify dpvpd_vel_dmpVelocity_mmps is 8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34
Verify dpvpd_y_dmpPosition_mm is 274
Verify dpvpd_vel_dmpVelocity_mmps is 11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35
Verify dpvpd_y_dmpPosition_mm is 274
Verify dpvpd_vel_dmpVelocity_mmps is 14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t>
  </si>
  <si>
    <t>At cycle 36 For 1 cycles
Set dpvd_enum_positionErrorCode to DPV_ERROR_RESET_OR_NO_ERROR_E
Set dpvd_enum_positionErrorRegister to DPV_REGISTER_NO_ERROR_E
Set dpvd_y_damperPosition_mm to 206
Set dpvd_vel_damperVelocity_mmps to -156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37 For 1 cycles
Set dpvd_enum_positionErrorCode to DPV_ERROR_RESET_OR_NO_ERROR_E
Set dpvd_enum_positionErrorRegister to DPV_DATA_SET_ERROR_E
Set dpvd_y_damperPosition_mm to 1
Set dpvd_vel_damperVelocity_mmps to -143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38 For 1 cycles
Set dpvd_enum_positionErrorCode to DPV_ERROR_RESET_OR_NO_ERROR_E
Set dpvd_enum_positionErrorRegister to DPV_DEVICE_HW_AND_OR_DATA_SET_E
Set dpvd_y_damperPosition_mm to 600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39 For 1 cycles
Set dpvd_enum_positionErrorCode to DPV_ERROR_RESET_OR_NO_ERROR_E
Set dpvd_enum_positionErrorRegister to DPV_REGISTER_NO_ERROR_E
Set dpvd_y_damperPosition_mm to 606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40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43 For 5 cycles
Set dpvd_enum_positionErrorCode to DPV_ERROR_RESET_OR_NO_ERROR_E
Set dpvd_enum_positionErrorRegister to DPV_REGISTER_NO_ERROR_E
Set dpvd_y_damperPosition_mm to 429496729.5
Set dpvd_vel_damperVelocity_mmps to 30
Set dpvd_enum_posSensorNormalRun to 1
Set dpvd_enum_damperStartUpErr to 0
Set dpvd_enum_magnetError to 0
Set dpvd_enum_damperRangeError to 0
Set dpvd_enum_dataFlashError to 0
Set dpvd_enum_controllerError to 0
Set dpvd_enum_damperTemperatureErr to 1
Set dpvd_enum_damperValidSRDOErr to 0</t>
  </si>
  <si>
    <t>At the end of cycle 36
Verify dpvpd_y_dmpPosition_mm is 176
Verify dpvpd_vel_dmpVelocity_mmps is -156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37
Verify dpvpd_y_dmpPosition_mm is 176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DPV_DATA_SET_ERROR_E
Verify dpvpd_enum_dpvFailMode is 0
Verify dpvpd_enum_activeErrors is 1
Verify dpvpd_enum_nmtCtrlMsg is 0
At the end of cycle 38
Verify dpvpd_y_dmpPosition_mm is 176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DPV_DEVICE_HW_AND_OR_DATA_SET_E
Verify dpvpd_enum_dpvFailMode is 0
Verify dpvpd_enum_activeErrors is 1
Verify dpvpd_enum_nmtCtrlMsg is 0
At the end of cycle 39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40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DPV_NMT_PRE_OPER_MSG_E
At the end of cycle 41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DPV_NMT_CONFIG_MSG_E
At the end of cycle 42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DPV_NMT_OPER_MSG_E
At the end of cycle 43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t>
  </si>
  <si>
    <t>At cycle 48 For 1 cycles
Set dpvd_enum_positionErrorCode to DPV_ERROR_RESET_OR_NO_ERROR_E
Set dpvd_enum_positionErrorRegister to DPV_REGISTER_NO_ERROR_E
Set dpvd_y_damperPosition_mm to 200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1
At cycle 49 For 1 cycles
Set dpvd_enum_positionErrorCode to DPV_ERROR_RESET_OR_NO_ERROR_E
Set dpvd_enum_positionErrorRegister to DPV_REGISTER_NO_ERROR_E
Set dpvd_y_damperPosition_mm to 206
Set dpvd_vel_damperVelocity_mmps to -32768
Set dpvd_enum_posSensorNormalRun to 1
Set dpvd_enum_damperStartUpErr to 0
Set dpvd_enum_magnetError to 0
Set dpvd_enum_damperRangeError to 0
Set dpvd_enum_dataFlashError to 0
Set dpvd_enum_controllerError to 0
Set dpvd_enum_damperTemperatureErr to 1
Set dpvd_enum_damperValidSRDOErr to 0
At cycle 50 For 5 cycles
Set dpvd_enum_positionErrorCode to DPV_ERROR_RESET_OR_NO_ERROR_E
Set dpvd_enum_positionErrorRegister to DPV_REGISTER_NO_ERROR_E
Set dpvd_y_damperPosition_mm to 212
Set dpvd_vel_damperVelocity_mmps to 32767
Set dpvd_enum_posSensorNormalRun to 1
Set dpvd_enum_damperStartUpErr to 0
Set dpvd_enum_magnetError to 0
Set dpvd_enum_damperRangeError to 0
Set dpvd_enum_dataFlashError to 0
Set dpvd_enum_controllerError to 1
Set dpvd_enum_damperTemperatureErr to 0
Set dpvd_enum_damperValidSRDOErr to 0
At cycle 55 For 1 cycles
Set dpvd_enum_positionErrorCode to DPV_ERROR_RESET_OR_NO_ERROR_E
Set dpvd_enum_positionErrorRegister to DPV_REGISTER_NO_ERROR_E
Set dpvd_y_damperPosition_mm to 218
Set dpvd_vel_damperVelocity_mmps to 200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1
At cycle 56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</si>
  <si>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48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49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50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55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56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57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58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DPV_NMT_OPER_MSG_E</t>
  </si>
  <si>
    <t>At cycle 59 For 5 cycles
Set dpvd_enum_positionErrorCode to DPV_DATA_SET_E
Set dpvd_enum_positionErrorRegister to DPV_REGISTER_NO_ERROR_E
Set dpvd_y_damperPosition_mm to 60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64 For 1 cycles
Set dpvd_enum_positionErrorCode to DPV_DATA_SET_E
Set dpvd_enum_positionErrorRegister to DPV_REGISTER_NO_ERROR_E
Set dpvd_y_damperPosition_mm to 60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65 For 1 cycles
Set dpvd_enum_positionErrorCode to DPV_ERROR_RESET_OR_NO_ERROR_E
Set dpvd_enum_positionErrorRegister to DPV_REGISTER_NO_ERROR_E
Set dpvd_y_damperPosition_mm to 66
Set dpvd_vel_damperVelocity_mmps to 56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1
At cycle 66 For 5 cycles
Set dpvd_enum_positionErrorCode to DPV_ERROR_RESET_OR_NO_ERROR_E
Set dpvd_enum_positionErrorRegister to DPV_REGISTER_NO_ERROR_E
Set dpvd_y_damperPosition_mm to 72
Set dpvd_vel_damperVelocity_mmps to 78
Set dpvd_enum_posSensorNormalRun to 1
Set dpvd_enum_damperStartUpErr to 0
Set dpvd_enum_magnetError to 0
Set dpvd_enum_damperRangeError to 0
Set dpvd_enum_dataFlashError to 0
Set dpvd_enum_controllerError to 0
Set dpvd_enum_damperTemperatureErr to 1
Set dpvd_enum_damperValidSRDOErr to 0
At cycle 71 For 1 cycles
Set dpvd_enum_positionErrorCode to DPV_ERROR_RESET_OR_NO_ERROR_E
Set dpvd_enum_positionErrorRegister to DPV_REGISTER_NO_ERROR_E
Set dpvd_y_damperPosition_mm to 78
Set dpvd_vel_damperVelocity_mmps to 100
Set dpvd_enum_posSensorNormalRun to 1
Set dpvd_enum_damperStartUpErr to 0
Set dpvd_enum_magnetError to 0
Set dpvd_enum_damperRangeError to 0
Set dpvd_enum_dataFlashError to 0
Set dpvd_enum_controllerError to 1
Set dpvd_enum_damperTemperatureErr to 0
Set dpvd_enum_damperValidSRDOErr to 0
At cycle 72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</si>
  <si>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59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DPV_DATA_SET_E
Verify dpvpd_enum_positionErrorRegister is DPV_REGISTER_NO_ERROR_E
Verify dpvpd_enum_dpvFailMode is 0
Verify dpvpd_enum_activeErrors is 1
Verify dpvpd_enum_nmtCtrlMsg is DPV_NMT_NO_MSG_E
At the end of cycle 64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DPV_DATA_SET_E
Verify dpvpd_enum_positionErrorRegister is DPV_REGISTER_NO_ERROR_E
Verify dpvpd_enum_dpvFailMode is 0
Verify dpvpd_enum_activeErrors is 1
Verify dpvpd_enum_nmtCtrlMsg is DPV_NMT_NO_MSG_E
At the end of cycle 65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66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71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72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73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</si>
  <si>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74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75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80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81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82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87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88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</si>
  <si>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74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75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80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81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82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87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88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89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</si>
  <si>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90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91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96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97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98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103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104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</si>
  <si>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90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91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96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97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98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103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104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105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</si>
  <si>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106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107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112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113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114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119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120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121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</si>
  <si>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106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107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112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113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114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119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120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121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</si>
  <si>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122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123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128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129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130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135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136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137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</si>
  <si>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122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123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128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129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130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DPV_NMT_RESET_MSG_E
At the end of cycle 135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136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137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</si>
  <si>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138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139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144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145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146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151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152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153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</si>
  <si>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138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139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144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145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146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151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152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153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</si>
  <si>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154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155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160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161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162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167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168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169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</si>
  <si>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154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155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160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161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162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167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168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169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</si>
  <si>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170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171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176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177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178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183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184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185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</si>
  <si>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170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171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176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177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178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183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184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185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</si>
  <si>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186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187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192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193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194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199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200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</si>
  <si>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186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187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192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193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194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199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200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t>
  </si>
  <si>
    <t>At cycle 201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202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203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208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209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210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215 For -214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t>
  </si>
  <si>
    <t>At the end of cycle 201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202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203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208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209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1
Verify dpvpd_enum_activeErrors is 1
Verify dpvpd_enum_nmtCtrlMsg is DPV_NMT_NO_MSG_E
At the end of cycle 210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DPV_NMT_RESET_MSG_E
At the end of cycle 215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DPV_NMT_NO_MSG_E</t>
  </si>
  <si>
    <t>At cycle 1 For 0 cycles
Set dpvd_enum_positionErrorCode to DPV_ERROR_RESET_OR_NO_ERROR_E
Set dpvd_enum_positionErrorRegister to DPV_REGISTER_NO_ERROR_E
Set dpvd_y_damperPosition_mm to 100
Set dpvd_vel_damperVelocity_mmps to 100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 For 1 cycles
Set dpvd_enum_positionErrorCode to DPV_ERROR_RESET_OR_NO_ERROR_E
Set dpvd_enum_positionErrorRegister to DPV_REGISTER_NO_ERROR_E
Set dpvd_y_damperPosition_mm to 550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 For 1 cycles
Set dpvd_enum_positionErrorCode to DPV_ERROR_RESET_OR_NO_ERROR_E
Set dpvd_enum_positionErrorRegister to DPV_REGISTER_NO_ERROR_E
Set dpvd_y_damperPosition_mm to 550
Set dpvd_vel_damperVelocity_mmps to 229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4 For 1 cycles
Set dpvd_enum_positionErrorCode to DPV_ERROR_RESET_OR_NO_ERROR_E
Set dpvd_enum_positionErrorRegister to DPV_REGISTER_NO_ERROR_E
Set dpvd_y_damperPosition_mm to 489
Set dpvd_vel_damperVelocity_mmps to 220
Set dpvd_enum_posSensorNormalRun to 1
Set dpvd_enum_damperStartUpErr to 1
Set dpvd_enum_magnetError to 0
Set dpvd_enum_damperRangeError to 0
Set dpvd_enum_dataFlashError to 0
Set dpvd_enum_controllerError to 0
Set dpvd_enum_damperTemperatureErr to 0
Set dpvd_enum_damperValidSRDOErr to 0
At cycle 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</si>
  <si>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
Verify dpvpd_enum_positionErrorCode is DPV_ERROR_RESET_OR_NO_ERROR_E
Verify dpvpd_enum_positionErrorRegister is DPV_REGISTER_NO_ERROR_E
At the end of cycle 1
Verify dpvpd_y_dmpPosition_mm is 0
Verify dpvpd_vel_dmpVelocity_mmps is 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2
Verify dpvpd_y_dmpPosition_mm is 0
Verify dpvpd_vel_dmpVelocity_mmps is 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3
Verify dpvpd_y_dmpPosition_mm is 50
Verify dpvpd_vel_dmpVelocity_mmps is 229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4
Verify dpvpd_y_dmpPosition_mm is 50
Verify dpvpd_vel_dmpVelocity_mmps is 1
Verify dpvpd_enum_dmpPosAndVelValid  is INVALID
Verify dpvpd_enum_dmpPVSensorState is DPV_NON_OPERATIONAL_E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5
Verify dpvpd_y_dmpPosition_mm is 50
Verify dpvpd_vel_dmpVelocity_mmps is 1
Verify dpvpd_enum_dmpPosAndVelValid  is INVALID
Verify dpvpd_enum_dmpPVSensorState is DPV_NON_OPERATIONAL_E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6
Verify dpvpd_y_dmpPosition_mm is 50
Verify dpvpd_vel_dmpVelocity_mmps is 1
Verify dpvpd_enum_dmpPosAndVelValid  is INVALID
Verify dpvpd_enum_dmpPVSensorState is DPV_NON_OPERATIONAL_E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7
Verify dpvpd_y_dmpPosition_mm is 50
Verify dpvpd_vel_dmpVelocity_mmps is 1
Verify dpvpd_enum_dmpPosAndVelValid  is INVALID
Verify dpvpd_enum_dmpPVSensorState is DPV_NON_OPERATIONAL_E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t>
  </si>
  <si>
    <t>At cycle 8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9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10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14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15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t>
  </si>
  <si>
    <t>At the end of cycle 8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9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10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11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12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13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14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15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t>
  </si>
  <si>
    <t>At cycle 16 For 1 cycles
Set dpvd_enum_positionErrorCode to DPV_ERROR_RESET_OR_NO_ERROR_E
Set dpvd_enum_positionErrorRegister to DPV_REGISTER_NO_ERROR_E
Set dpvd_y_damperPosition_mm to 555
Set dpvd_vel_damperVelocity_mmps to 1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20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21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22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</si>
  <si>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16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17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18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19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20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21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22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23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t>
  </si>
  <si>
    <t>At cycle 24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26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27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28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</si>
  <si>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24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25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26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27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28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29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30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31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t>
  </si>
  <si>
    <t>At cycle 32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33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34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35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38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39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t>
  </si>
  <si>
    <t>At the end of cycle 32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33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34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35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36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37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38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39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t>
  </si>
  <si>
    <t>At cycle 40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41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44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45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46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47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</si>
  <si>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40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41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42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43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44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45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46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47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t>
  </si>
  <si>
    <t>At cycle 48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50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51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52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53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</si>
  <si>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48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49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50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51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52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53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54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55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t>
  </si>
  <si>
    <t>At cycle 56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57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58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59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62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63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t>
  </si>
  <si>
    <t>At the end of cycle 56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57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58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59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60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61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62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63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t>
  </si>
  <si>
    <t>At cycle 64 For 1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65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68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69 For 1 cycles
Set dpvd_enum_positionErrorCode to DPV_ERROR_RESET_OR_NO_ERROR_E
Set dpvd_enum_positionErrorRegister to DPV_REGISTER_NO_ERROR_E
Set dpvd_y_damperPosition_mm to 500
Set dpvd_vel_damperVelocity_mmps to 130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70 For -69 cycles
Set dpvd_enum_positionErrorCode to DPV_ERROR_RESET_OR_NO_ERROR_E
Set dpvd_enum_positionErrorRegister to DPV_REGISTER_NO_ERROR_E
Set dpvd_y_damperPosition_mm to 555
Set dpvd_vel_damperVelocity_mmps to 10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t>
  </si>
  <si>
    <t>At the end of cycle 64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65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66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67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68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69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DPV_NMT_RESET_MSG_E
At the end of cycle 70
Verify dpvpd_y_dmpPosition_mm is 50
Verify dpvpd_vel_dmpVelocity_mmps is 1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DPV_NMT_NO_MSG_E</t>
  </si>
  <si>
    <t>At cycle 1
At cycle 1
DPV_DAMPER_STROKE_VELOCITY message Rx.
Assume Damper Position and Velocity Validity set to valid.
At cycle 2
DPV_DAMPER_STROKE_VELOCITY message not Rx followed by increment condition.
At cycle 3
DPV_DAMPER_STROKE_VELOCITY message Rx followed by increment condition.
At cycle 4
DPV_DAMPER_STROKE_VELOCITY message Not-Rx followed by decrement condition.
Threshold reached.Transition from valid to invalid.
At cycle 5
DPV_DAMPER_STROKE_VELOCITY message Rx followed by decrement condition.
At cycle 6
DPV_DAMPER_STROKE_VELOCITY message Rx followed by decrement condition.
At cycle 7
DPV_DAMPER_STROKE_VELOCITY message Rx .Threshold reaches zero.Transition from invalid to valid.</t>
  </si>
  <si>
    <t>TXB-HLC-TC_1702
TXB-HLC-TC_3929
TXB-HLC-TC_1703
TXB-HLC-TC_1704
TXB-HLC-TC_1746
TXB-HLC-TC_1705
TXB-HLC-TC_1743
TXB-HLC-TC_12781</t>
  </si>
  <si>
    <t>TXB-HLC-TC_1719
TXB-HLC-TC_1723</t>
  </si>
  <si>
    <t>TXB-HLC-TC_1716
TXB-HLC-TC_1717
TXB-HLC-TC_3928
TXB-HLC-TC_1718
TXB-HLC-TC_3928
TXB-HLC-TC_1707</t>
  </si>
  <si>
    <t>At cycle 1
At cycle 1
DPV_DAMPER_STROKE_VELOCITY message Rx.
Damper Position and Velocity Validity set to invalid.
At cycle 2
DPV_DAMPER_STROKE_VELOCITY message Not-Rx followed by increment condition.
Validity remains in INVALID as the max delay is set to '0'.
At cycle 3
DPV_DAMPER_STROKE_VELOCITY message Rx followed by decrement condition.
Validity remains in INVALID as the max delay is set to '0'.
At cycle 4
DPV_DAMPER_STROKE_VELOCITY message Rx.
Validity remains in INVALID as the max delay is set to '0'.
At cycle 5
Damper Position and Velocity Sensor State is 'Non-Operational', the DPV Proxy send 'Pre-Operational' command to the CAN Bus Builder by setting Network Manager Control Message to ‘DPV_NMT_PRE_OPER_MSG_E’.
At cycle 6
DPV Proxy send 'Configuration' command, to the CAN Bus Builder by setting Network Manager Control Message to ‘DPV_NMT_CONFIG_MSG_E’.
At cycle 7
DPV Proxy send 'Operation' command to the CAN Bus Builder by setting Network Manager Control Message to ‘DPV_NMT_OPER_MSG_E’.</t>
  </si>
  <si>
    <t>At cycle 8
DPV send ‘No Message’ to CAN Bus Builder by setting Network Manager Control Message to ‘DPV_NMT_NO_MSG_E’ for 1 cycle.
At cycle 9
Non operational counter is incremented by 1.
DPV failure mode is set to false.Sending RESET command to CAN bus.
At cycle 10
DPV send ‘No Message’ to CAN Bus Builder by setting Network Manager Control Message to ‘DPV_NMT_NO_MSG_E’ for 1 cycle.
At cycle 11
Damper Position and Velocity Sensor State is 'Non-Operational', the DPV Proxy send 'Pre-Operational' command to the CAN Bus Builder by setting Network Manager Control Message to ‘DPV_NMT_PRE_OPER_MSG_E’.
At cycle 12
DPV Proxy send 'Configuration' command, to the CAN Bus Builder by setting Network Manager Control Message to ‘DPV_NMT_CONFIG_MSG_E’.
At cycle 13
DPV Proxy send 'Operation' command to the CAN Bus Builder by setting Network Manager Control Message to ‘DPV_NMT_OPER_MSG_E’.
At cycle 14
DPV send ‘No Message’ to CAN Bus Builder by setting Network Manager Control Message to ‘DPV_NMT_NO_MSG_E’ for 1 cycle.
At cycle 15
Non operational counter is incremented by 1.
DPV failure mode is set to false.Sending RESET command to CAN bus.</t>
  </si>
  <si>
    <t>At cycle 16
DPV send ‘No Message’ to CAN Bus Builder by setting Network Manager Control Message to ‘DPV_NMT_NO_MSG_E’ for 1 cycle.
At cycle 17
Damper Position and Velocity Sensor State is 'Non-Operational', the DPV Proxy send 'Pre-Operational' command to the CAN Bus Builder by setting Network Manager Control Message to ‘DPV_NMT_PRE_OPER_MSG_E’.
At cycle 18
DPV Proxy send 'Configuration' command, to the CAN Bus Builder by setting Network Manager Control Message to ‘DPV_NMT_CONFIG_MSG_E’.
At cycle 19
DPV Proxy send 'Operation' command to the CAN Bus Builder by setting Network Manager Control Message to ‘DPV_NMT_OPER_MSG_E’.
At cycle 20
DPV send ‘No Message’ to CAN Bus Builder by setting Network Manager Control Message to ‘DPV_NMT_NO_MSG_E’ for 1 cycle.
At cycle 21
Non operational counter is incremented by 1.
DPV failure mode is set to false.Sending RESET command to CAN bus.
At cycle 22
DPV send ‘No Message’ to CAN Bus Builder by setting Network Manager Control Message to ‘DPV_NMT_NO_MSG_E’ for 1 cycle.
At cycle 23
Damper Position and Velocity Sensor State is 'Non-Operational', the DPV Proxy send 'Pre-Operational' command to the CAN Bus Builder by setting Network Manager Control Message to ‘DPV_NMT_PRE_OPER_MSG_E’.</t>
  </si>
  <si>
    <t>At cycle 24
DPV Proxy send 'Configuration' command, to the CAN Bus Builder by setting Network Manager Control Message to ‘DPV_NMT_CONFIG_MSG_E’.
At cycle 25
DPV Proxy send 'Operation' command to the CAN Bus Builder by setting Network Manager Control Message to ‘DPV_NMT_OPER_MSG_E’.
At cycle 26
DPV send ‘No Message’ to CAN Bus Builder by setting Network Manager Control Message to ‘DPV_NMT_NO_MSG_E’ for 1 cycle.
At cycle 27
Non operational counter is incremented by 1.
DPV failure mode is set to false.Sending RESET command to CAN bus.
At cycle 28
DPV send ‘No Message’ to CAN Bus Builder by setting Network Manager Control Message to ‘DPV_NMT_NO_MSG_E’ for 1 cycle.
At cycle 29
Damper Position and Velocity Sensor State is 'Non-Operational', the DPV Proxy send 'Pre-Operational' command to the CAN Bus Builder by setting Network Manager Control Message to ‘DPV_NMT_PRE_OPER_MSG_E’.
At cycle 30
DPV Proxy send 'Configuration' command, to the CAN Bus Builder by setting Network Manager Control Message to ‘DPV_NMT_CONFIG_MSG_E’.
At cycle 31
DPV Proxy send 'Operation' command to the CAN Bus Builder by setting Network Manager Control Message to ‘DPV_NMT_OPER_MSG_E’.</t>
  </si>
  <si>
    <t>At cycle 32
DPV send ‘No Message’ to CAN Bus Builder by setting Network Manager Control Message to ‘DPV_NMT_NO_MSG_E’ for 1 cycle.
At cycle 33
Non operational counter is incremented by 1.
DPV failure mode is set to false.Sending RESET command to CAN bus.
At cycle 34
DPV send ‘No Message’ to CAN Bus Builder by setting Network Manager Control Message to ‘DPV_NMT_NO_MSG_E’ for 1 cycle.
At cycle 35
Damper Position and Velocity Sensor State is 'Non-Operational', the DPV Proxy send 'Pre-Operational' command to the CAN Bus Builder by setting Network Manager Control Message to ‘DPV_NMT_PRE_OPER_MSG_E’.
At cycle 36
DPV Proxy send 'Configuration' command, to the CAN Bus Builder by setting Network Manager Control Message to ‘DPV_NMT_CONFIG_MSG_E’.
At cycle 37
DPV Proxy send 'Operation' command to the CAN Bus Builder by setting Network Manager Control Message to ‘DPV_NMT_OPER_MSG_E’.
At cycle 38
DPV send ‘No Message’ to CAN Bus Builder by setting Network Manager Control Message to ‘DPV_NMT_NO_MSG_E’ for 1 cycle.
At cycle 39
Non operational counter is incremented by 1.
DPV failure mode is set to false.Sending RESET command to CAN bus.</t>
  </si>
  <si>
    <t>At cycle 40
DPV send ‘No Message’ to CAN Bus Builder by setting Network Manager Control Message to ‘DPV_NMT_NO_MSG_E’ for 1 cycle.
At cycle 41
Damper Position and Velocity Sensor State is 'Non-Operational', the DPV Proxy send 'Pre-Operational' command to the CAN Bus Builder by setting Network Manager Control Message to ‘DPV_NMT_PRE_OPER_MSG_E’.
At cycle 42
DPV Proxy send 'Configuration' command, to the CAN Bus Builder by setting Network Manager Control Message to ‘DPV_NMT_CONFIG_MSG_E’.
At cycle 43
DPV Proxy send 'Operation' command to the CAN Bus Builder by setting Network Manager Control Message to ‘DPV_NMT_OPER_MSG_E’.
At cycle 44
DPV send ‘No Message’ to CAN Bus Builder by setting Network Manager Control Message to ‘DPV_NMT_NO_MSG_E’ for 1 cycle.
At cycle 45
Non operational counter is incremented by 1.
DPV failure mode is set to false.Sending RESET command to CAN bus.
At cycle 46
DPV send ‘No Message’ to CAN Bus Builder by setting Network Manager Control Message to ‘DPV_NMT_NO_MSG_E’ for 1 cycle.
At cycle 47
Damper Position and Velocity Sensor State is 'Non-Operational', the DPV Proxy send 'Pre-Operational' command to the CAN Bus Builder by setting Network Manager Control Message to ‘DPV_NMT_PRE_OPER_MSG_E’.</t>
  </si>
  <si>
    <t>At cycle 48
DPV Proxy send 'Configuration' command, to the CAN Bus Builder by setting Network Manager Control Message to ‘DPV_NMT_CONFIG_MSG_E’.
At cycle 49
DPV Proxy send 'Operation' command to the CAN Bus Builder by setting Network Manager Control Message to ‘DPV_NMT_OPER_MSG_E’.
At cycle 50
DPV send ‘No Message’ to CAN Bus Builder by setting Network Manager Control Message to ‘DPV_NMT_NO_MSG_E’ for 1 cycle.
At cycle 51
Non operational counter is incremented by 1.
DPV failure mode is set to false.Sending RESET command to CAN bus.
At cycle 52
DPV send ‘No Message’ to CAN Bus Builder by setting Network Manager Control Message to ‘DPV_NMT_NO_MSG_E’ for 1 cycle.
At cycle 53
Damper Position and Velocity Sensor State is 'Non-Operational', the DPV Proxy send 'Pre-Operational' command to the CAN Bus Builder by setting Network Manager Control Message to ‘DPV_NMT_PRE_OPER_MSG_E’.
At cycle 54
DPV Proxy send 'Configuration' command, to the CAN Bus Builder by setting Network Manager Control Message to ‘DPV_NMT_CONFIG_MSG_E’.
At cycle 55
DPV Proxy send 'Operation' command to the CAN Bus Builder by setting Network Manager Control Message to ‘DPV_NMT_OPER_MSG_E’.</t>
  </si>
  <si>
    <t>At cycle 56
DPV send ‘No Message’ to CAN Bus Builder by setting Network Manager Control Message to ‘DPV_NMT_NO_MSG_E’ for 1 cycle.
At cycle 57
Non operational counter is incremented by 1.
DPV failure mode is set to false.Sending RESET command to CAN bus.
At cycle 58
DPV send ‘No Message’ to CAN Bus Builder by setting Network Manager Control Message to ‘DPV_NMT_NO_MSG_E’ for 1 cycle.
At cycle 59
Damper Position and Velocity Sensor State is 'Non-Operational', the DPV Proxy send 'Pre-Operational' command to the CAN Bus Builder by setting Network Manager Control Message to ‘DPV_NMT_PRE_OPER_MSG_E’.
At cycle 60
DPV Proxy send 'Configuration' command, to the CAN Bus Builder by setting Network Manager Control Message to ‘DPV_NMT_CONFIG_MSG_E’.
At cycle 61
DPV Proxy send 'Operation' command to the CAN Bus Builder by setting Network Manager Control Message to ‘DPV_NMT_OPER_MSG_E’.
At cycle 62
DPV send ‘No Message’ to CAN Bus Builder by setting Network Manager Control Message to ‘DPV_NMT_NO_MSG_E’ for 1 cycle.
At cycle 63
Non operational counter is incremented by 1.
DPV failure mode is set to false.Sending RESET command to CAN bus.</t>
  </si>
  <si>
    <t>At cycle 64
DPV send ‘No Message’ to CAN Bus Builder by setting Network Manager Control Message to ‘DPV_NMT_NO_MSG_E’ for 1 cycle.
At cycle 65
Damper Position and Velocity Sensor State is 'Non-Operational', the DPV Proxy send 'Pre-Operational' command to the CAN Bus Builder by setting Network Manager Control Message to ‘DPV_NMT_PRE_OPER_MSG_E’.
At cycle 66
DPV Proxy send 'Configuration' command, to the CAN Bus Builder by setting Network Manager Control Message to ‘DPV_NMT_CONFIG_MSG_E’.
At cycle 67
DPV Proxy send 'Operation' command to the CAN Bus Builder by setting Network Manager Control Message to ‘DPV_NMT_OPER_MSG_E’.
At cycle 68
DPV send ‘No Message’ to CAN Bus Builder by setting Network Manager Control Message to ‘DPV_NMT_NO_MSG_E’ for 1 cycle.
At cycle 69
Non operational counter is incremented by 1.
DPV failure mode is set to false.Sending RESET command to CAN bus.
At cycle 70
DPV send ‘No Message’ to CAN Bus Builder by setting Network Manager Control Message to ‘DPV_NMT_NO_MSG_E’ for 1 cycle.</t>
  </si>
  <si>
    <t>At cycle 1
At cycle 1
DPV_DAMPER_STROKE_VELOCITY message Rx.
Assume Damper Position and Velocity Validity set to valid.
At cycle 2
DPV_DAMPER_STROKE_VELOCITY message Rx followed by increment condition.
At cycle 7
DPV_DAMPER_STROKE_VELOCITY message Rx followed by increment condition.
At cycle 11
DPV_DAMPER_STROKE_VELOCITY message Not-Rx followed by decrement condition.
Threshold reached.Transition from valid to invalid.
At cycle 12
DPV_DAMPER_STROKE_VELOCITY message Rx followed by decrement condition.
At cycle 20
DPV_DAMPER_STROKE_VELOCITY message Rx followed by decrement condition.
At cycle 21
DPV_DAMPER_STROKE_VELOCITY message Rx .Threshold reaches zero.Transition from invalid to valid.</t>
  </si>
  <si>
    <t>1702
3929
1703
1704
1746
1705
1743
12781</t>
  </si>
  <si>
    <t>TXB-HLC-TC_1719
TXB-HLC-TC_1723</t>
  </si>
  <si>
    <t>1719
1723</t>
  </si>
  <si>
    <t>TXB-HLC-TC_1712
TXB-HLC-TC_1736
TXB-HLC-TC_3926
TXB-HLC-TC_1713
TXB-HLC-TC_3939
TXB-HLC-TC_3926
TXB-HLC-TC_1715
TXB-HLC-TC_1708
TXB-HLC-TC_1755
TXB-HLC-TC_16046
TXB-HLC-TC_16047
TXB-HLC-TC_10316
TXB-HLC-TC_10320
TXB-HLC-TC_10380
TXB-HLC-TC_1744
TXB-HLC-TC_1745
TXB-HLC-TC_1725
TXB-HLC-TC_1709
TXB-HLC-TC_3927
TXB-HLC-TC_1706</t>
  </si>
  <si>
    <t>1712
1736
3926
1713
3939
3926
1715
1708
1755
16046
16047
10316
10320
10380
1744
1745
1725
1709
3927
1706</t>
  </si>
  <si>
    <t>1716
1717
3928
1718
3928
1707</t>
  </si>
  <si>
    <t>1711
1687</t>
  </si>
  <si>
    <t>TXB-HLC-TC_1727
TXB-HLC-TC_1722
TXB-HLC-TC_1734
TXB-HLC-TC_4522
TXB-HLC-TC_16048
TXB-HLC-TC_16049</t>
  </si>
  <si>
    <t>1727
1722
1734
4522
16048
16049</t>
  </si>
  <si>
    <t>4524
16050
16051</t>
  </si>
  <si>
    <t>TXB-HLC-TP_54</t>
  </si>
  <si>
    <t>4.1.2.39</t>
  </si>
  <si>
    <t>Damper position &amp; velocity</t>
  </si>
  <si>
    <t>TXB-HLC-TP_10381</t>
  </si>
  <si>
    <t>4.1.2.39.0-1</t>
  </si>
  <si>
    <t>Test Strategy</t>
  </si>
  <si>
    <t>Information</t>
  </si>
  <si>
    <t>TXB-HLC-TP_4103</t>
  </si>
  <si>
    <t>4.1.2.39.0-2</t>
  </si>
  <si>
    <t>DPV_HL_TEST_NOM_Procedure</t>
  </si>
  <si>
    <t>Procedure Title</t>
  </si>
  <si>
    <t>TXB-HLC-TP_4104</t>
  </si>
  <si>
    <t>4.1.2.39.0-2.1</t>
  </si>
  <si>
    <t>Test Procedure</t>
  </si>
  <si>
    <t>4.1.2.39.0-2.2</t>
  </si>
  <si>
    <t>Procedure Step</t>
  </si>
  <si>
    <t>High Level Test</t>
  </si>
  <si>
    <t>4.1.2.39.0-2.3</t>
  </si>
  <si>
    <t>4.1.2.39.0-2.4</t>
  </si>
  <si>
    <t>4.1.2.39.0-2.5</t>
  </si>
  <si>
    <t>4.1.2.39.0-2.6</t>
  </si>
  <si>
    <t>4.1.2.39.0-2.7</t>
  </si>
  <si>
    <t>4.1.2.39.0-2.8</t>
  </si>
  <si>
    <t>TXB-HLC-TP_10385</t>
  </si>
  <si>
    <t>4.1.2.39.0-2.9</t>
  </si>
  <si>
    <t>TXB-HLC-TP_4110</t>
  </si>
  <si>
    <t>4.1.2.39.0-3</t>
  </si>
  <si>
    <t>DPV_HL_TEST_MIN_Procedure</t>
  </si>
  <si>
    <t>TXB-HLC-TP_4111</t>
  </si>
  <si>
    <t>4.1.2.39.0-3.1</t>
  </si>
  <si>
    <t>TXB-HLC-TP_4112</t>
  </si>
  <si>
    <t>4.1.2.39.0-3.2</t>
  </si>
  <si>
    <t>TXB-HLC-TP_10386</t>
  </si>
  <si>
    <t>4.1.2.39.0-3.3</t>
  </si>
  <si>
    <t>TXB-HLC-TP_4113</t>
  </si>
  <si>
    <t>4.1.2.39.0-4</t>
  </si>
  <si>
    <t>DPV_HL_TEST_MAX_Procedure</t>
  </si>
  <si>
    <t>TXB-HLC-TP_4114</t>
  </si>
  <si>
    <t>4.1.2.39.0-4.1</t>
  </si>
  <si>
    <t>TXB-HLC-TP_4115</t>
  </si>
  <si>
    <t>4.1.2.39.0-4.2</t>
  </si>
  <si>
    <t>TXB-HLC-TP_10387</t>
  </si>
  <si>
    <t>4.1.2.39.0-4.3</t>
  </si>
  <si>
    <t>TXB-HLC-TP_10388</t>
  </si>
  <si>
    <t>4.1.2.39.0-4.4</t>
  </si>
  <si>
    <t>TXB-HLC-TP_4116</t>
  </si>
  <si>
    <t>4.1.2.39.0-4.5</t>
  </si>
  <si>
    <t>TXB-HLC-TP_10389</t>
  </si>
  <si>
    <t>4.1.2.39.0-4.6</t>
  </si>
  <si>
    <t>TXB-HLC-TP_10390</t>
  </si>
  <si>
    <t>4.1.2.39.0-4.7</t>
  </si>
  <si>
    <t>TXB-HLC-TC_4524</t>
  </si>
  <si>
    <t>TXB-HLC-TP_10391</t>
  </si>
  <si>
    <t>4.1.2.39.0-4.8</t>
  </si>
  <si>
    <t>TXB-HLC-TP_10392</t>
  </si>
  <si>
    <t>4.1.2.39.0-4.9</t>
  </si>
  <si>
    <t>TXB-HLC-TP_10393</t>
  </si>
  <si>
    <t>4.1.2.39.0-4.10</t>
  </si>
  <si>
    <t>TXB-HLC-TP_10394</t>
  </si>
  <si>
    <t>4.1.2.39.0-4.11</t>
  </si>
  <si>
    <t>TXB-HLC-TP_10395</t>
  </si>
  <si>
    <t>4.1.2.39.0-4.12</t>
  </si>
  <si>
    <t>TXB-HLC-TP_10396</t>
  </si>
  <si>
    <t>4.1.2.39.0-4.13</t>
  </si>
  <si>
    <t>TXB-HLC-TP_10397</t>
  </si>
  <si>
    <t>4.1.2.39.0-4.14</t>
  </si>
  <si>
    <t>TXB-HLC-TP_10398</t>
  </si>
  <si>
    <t>4.1.2.39.0-4.15</t>
  </si>
  <si>
    <t>DPV_Debug_Procedure</t>
  </si>
  <si>
    <t>TXB-HLC-TP_10399</t>
  </si>
  <si>
    <t>4.1.2.39.0-4.16</t>
  </si>
  <si>
    <t>Follow the process which mentioned in the Appendix "5.1.4 Testing during HLC processing" for the Debug procedure</t>
  </si>
  <si>
    <t>TXB-HLC-TP_10400</t>
  </si>
  <si>
    <t>4.1.2.39.0-4.17</t>
  </si>
  <si>
    <t>TXB-HLC-TC_4481</t>
  </si>
  <si>
    <t>Debug</t>
  </si>
  <si>
    <t>TXB-HLC-TP_10401</t>
  </si>
  <si>
    <t>4.1.2.39.0-4.18</t>
  </si>
  <si>
    <t>Follow the process which mentioned in the Appendix 5.1.4 Testing during HLC Processing.</t>
  </si>
  <si>
    <t>TXB-HLC-TP_10402</t>
  </si>
  <si>
    <t>4.1.2.39.0-4.19</t>
  </si>
  <si>
    <t>TXB-HLC-TP_10403</t>
  </si>
  <si>
    <t>4.1.2.39.0-4.20</t>
  </si>
  <si>
    <t>TXB-HLC-TP_10404</t>
  </si>
  <si>
    <t>4.1.2.39.0-4.21</t>
  </si>
  <si>
    <t>TXB-HLC-TC_3936</t>
  </si>
  <si>
    <t>TXB-HLC-TP_10405</t>
  </si>
  <si>
    <t>4.1.2.39.0-4.22</t>
  </si>
  <si>
    <t>DPV_Analysis_Procedure</t>
  </si>
  <si>
    <t>TXB-HLC-TP_10406</t>
  </si>
  <si>
    <t>4.1.2.39.0-4.23</t>
  </si>
  <si>
    <t>Verify that in the define section the variables dpvpc_tm_incrmntDecrmnt_ms is assigned a value which is within the range 0 to 100 , dpvpc_y_dmpPositionOffset_mm is assigned a value which is within the range -500 to 500 , dpvpc_num_operationalCycleDelay &amp; dpvpc_num_resetCycleDelay are assigned a valuee which are within the range 1 to 50 &amp; dpvpc_tm_maxDelay_ms is assigned value which is within the range 1 to 1000.</t>
  </si>
  <si>
    <t>TXB-HLC-TC_1689</t>
  </si>
  <si>
    <t>Analysis</t>
  </si>
  <si>
    <t>TXB-HLC-TP_10407</t>
  </si>
  <si>
    <t>4.1.2.39.0-4.24</t>
  </si>
  <si>
    <t>TXB-HLC-TC_1694</t>
  </si>
  <si>
    <t>TXB-HLC-TP_10408</t>
  </si>
  <si>
    <t>4.1.2.39.0-4.25</t>
  </si>
  <si>
    <t>TXB-HLC-TC_3602</t>
  </si>
  <si>
    <t>TXB-HLC-TP_10409</t>
  </si>
  <si>
    <t>4.1.2.39.0-4.26</t>
  </si>
  <si>
    <t>Open 'DpvGeneral.h' &amp; 'DPVEnum_st.h' in 'ACS\acsProxy\acsDpvProxy\DpvIcdM'.</t>
  </si>
  <si>
    <t>TXB-HLC-TP_10410</t>
  </si>
  <si>
    <t>4.1.2.39.0-4.27</t>
  </si>
  <si>
    <t>"Verify that
1. stucture member 'dpvpd_enum_dmpPosAndVelValid' of enum type 'enumDpvValid' and also
          Verify that 'enumDpvValid' has following members.
                       DPV_INVALID_E
                       DPV_VALID_E
2. structure member 'dpvpd_enum_dmpPVSensorState' of enum type 'enumDpvSensorState' and also
         Verify that 'enumDpvSensorState' has following members.
                       DPV_NON_OPERATIONAL_E
                       DPV_OPERATIONAL_E
3. structure member 'dpvd_enum_posSensorNormalRun' of enum type 'enumDpvPosSensorNormalRun' and also
         Verify that 'enumDpvPosSensorNormalRun' has following members.  
                       DPV_IN_ERROR_STATE_E
                       DPV_NORMAL_RUNNING_STATE_E
4. structure member 'dpvpd_enum_damperStartUp' of enum type 'enumDpvStartUp' and also
         Verify that 'enumDpvStartUp' has following members.
                       DPV_NORMAL_E
                       DPV_START_UP_OR_INTERNAL_TEST_E
5. structure member 'dpvpd_enum_magnetError' of enum type 'enumDpvMagnet_Error' and also
         Verify that 'enumDpvMagnet_Error' has following members.
                       DPV_ONE_MAGNET_E
                       DPV_NO_MAG_OR_MULTI_MAG_ERROR_E
6. structure member 'dpvpd_enum_damperRangeError' of enum type 'enumDpvRangeError' and also
         Verify that 'enumDpvRangeError' has following members.
                       DPV_IN_RANGE_E
                       DPV_OUT_OF_RANGE_ERROR_E
7. structure member 'dpvpd_enum_dataFlashError' of enum type 'enumDpvFlashError' and also
         Verify that 'enumDpvFlashError' has following members.
                       DPV_FLASH_NO_ERROR_E
                       DPV_CRC_OR_FLASH_MEMORY_ERROR_E
8. structure member 'dpvpd_enum_controllerError' of enum type 'enumDpvControllerError' and also
         Verify that 'enumDpvControllerError' has following members.
                       DPV_CONTROLLER_NO_ERROR_E
                       DPV_CONTROLLER_ERROR_E
9. structure member 'dpvpd_enum_damperTemperatureErr' of enum type 'enumDpvTemperature' and also
         Verify that 'enumDpvTemperature' has following members.
                       DPV_TEMP_OK_E
                       DPV_OVERTEMPERATURE_E
10. structure member 'dpvpd_enum_damperValidSRDOErr' of enum type 'enumDpvSrdoValid' and also
         Verify that 'enumDpvSrdoValid' has following members.
                       DPV_SRDO_NO_ERROR_E
                       DPV_SRDO_CHECKSUM_ERROR_E
11. structure member 'dpvpd_enum_positionErrorCode' of enum type 'enumDpvErrorCode' and also
         Verify that 'enumDpvErrorCode' has following members.
                       DPV_ERROR_RESET_OR_NO_ERROR_E
                       DPV_DEVICE_HARDWARE_E
                       DPV_DATA_SET_E
12. structure member 'dpvpd_enum_positionErrorRegister' of enum type 'enumDpvErrorRegister' and also
         Verify that 'enumDpvErrorRegister' has following members.
                       DPV_REGISTER_NO_ERROR_E
                       DPV_DATA_SET_ERROR_E
                       DPV_DEVICE_HW_AND_OR_DATA_SET_E        
13. structure member 'dpvpd_enum_nmtCtrlMsg' of enum type 'enumDpvNmtCtrlMsg' and also
         Verify that 'enumDpvNmtCtrlMsg' has following members.
                       DPV_NMT_NO_MSG_E
                       DPV_NMT_PRE_OPER_MSG_E
                       DPV_NMT_OPER_MSG_E
                       DPV_NMT_RESET_MSG_E
                       DPV_NMT_CONFIG_MSG_E</t>
  </si>
  <si>
    <t>TXB-HLC-TC_3931</t>
  </si>
  <si>
    <t>TXB-HLC-TP_10411</t>
  </si>
  <si>
    <t>4.1.2.39.0-4.28</t>
  </si>
  <si>
    <t>TXB-HLC-TC_3932</t>
  </si>
  <si>
    <t>1. Damper position &amp; velocity is a proxy functionality and is tested using the SIL based on the following strategies:
i. DPV_HL_TEST_NOM_Procedure
ii. DPV_HL_TEST_MIN_Procedure
iii. DPV_HL_TEST_MAX_Procedure
    Through this tests it is able to test almost all the functional test cases.
2. The test cases for verifying the 'Recieved Message ID', Default Values and 'flags will reset on power cycle' are verified as a part of Debug test procedure (DPV_Debug_Procedure) because it is not possible to verify through SIL high level test or RTRT test.
3. Test test cases for timing requirements and part of test cases which mentioned about range of output and usage of calibration variables are verified in Analysis step (DPV_Analysis_Procedure). This because these functionalities not possible to verify through any other test.</t>
  </si>
  <si>
    <t>1) Load nominal calibration set using the 'Load Configuration Procedure' of Appendix 5.3. 
2) Execute the script “DPV_HL_TEST_NOM.txt” as per the 'Script Execution Procedure' in Appendix 5.2.
3) Verify the results in “DPV_HL_TEST_NOM.csv” as per Appendix 5.5 'Result View Procedure'.</t>
  </si>
  <si>
    <t>At cycle 1
At cycle 1
DPV_DAMPER_POSITION_EMCY message Rx.
DPV_DAMPER_STROKE_VELOCITY message Rx.
Assume Damper Position and Velocity Validity set to valid.
At cycle 2
DPV_DAMPER_POSITION_EMCY message Not Received.
DPV_DAMPER_STROKE_VELOCITY message Rx followed by increment condition.
At cycle 3
DPV_DAMPER_POSITION_EMCY message Rx.
DPV_DAMPER_STROKE_VELOCITY message Rx followed by increment condition.
At cycle 4
DPV_DAMPER_POSITION_EMCY message Rx.
DPV_DAMPER_STROKE_VELOCITY message Not-Rx followed by increment condition.
Threshold reached.Transition from valid to invalid.
At cycle 5
DPV_DAMPER_POSITION_EMCY message Rx.
DPV_DAMPER_STROKE_VELOCITY message Rx followed by decrement condition.
At cycle 6
DPV_DAMPER_POSITION_EMCY message Rx.
DPV_DAMPER_STROKE_VELOCITY message Rx followed by decrement condition.
At cycle 7
DPV_DAMPER_POSITION_EMCY message Rx.
DPV_DAMPER_STROKE_VELOCITY message Rx .Threshold reaches zero.Transition from invalid to valid.</t>
  </si>
  <si>
    <t>TXB-HLC-TC_1714
TXB-HLC-TC_1721
TXB-HLC-TC_1724
TXB-HLC-TC_1729
TXB-HLC-TC_1741
TXB-HLC-TC_1735
TXB-HLC-TC_3927
TXB-HLC-TC_1700
TXB-HLC-TC_3600
TXB-HLC-TC_1691
TXB-HLC-TC_3933
TXB-HLC-TC_1742
TXB-HLC-TC_3935
TXB-HLC-TC_1737
TXB-HLC-TC_1690
TXB-HLC-TC_1739
TXB-HLC-TC_1687</t>
  </si>
  <si>
    <t>At cycle 8
DPV_DAMPER_POSITION_EMCY message Rx.
DPV_DAMPER_STROKE_VELOCITY message Rx.
Assume Damper Position and Velocity Validity is valid in the previous cycle.
At cycle 9
DPV_DAMPER_POSITION_EMCY message Not Received.
DPV_DAMPER_STROKE_VELOCITY message Rx followed by increment condition.
At cycle 10
DPV_DAMPER_POSITION_EMCY message Rx.
DPV_DAMPER_STROKE_VELOCITY message Rx followed by decrement condition.
At cycle 11
DPV_DAMPER_POSITION_EMCY message Rx.
DPV_DAMPER_STROKE_VELOCITY message Rx followed by increment condition.
At cycle 12
DPV_DAMPER_POSITION_EMCY message Rx.
DPV_DAMPER_STROKE_VELOCITY message Not-Rx followed by increment condition.
Threshold reached.Transition from valid to invalid.
At cycle 13
DPV_DAMPER_POSITION_EMCY message Rx.
DPV_DAMPER_STROKE_VELOCITY message Rx followed by decrement condition.
At cycle 14
DPV_DAMPER_POSITION_EMCY message Rx.
DPV_DAMPER_STROKE_VELOCITY message Rx followed by increment condition.
At cycle 15
DPV_DAMPER_POSITION_EMCY message Rx.
DPV_DAMPER_STROKE_VELOCITY message Rx followed by decrement condition.
At cycle 16
DPV_DAMPER_POSITION_EMCY message Rx.
DPV_DAMPER_STROKE_VELOCITY message Rx followed by decrement condition.
At cycle 17
DPV_DAMPER_POSITION_EMCY message Rx.
DPV_DAMPER_STROKE_VELOCITY message Rx.Threshold reaches zero.Transition from invalid to valid.</t>
  </si>
  <si>
    <t>TXB-HLC-TC_1730
TXB-HLC-TC_1691
TXB-HLC-TC_1698
TXB-HLC-TC_1740
TXB-HLC-TC_1701
TXB-HLC-TC_1691
TXB-HLC-TC_1699
TXB-HLC-TC_3601
TXB-HLC-TC_1710
TXB-HLC-TC_1687
TXB-HLC-TC_3934
TXB-HLC-TC_3926
TXB-HLC-TC_3927
TXB-HLC-TC_1690
TXB-HLC-TC_1720
TXB-HLC-TC_3929</t>
  </si>
  <si>
    <t>At cycle 18
DPV_DAMPER_POSITION_EMCY message Rx.
DPV_DAMPER_STROKE_VELOCITY message Rx followed by increment condition.
At cycle 19
DPV_DAMPER_POSITION_EMCY message Rx.
DPV_DAMPER_STROKE_VELOCITY message Rx followed by increment condition.
At cycle 20
DPV_DAMPER_POSITION_EMCY message Rx.
DPV_DAMPER_STROKE_VELOCITY message Rx followed by increment condition.
At cycle 21
DPV_DAMPER_POSITION_EMCY message Rx.
DPV_DAMPER_STROKE_VELOCITY message Rx followed by increment condition.
Threshold reached.Transition from valid to invalid.
At cycle 22
Damper Position and Velocity Sensor State is 'Non-Operational', the DPV Proxy send 'Pre-Operational' command to the CAN Bus Builder.
At cycle 23
DPV Proxy send 'Configuration' command to the CAN Bus Builder.
At cycle 24
DPV Proxy send 'Operation' command to the CAN Bus Builder.
At cycle 25
DPV send ‘No Message’ to CAN Bus Builder for 6 cycles.
At cycle 29
DPV send ‘No Message’ to CAN Bus Builder for 6 cycles.</t>
  </si>
  <si>
    <t>TXB-HLC-TC_1702
TXB-HLC-TC_3929
TXB-HLC-TC_1703
TXB-HLC-TC_1704
TXB-HLC-TC_1746
TXB-HLC-TC_1705
TXB-HLC-TC_1743</t>
  </si>
  <si>
    <t>At cycle 30
At cycle 31
At cycle 32
DPV Proxy return to "Normal Operation" process.
At cycle 33
At cycle 34
At cycle 35
Non operational counter is set to 0.
DPV failure mode is set to false.</t>
  </si>
  <si>
    <t>At cycle 36
At cycle 37
At cycle 38
At cycle 39
At cycle 40
Damper Position and Velocity Sensor State is 'Non-Operational', the DPV Proxy send 'Pre-Operational' command to the CAN Bus Builder by setting Network Manager Control Message to ‘DPV_NMT_PRE_OPER_MSG_E’.
At cycle 41
DPV Proxy send 'Configuration' command, to the CAN Bus Builder by setting Network Manager Control Message to ‘DPV_NMT_CONFIG_MSG_E’.
At cycle 42
DPV Proxy send 'Operation' command to the CAN Bus Builder by setting Network Manager Control Message to ‘DPV_NMT_OPER_MSG_E’.
At cycle 43
DPV send ‘No Message’ to CAN Bus Builder by setting Network Manager Control Message to ‘DPV_NMT_NO_MSG_E’ for 6 cycles.
At cycle 47
DPV send ‘No Message’ to CAN Bus Builder by setting Network Manager Control Message to ‘DPV_NMT_NO_MSG_E’ for 6 cycles.</t>
  </si>
  <si>
    <t>TXB-HLC-TC_1712
TXB-HLC-TC_1736
TXB-HLC-TC_3926
TXB-HLC-TC_1713
TXB-HLC-TC_3939
TXB-HLC-TC_1715
TXB-HLC-TC_1708
TXB-HLC-TC_1755
TXB-HLC-TC_10316
TXB-HLC-TC_10320
TXB-HLC-TC_10380
TXB-HLC-TC_1744
TXB-HLC-TC_1745
TXB-HLC-TC_1725
TXB-HLC-TC_1709
TXB-HLC-TC_3927
TXB-HLC-TC_1706
TXB-HLC-TC_1716
TXB-HLC-TC_1717
TXB-HLC-TC_3928
TXB-HLC-TC_1718
TXB-HLC-TC_1707
TXB-HLC-TC_1711
TXB-HLC-TC_1687</t>
  </si>
  <si>
    <t>At cycle 48
DPV send ‘No Message’ to CAN Bus Builder by setting Network Manager Control Message to ‘DPV_NMT_NO_MSG_E’ for 6 cycles.
At cycle 49
Non operational counter is incremented by 1.
DPV failure mode is set to false.Sending RESET command to CAN bus.
At cycle 50
DPV send ‘No Message’ to CAN Bus Builder by setting Network Manager Control Message to ‘DPV_NMT_NO_MSG_E’ for 6 cycles.
At cycle 54
DPV send ‘No Message’ to CAN Bus Builder by setting Network Manager Control Message to ‘DPV_NMT_NO_MSG_E’ for 6 cycles.
At cycle 55
DPV send ‘No Message’ to CAN Bus Builder by setting Network Manager Control Message to ‘DPV_NMT_NO_MSG_E’ for 6 cycles.
At cycle 183
DPV send ‘No Message’ to CAN Bus Builder by setting Network Manager Control Message to ‘DPV_NMT_NO_MSG_E’ for 6 cycles.
At cycle 184
DPV Proxy performs "DPV Configuration Validation" process.Damper Position and Velocity Sensor State is 'Non-Operational', the DPV Proxy send 'Pre-Operational' command to the CAN Bus Builder by setting Network Manager Control Message to ‘DPV_NMT_PRE_OPER_MSG_E’.
At cycle 185
DPV Proxy send 'Configuration' command, to the CAN Bus Builder by setting Network Manager Control Message to ‘DPV_NMT_CONFIG_MSG_E’.
At cycle 186
DPV Proxy send 'Operation' command to the CAN Bus Builder by setting Network Manager Control Message to ‘DPV_NMT_OPER_MSG_E’.</t>
  </si>
  <si>
    <t>At cycle 187
DPV send ‘No Message’ to CAN Bus Builder by setting Network Manager Control Message to ‘DPV_NMT_NO_MSG_E’ for 6 cycles.
At cycle 191
DPV send ‘No Message’ to CAN Bus Builder by setting Network Manager Control Message to ‘DPV_NMT_NO_MSG_E’ for 6 cycles.
At cycle 192
DPV send ‘No Message’ to CAN Bus Builder by setting Network Manager Control Message to ‘DPV_NMT_NO_MSG_E’ for 6 cycles.
At cycle 193
Non operational counter is incremented by 1.
DPV failure mode is set to false.Sending RESET command to CAN bus.
At cycle 194
DPV send ‘No Message’ to CAN Bus Builder by setting Network Manager Control Message to ‘DPV_NMT_NO_MSG_E’ for 6 cycles.
At cycle 198
DPV send ‘No Message’ to CAN Bus Builder by setting Network Manager Control Message to ‘DPV_NMT_NO_MSG_E’ for 6 cycles.
At cycle 199
DPV send ‘No Message’ to CAN Bus Builder by setting Network Manager Control Message to ‘DPV_NMT_NO_MSG_E’ for 6 cycles.
At cycle 200
DPV Proxy performs "DPV Configuration Validation" process.Damper Position and Velocity Sensor State is 'Non-Operational', the DPV Proxy send 'Pre-Operational' command to the CAN Bus Builder by setting Network Manager Control Message to ‘DPV_NMT_PRE_OPER_MSG_E’.
At cycle 201
DPV Proxy send 'Configuration' command, to the CAN Bus Builder by setting Network Manager Control Message to ‘DPV_NMT_CONFIG_MSG_E’.</t>
  </si>
  <si>
    <t>At cycle 202
DPV Proxy send 'Operation' command to the CAN Bus Builder by setting Network Manager Control Message to ‘DPV_NMT_OPER_MSG_E’.
At cycle 203
DPV send ‘No Message’ to CAN Bus Builder by setting Network Manager Control Message to ‘DPV_NMT_NO_MSG_E’ for 6 cycles.
At cycle 207
DPV send ‘No Message’ to CAN Bus Builder by setting Network Manager Control Message to ‘DPV_NMT_NO_MSG_E’ for 6 cycles.
At cycle 208
DPV send ‘No Message’ to CAN Bus Builder by setting Network Manager Control Message to ‘DPV_NMT_NO_MSG_E’ for 6 cycles.
At cycle 209
Non operational counter is incremented by 1.
DPV failure mode is set to false.Sending RESET command to CAN bus.
At cycle 210
DPV send ‘No Message’ to CAN Bus Builder by setting Network Manager Control Message to ‘DPV_NMT_NO_MSG_E’ for 6 cycles.
At cycle 214
DPV send ‘No Message’ to CAN Bus Builder by setting Network Manager Control Message to ‘DPV_NMT_NO_MSG_E’ for 6 cycles.
At cycle 215
DPV send ‘No Message’ to CAN Bus Builder by setting Network Manager Control Message to ‘DPV_NMT_NO_MSG_E’ for 6 cycles.</t>
  </si>
  <si>
    <t>1) Load nominal calibration set using the 'Load Configuration Procedure' of Appendix 5.3. 
2) Execute the script “DPV_HL_TEST_MIN.txt” as per the 'Script Execution Procedure' in Appendix 5.2.
3) Verify the results in “DPV_HL_TEST_MIN.csv” as per Appendix 5.5 'Result View Procedure'.</t>
  </si>
  <si>
    <t>Setup step for making a system to a known state.
At cycle 1 For 10 cycles
Set dpvd_num_positionErrorCode to DPV_ERROR_RESET_OR_NO_ERROR_E
Set dpvd_num_positionErrorRegister to DPV_REGISTER_NO_ERROR_E
Set dpvd_y_damperPosition_mm to 100
Set dpvd_vel_damperVelocity_mmps to 100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
After 10 cycles:
At cycle 1 For 1 cycles
Set dpvd_num_positionErrorCode to DPV_ERROR_RESET_OR_NO_ERROR_E
Set dpvd_num_positionErrorRegister to DPV_REGISTER_NO_ERROR_E
Set dpvd_y_damperPosition_mm to 550
Set dpvd_vel_damperVelocity_mmps to 251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 For 1 cycles
Set dpvd_num_positionErrorCode to Not received
Set dpvd_num_positionErrorRegister to Not received
Set dpvd_y_damperPosition_mm to 450
Set dpvd_vel_damperVelocity_mmps to 229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3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4 For 1 cycles
Set dpvd_num_positionErrorCode to DPV_ERROR_RESET_OR_NO_ERROR_E
Set dpvd_num_positionErrorRegister to DPV_REGISTER_NO_ERROR_E
Set dpvd_y_damperPosition_mm to 489
Set dpvd_vel_damperVelocity_mmps to 220
Set dpvd_enum_posSensorNormalRun to 1
Set dpvd_enum_damperStartUp to 1
Set dpvd_enum_magnetError to 0
Set dpvd_enum_damperRangeError to 0
Set dpvd_enum_dataFlashError to 0
Set dpvp_enum_controllerError to 0
Set dpvd_enum_damperTemperatureErr to 0
Set dpvd_enum_damperValidSRDOErr to 0
At cycle 5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7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8 For 1 cycles
Set dpvd_num_positionErrorCode to DPV_ERROR_RESET_OR_NO_ERROR_E
Set dpvd_num_positionErrorRegister to DPV_REGISTER_NO_ERROR_E
Set dpvd_y_damperPosition_mm to 500
Set dpvd_vel_damperVelocity_mmps to 130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
At cycle 9 For 1 cycles
At cycle 10 For 48 cycles
Set dpvd_num_positionErrorCode to DPV_ERROR_RESET_OR_NO_ERROR_E
Set dpvd_num_positionErrorRegister to DPV_REGISTER_NO_ERROR_E
Set dpvd_y_damperPosition_mm to 555
Set dpvd_vel_damperVelocity_mmps to 10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
At cycle 58 For 1 cycles
Set dpvd_num_positionErrorCode to DPV_ERROR_RESET_OR_NO_ERROR_E
Set dpvd_num_positionErrorRegister to DPV_REGISTER_NO_ERROR_E
Set dpvd_y_damperPosition_mm to 555
Set dpvd_vel_damperVelocity_mmps to 10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t>
  </si>
  <si>
    <t>At the end of cycle 1
Verify dpvpd_y_dmpPosition_mm is 176
Verify dpvpd_vel_dmpVelocity_mmps is 235
At the end of cycle 1
Verify dpvpd_y_dmpPosition_mm is 176
Verify dpvpd_vel_dmpVelocity_mmps is 1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
Verify dpvpd_y_dmpPosition_mm is -50
Verify dpvpd_vel_dmpVelocity_mmps is 229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3
Verify dpvpd_y_dmpPosition_mm is -50
Verify dpvpd_vel_dmpVelocity_mmps is 1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4
Verify dpvpd_y_dmpPosition_mm is -50
Verify dpvpd_vel_dmpVelocity_mmps is 1
Verify dpvpd_enum_dmpPosAndVelValid  is INVALID
Verify dpvpd_enum_dmpPVSensorState is DPV_NON_OPERATIONAL_E
Verify dpvd_enum_posSensorNormalRun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
At the end of cycle 5
Verify dpvpd_y_dmpPosition_mm is -50
Verify dpvpd_vel_dmpVelocity_mmps is 1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DPV_NMT_PRE_OPER_MSG_E
At the end of cycle 6
Verify dpvpd_y_dmpPosition_mm is -50
Verify dpvpd_vel_dmpVelocity_mmps is 1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DPV_NMT_CONFIG_MSG_E
At the end of cycle 7
Verify dpvpd_y_dmpPosition_mm is -50
Verify dpvpd_vel_dmpVelocity_mmps is 1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DPV_NMT_OPER_MSG_E
At the end of cycle 8
Verify dpvpd_y_dmpPosition_mm is -50
Verify dpvpd_vel_dmpVelocity_mmps is 1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9
Verify dpvpd_y_dmpPosition_mm is -50
Verify dpvpd_vel_dmpVelocity_mmps is 1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DPV_NMT_RESET_MSG_E
At the end of cycle 10
Verify dpvpd_y_dmpPosition_mm is -50
Verify dpvpd_vel_dmpVelocity_mmps is 1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58
Verify dpvpd_y_dmpPosition_mm is 55
Verify dpvpd_vel_dmpVelocity_mmps is 10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DPV_NMT_NO_MSG_E</t>
  </si>
  <si>
    <t>At cycle 1
At cycle 1
DPV_DAMPER_POSITION_EMCY message Rx.
DPV_DAMPER_STROKE_VELOCITY message Rx.
Damper Position and Velocity Validity set to invalid.
At cycle 2
DPV_DAMPER_POSITION_EMCY message Not Received.
DPV_DAMPER_STROKE_VELOCITY message Rx followed by increment condition.
Validity remains in INVALID as the max delay is set to '0'.
At cycle 3
DPV_DAMPER_POSITION_EMCY message Rx.
DPV_DAMPER_STROKE_VELOCITY message Not-Rx followed by decrement condition.
Validity remains in INVALID as the max delay is set to '0'.
At cycle 4
DPV_DAMPER_POSITION_EMCY message Rx.
DPV_DAMPER_STROKE_VELOCITY message Rx.
Validity remains in INVALID as the max delay is set to '0'.
At cycle 5
Damper Position and Velocity Sensor State is 'Non-Operational', the DPV Proxy send 'Pre-Operational' command to the CAN Bus Builder by setting Network Manager Control Message to ‘DPV_NMT_PRE_OPER_MSG_E’.
At cycle 6
DPV Proxy send 'Configuration' command, to the CAN Bus Builder by setting Network Manager Control Message to ‘DPV_NMT_CONFIG_MSG_E’.
At cycle 7
DPV Proxy send 'Operation' command to the CAN Bus Builder by setting Network Manager Control Message to ‘DPV_NMT_OPER_MSG_E’.
At cycle 8
DPV send ‘No Message’ to CAN Bus Builder by setting Network Manager Control Message to ‘DPV_NMT_NO_MSG_E’ for 1 cycle.
At cycle 9
Non operational counter is incremented by 1.
DPV failure mode is set to false.Sending RESET command to CAN bus.
At cycle 10
DPV send ‘No Message’ to CAN Bus Builder by setting Network Manager Control Message to ‘DPV_NMT_NO_MSG_E’ for 1 cycle.
At cycle 58
DPV send ‘No Message’ to CAN Bus Builder by setting Network Manager Control Message to ‘DPV_NMT_NO_MSG_E’ for 1 cycle.</t>
  </si>
  <si>
    <t>TXB-HLC-TC_1727
TXB-HLC-TC_1722
TXB-HLC-TC_1734
TXB-HLC-TC_4522</t>
  </si>
  <si>
    <t>At cycle 59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60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61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62 For 1 cycles
Set dpvd_num_positionErrorCode to DPV_ERROR_RESET_OR_NO_ERROR_E
Set dpvd_num_positionErrorRegister to DPV_REGISTER_NO_ERROR_E
Set dpvd_y_damperPosition_mm to 600
Set dpvd_vel_damperVelocity_mmps to 150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
At cycle 63 For 1 cycles
At cycle 64 For 1 cycles
Set dpvd_num_positionErrorCode to DPV_ERROR_RESET_OR_NO_ERROR_E
Set dpvd_num_positionErrorRegister to DPV_REGISTER_NO_ERROR_E
Set dpvd_y_damperPosition_mm to 555
Set dpvd_vel_damperVelocity_mmps to 10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
At cycle 65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66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67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68 For 1 cycles
Set dpvd_num_positionErrorCode to DPV_ERROR_RESET_OR_NO_ERROR_E
Set dpvd_num_positionErrorRegister to DPV_REGISTER_NO_ERROR_E
Set dpvd_y_damperPosition_mm to 600
Set dpvd_vel_damperVelocity_mmps to 150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
At cycle 69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70 For -69 cycles
Set dpvd_num_positionErrorCode to DPV_ERROR_RESET_OR_NO_ERROR_E
Set dpvd_num_positionErrorRegister to DPV_REGISTER_NO_ERROR_E
Set dpvd_y_damperPosition_mm to 555
Set dpvd_vel_damperVelocity_mmps to 10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0</t>
  </si>
  <si>
    <t>At the end of cycle 59
Verify dpvpd_y_dmpPosition_mm is 55
Verify dpvpd_vel_dmpVelocity_mmps is 1
Verify dpvpd_enum_dmpPosAndVelValid  is INVALID
Verify dpvpd_enum_dmpPVSensorState is DPV_NON_OPERATIONAL_E
Verify dpvd_enum_posSensorNormalRun is 1
Verify dpvpd_enum_damperStartUp is Not received
Verify dpvpd_enum_magnetError is Not received
Verify dpvpd_enum_damperRangeError is Not received
Verify dpvpd_enum_dataFlashError is Not received
Verify dpvpd_enum_controllerError is Not received
Verify dpvpd_enum_damperTemperatureErr is Not received
Verify dpvpd_enum_damperValidSRDOErr is Not received
Verify dpvpd_enum_positionErrorCode is DPV_ERROR_RESET_OR_NO_ERROR_E
Verify dpvpd_enum_positionErrorRegister is DPV_REGISTER_NO_ERROR_E
Verify dpvpd_flg_dpvFailMode is 0
Verify dpvpd_flg_activeErrors is 0
Verify dpvpd_enum_nmtCtrlMsg is DPV_NMT_PRE_OPER_MSG_E
At the end of cycle 60
Verify dpvpd_y_dmpPosition_mm is 55
Verify dpvpd_vel_dmpVelocity_mmps is 1
Verify dpvpd_enum_dmpPosAndVelValid  is INVALID
Verify dpvpd_enum_dmpPVSensorState is DPV_NON_OPERATIONAL_E
Verify dpvd_enum_posSensorNormalRun is 1
Verify dpvpd_enum_damperStartUp is Not received
Verify dpvpd_enum_magnetError is Not received
Verify dpvpd_enum_damperRangeError is Not received
Verify dpvpd_enum_dataFlashError is Not received
Verify dpvpd_enum_controllerError is Not received
Verify dpvpd_enum_damperTemperatureErr is Not received
Verify dpvpd_enum_damperValidSRDOErr is Not received
Verify dpvpd_enum_positionErrorCode is DPV_ERROR_RESET_OR_NO_ERROR_E
Verify dpvpd_enum_positionErrorRegister is DPV_REGISTER_NO_ERROR_E
Verify dpvpd_flg_dpvFailMode is 0
Verify dpvpd_flg_activeErrors is 0
Verify dpvpd_enum_nmtCtrlMsg is DPV_NMT_CONFIG_MSG_E
At the end of cycle 61
Verify dpvpd_y_dmpPosition_mm is 55
Verify dpvpd_vel_dmpVelocity_mmps is 1
Verify dpvpd_enum_dmpPosAndVelValid  is INVALID
Verify dpvpd_enum_dmpPVSensorState is DPV_NON_OPERATIONAL_E
Verify dpvd_enum_posSensorNormalRun is 1
Verify dpvpd_enum_damperStartUp is Not received
Verify dpvpd_enum_magnetError is Not received
Verify dpvpd_enum_damperRangeError is Not received
Verify dpvpd_enum_dataFlashError is Not received
Verify dpvpd_enum_controllerError is Not received
Verify dpvpd_enum_damperTemperatureErr is Not received
Verify dpvpd_enum_damperValidSRDOErr is Not received
Verify dpvpd_enum_positionErrorCode is DPV_ERROR_RESET_OR_NO_ERROR_E
Verify dpvpd_enum_positionErrorRegister is DPV_REGISTER_NO_ERROR_E
Verify dpvpd_flg_dpvFailMode is 0
Verify dpvpd_flg_activeErrors is 0
Verify dpvpd_enum_nmtCtrlMsg is DPV_NMT_OPER_MSG_E
At the end of cycle 62
Verify dpvpd_y_dmpPosition_mm is 100
Verify dpvpd_vel_dmpVelocity_mmps is 150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DPV_NMT_NO_MSG_E
At the end of cycle 63
Verify dpvpd_y_dmpPosition_mm is 100
Verify dpvpd_vel_dmpVelocity_mmps is 1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False
Verify dpvpd_flg_activeErrors is 0
Verify dpvpd_enum_nmtCtrlMsg is DPV_NMT_RESET_MSG_E
At the end of cycle 64
Verify dpvpd_y_dmpPosition_mm is 55
Verify dpvpd_vel_dmpVelocity_mmps is 10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DPV_NMT_NO_MSG_E
At the end of cycle 65
Verify dpvpd_y_dmpPosition_mm is 55
Verify dpvpd_vel_dmpVelocity_mmps is 1
Verify dpvpd_enum_dmpPosAndVelValid  is INVALID
Verify dpvpd_enum_dmpPVSensorState is DPV_NON_OPERATIONAL_E
Verify dpvd_enum_posSensorNormalRun is 1
Verify dpvpd_enum_damperStartUp is Not received
Verify dpvpd_enum_magnetError is Not received
Verify dpvpd_enum_damperRangeError is Not received
Verify dpvpd_enum_dataFlashError is Not received
Verify dpvpd_enum_controllerError is Not received
Verify dpvpd_enum_damperTemperatureErr is Not received
Verify dpvpd_enum_damperValidSRDOErr is Not received
Verify dpvpd_enum_positionErrorCode is DPV_ERROR_RESET_OR_NO_ERROR_E
Verify dpvpd_enum_positionErrorRegister is DPV_REGISTER_NO_ERROR_E
Verify dpvpd_flg_dpvFailMode is 0
Verify dpvpd_flg_activeErrors is 0
Verify dpvpd_enum_nmtCtrlMsg is DPV_NMT_PRE_OPER_MSG_E
At the end of cycle 66
Verify dpvpd_y_dmpPosition_mm is 55
Verify dpvpd_vel_dmpVelocity_mmps is 1
Verify dpvpd_enum_dmpPosAndVelValid  is INVALID
Verify dpvpd_enum_dmpPVSensorState is DPV_NON_OPERATIONAL_E
Verify dpvd_enum_posSensorNormalRun is 1
Verify dpvpd_enum_damperStartUp is Not received
Verify dpvpd_enum_magnetError is Not received
Verify dpvpd_enum_damperRangeError is Not received
Verify dpvpd_enum_dataFlashError is Not received
Verify dpvpd_enum_controllerError is Not received
Verify dpvpd_enum_damperTemperatureErr is Not received
Verify dpvpd_enum_damperValidSRDOErr is Not received
Verify dpvpd_enum_positionErrorCode is DPV_ERROR_RESET_OR_NO_ERROR_E
Verify dpvpd_enum_positionErrorRegister is DPV_REGISTER_NO_ERROR_E
Verify dpvpd_flg_dpvFailMode is 0
Verify dpvpd_flg_activeErrors is 0
Verify dpvpd_enum_nmtCtrlMsg is DPV_NMT_CONFIG_MSG_E
At the end of cycle 67
Verify dpvpd_y_dmpPosition_mm is 55
Verify dpvpd_vel_dmpVelocity_mmps is 1
Verify dpvpd_enum_dmpPosAndVelValid  is INVALID
Verify dpvpd_enum_dmpPVSensorState is DPV_NON_OPERATIONAL_E
Verify dpvd_enum_posSensorNormalRun is 1
Verify dpvpd_enum_damperStartUp is Not received
Verify dpvpd_enum_magnetError is Not received
Verify dpvpd_enum_damperRangeError is Not received
Verify dpvpd_enum_dataFlashError is Not received
Verify dpvpd_enum_controllerError is Not received
Verify dpvpd_enum_damperTemperatureErr is Not received
Verify dpvpd_enum_damperValidSRDOErr is Not received
Verify dpvpd_enum_positionErrorCode is DPV_ERROR_RESET_OR_NO_ERROR_E
Verify dpvpd_enum_positionErrorRegister is DPV_REGISTER_NO_ERROR_E
Verify dpvpd_flg_dpvFailMode is 0
Verify dpvpd_flg_activeErrors is 0
Verify dpvpd_enum_nmtCtrlMsg is DPV_NMT_OPER_MSG_E
At the end of cycle 68
Verify dpvpd_y_dmpPosition_mm is 100
Verify dpvpd_vel_dmpVelocity_mmps is 150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DPV_NMT_NO_MSG_E
At the end of cycle 69
Verify dpvpd_y_dmpPosition_mm is 100
Verify dpvpd_vel_dmpVelocity_mmps is 1
Verify dpvpd_enum_dmpPosAndVelValid  is INVALID
Verify dpvpd_enum_dmpPVSensorState is DPV_NON_OPERATIONAL_E
Verify dpvd_enum_posSensorNormalRun is 1
Verify dpvpd_enum_damperStartUp is Not received
Verify dpvpd_enum_magnetError is Not received
Verify dpvpd_enum_damperRangeError is Not received
Verify dpvpd_enum_dataFlashError is Not received
Verify dpvpd_enum_controllerError is Not received
Verify dpvpd_enum_damperTemperatureErr is Not received
Verify dpvpd_enum_damperValidSRDOErr is Not received
Verify dpvpd_enum_positionErrorCode is DPV_ERROR_RESET_OR_NO_ERROR_E
Verify dpvpd_enum_positionErrorRegister is DPV_REGISTER_NO_ERROR_E
Verify dpvpd_flg_dpvFailMode is 1
Verify dpvpd_flg_activeErrors is 0
Verify dpvpd_enum_nmtCtrlMsg is DPV_NMT_RESET_MSG_E
At the end of cycle 70
Verify dpvpd_y_dmpPosition_mm is 55
Verify dpvpd_vel_dmpVelocity_mmps is 10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DPV_NMT_NO_MSG_E</t>
  </si>
  <si>
    <t>At cycle 59
DPV Proxy performs "DPV Configuration Validation" process.Damper Position and Velocity Sensor State is 'Non-Operational', the DPV Proxy send 'Pre-Operational' command to the CAN Bus Builder by setting Network Manager Control Message to ‘DPV_NMT_PRE_OPER_MSG_E’.
At cycle 60
DPV Proxy send 'Configuration' command, to the CAN Bus Builder by setting Network Manager Control Message to ‘DPV_NMT_CONFIG_MSG_E’.
At cycle 61
DPV Proxy send 'Operation' command to the CAN Bus Builder by setting Network Manager Control Message to ‘DPV_NMT_OPER_MSG_E’.
At cycle 62
DPV send ‘No Message’ to CAN Bus Builder by setting Network Manager Control Message to ‘DPV_NMT_NO_MSG_E’ for 1 cycle.
At cycle 63
Non operational counter is incremented by 1.
DPV failure mode is set to false.Sending RESET command to CAN bus.
At cycle 64
DPV send ‘No Message’ to CAN Bus Builder by setting Network Manager Control Message to ‘DPV_NMT_NO_MSG_E’ for 1 cycle.
At cycle 65
DPV Proxy performs "DPV Configuration Validation" process.Damper Position and Velocity Sensor State is 'Non-Operational', the DPV Proxy send 'Pre-Operational' command to the CAN Bus Builder by setting Network Manager Control Message to ‘DPV_NMT_PRE_OPER_MSG_E’.
At cycle 66
DPV Proxy send 'Configuration' command, to the CAN Bus Builder by setting Network Manager Control Message to ‘DPV_NMT_CONFIG_MSG_E’.
At cycle 67
DPV Proxy send 'Operation' command to the CAN Bus Builder by setting Network Manager Control Message to ‘DPV_NMT_OPER_MSG_E’.
At cycle 68
DPV send ‘No Message’ to CAN Bus Builder by setting Network Manager Control Message to ‘DPV_NMT_NO_MSG_E’ for 1 cycle.
At cycle 69
Non operational counter is incremented by 1.
DPV failure mode is set to false.Sending RESET command to CAN bus.
At cycle 70
DPV send ‘No Message’ to CAN Bus Builder by setting Network Manager Control Message to ‘DPV_NMT_NO_MSG_E’ for 1 cycle.</t>
  </si>
  <si>
    <t>1) Load nominal calibration set using the 'Load Configuration Procedure' of Appendix 5.3. 
2) Execute the script “DPV_HL_TEST_MAX.txt” as per the 'Script Execution Procedure' in Appendix 5.2.
3) Verify the results in “DPV_HL_TEST_MAX.csv” as per Appendix 5.5 'Result View Procedure'.</t>
  </si>
  <si>
    <t>Setup step for making a system to a known state.
At cycle 1 For 10 cycles
Set dpvd_num_positionErrorCode to DPV_ERROR_RESET_OR_NO_ERROR_E
Set dpvd_num_positionErrorRegister to DPV_REGISTER_NO_ERROR_E
Set dpvd_y_damperPosition_mm to 100
Set dpvd_vel_damperVelocity_mmps to 100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After 10 cycles:
At cycle 1 For 1 cycles
Set dpvd_num_positionErrorCode to DPV_ERROR_RESET_OR_NO_ERROR_E
Set dpvd_num_positionErrorRegister to DPV_REGISTER_NO_ERROR_E
Set dpvd_y_damperPosition_mm to 200
Set dpvd_vel_damperVelocity_mmps to -22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 For 1 cycles
Set dpvd_num_positionErrorCode to DPV_ERROR_RESET_OR_NO_ERROR_E
Set dpvd_num_positionErrorRegister to DPV_REGISTER_NO_ERROR_E
Set dpvd_y_damperPosition_mm to 200
Set dpvd_vel_damperVelocity_mmps to -44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3 For 1 cycles
Set dpvd_num_positionErrorCode to DPV_ERROR_RESET_OR_NO_ERROR_E
Set dpvd_num_positionErrorRegister to DPV_REGISTER_NO_ERROR_E
Set dpvd_y_damperPosition_mm to 200
Set dpvd_vel_damperVelocity_mmps to -66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4 For 1 cycles
Set dpvd_num_positionErrorCode to Not Received
Set dpvd_num_positionErrorRegister to Not Received
Set dpvd_y_damperPosition_mm to 201
Set dpvd_vel_damperVelocity_mmps to -44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5 For 1 cycles
Set dpvd_num_positionErrorCode to Not Received
Set dpvd_num_positionErrorRegister to Not Received
Set dpvd_y_damperPosition_mm to 201
Set dpvd_vel_damperVelocity_mmps to -66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6 For 1 cycles
Set dpvd_num_positionErrorCode to Not Received
Set dpvd_num_positionErrorRegister to Not Received
Set dpvd_y_damperPosition_mm to 201
Set dpvd_vel_damperVelocity_mmps to -88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7 For 1 cycles
Set dpvd_num_positionErrorCode to DPV_ERROR_RESET_OR_NO_ERROR_E
Set dpvd_num_positionErrorRegister to DPV_REGISTER_NO_ERROR_E
Set dpvd_y_damperPosition_mm to 256
Set dpvd_vel_damperVelocity_mmps to 222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t>
  </si>
  <si>
    <t>At the end of cycle 1
Verify dpvpd_y_dmpPosition_mm is 55
Verify dpvpd_vel_dmpVelocity_mmps is 560
At the end of cycle 1
Verify dpvpd_y_dmpPosition_mm is 700
Verify dpvpd_vel_dmpVelocity_mmps is -22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
Verify dpvpd_y_dmpPosition_mm is 700
Verify dpvpd_vel_dmpVelocity_mmps is -44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3
Verify dpvpd_y_dmpPosition_mm is 700
Verify dpvpd_vel_dmpVelocity_mmps is -66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4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Not Received
Verify dpvpd_enum_positionErrorRegister is Not Received
Verify dpvpd_flg_dpvFailMode is 0
Verify dpvpd_flg_activeErrors is 1
Verify dpvpd_enum_nmtCtrlMsg is 0
At the end of cycle 5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Not Received
Verify dpvpd_enum_positionErrorRegister is Not Received
Verify dpvpd_flg_dpvFailMode is 0
Verify dpvpd_flg_activeErrors is 1
Verify dpvpd_enum_nmtCtrlMsg is 0
At the end of cycle 6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Not Received
Verify dpvpd_enum_positionErrorRegister is Not Received
Verify dpvpd_flg_dpvFailMode is 0
Verify dpvpd_flg_activeErrors is 1
Verify dpvpd_enum_nmtCtrlMsg is 0
At the end of cycle 7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t>
  </si>
  <si>
    <t>At cycle 1
At cycle 1
DPV_DAMPER_POSITION_EMCY message Rx.
DPV_DAMPER_STROKE_VELOCITY message Rx.
Assume Damper Position and Velocity Validity set to valid.
At cycle 2
DPV_DAMPER_POSITION_EMCY message Rx.
DPV_DAMPER_STROKE_VELOCITY message Rx.
At cycle 3
DPV_DAMPER_POSITION_EMCY message Rx.
DPV_DAMPER_STROKE_VELOCITY message Rx.
At cycle 4
DPV_DAMPER_POSITION_EMCY message not Rx.
DPV_DAMPER_STROKE_VELOCITY message Rx followed by increment condition.
At cycle 5
DPV_DAMPER_POSITION_EMCY message not Rx.
DPV_DAMPER_STROKE_VELOCITY message Rx followed by increment condition.
At cycle 6
DPV_DAMPER_POSITION_EMCY message not Rx.
DPV_DAMPER_STROKE_VELOCITY message Rx followed by increment condition.
At cycle 7
DPV_DAMPER_POSITION_EMCY message Rx.
DPV_DAMPER_STROKE_VELOCITY message Rx followed by increment condition.</t>
  </si>
  <si>
    <t>At cycle 8 For 1 cycles
Set dpvd_num_positionErrorCode to DPV_ERROR_RESET_OR_NO_ERROR_E
Set dpvd_num_positionErrorRegister to DPV_REGISTER_NO_ERROR_E
Set dpvd_y_damperPosition_mm to 256
Set dpvd_vel_damperVelocity_mmps to 222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9 For 1 cycles
Set dpvd_num_positionErrorCode to DPV_ERROR_RESET_OR_NO_ERROR_E
Set dpvd_num_positionErrorRegister to DPV_REGISTER_NO_ERROR_E
Set dpvd_y_damperPosition_mm to 256
Set dpvd_vel_damperVelocity_mmps to 222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10 For 1 cycles
Set dpvd_num_positionErrorCode to DPV_ERROR_RESET_OR_NO_ERROR_E
Set dpvd_num_positionErrorRegister to DPV_REGISTER_NO_ERROR_E
Set dpvd_y_damperPosition_mm to 256
Set dpvd_vel_damperVelocity_mmps to 222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11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12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13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14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15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16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t>
  </si>
  <si>
    <t>At the end of cycle 8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
At the end of cycle 9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
At the end of cycle 10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
At the end of cycle 11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12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13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14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15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16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t>
  </si>
  <si>
    <t>At cycle 8
DPV_DAMPER_POSITION_EMCY message Rx.
DPV_DAMPER_STROKE_VELOCITY message Rx followed by increment condition.
At cycle 9
DPV_DAMPER_POSITION_EMCY message Rx.
DPV_DAMPER_STROKE_VELOCITY message Rx followed by increment condition.
At cycle 10
DPV_DAMPER_POSITION_EMCY message Rx.
DPV_DAMPER_STROKE_VELOCITY message Rx followed by increment condition.
At cycle 11
DPV_DAMPER_POSITION_EMCY message Rx.
DPV_DAMPER_STROKE_VELOCITY message Not-Rx followed by increment condition.
Threshold reached.Transition from valid to invalid.
At cycle 12
DPV_DAMPER_POSITION_EMCY message Rx.
DPV_DAMPER_STROKE_VELOCITY message Rx followed by decrement condition.
At cycle 13
DPV_DAMPER_POSITION_EMCY message Rx.
DPV_DAMPER_STROKE_VELOCITY message Rx followed by decrement condition.
At cycle 14
DPV_DAMPER_POSITION_EMCY message Rx.
DPV_DAMPER_STROKE_VELOCITY message Rx followed by decrement condition.
At cycle 15
DPV_DAMPER_POSITION_EMCY message Rx.
DPV_DAMPER_STROKE_VELOCITY message Rx followed by decrement condition.
At cycle 16
DPV_DAMPER_POSITION_EMCY message Rx.
DPV_DAMPER_STROKE_VELOCITY message Rx followed by decrement condition.</t>
  </si>
  <si>
    <t>At cycle 17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18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19 For 1 cycles
Set dpvd_num_positionErrorCode to DPV_ERROR_RESET_OR_NO_ERROR_E
Set dpvd_num_positionErrorRegister to DPV_REGISTER_NO_ERROR_E
Set dpvd_y_damperPosition_mm to 201
Set dpvd_vel_damperVelocity_mmps to 200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20 For 1 cycles
Set dpvd_num_positionErrorCode to DPV_ERROR_RESET_OR_NO_ERROR_E
Set dpvd_num_positionErrorRegister to DPV_REGISTER_NO_ERROR_E
Set dpvd_y_damperPosition_mm to 202
Set dpvd_vel_damperVelocity_mmps to 178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21 For 1 cycles
Set dpvd_num_positionErrorCode to DPV_ERROR_RESET_OR_NO_ERROR_E
Set dpvd_num_positionErrorRegister to DPV_REGISTER_NO_ERROR_E
Set dpvd_y_damperPosition_mm to 203
Set dpvd_vel_damperVelocity_mmps to 156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t>
  </si>
  <si>
    <t>At the end of cycle 17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18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19
Verify dpvpd_y_dmpPosition_mm is 701
Verify dpvpd_vel_dmpVelocity_mmps is 200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20
Verify dpvpd_y_dmpPosition_mm is 702
Verify dpvpd_vel_dmpVelocity_mmps is 178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21
Verify dpvpd_y_dmpPosition_mm is 703
Verify dpvpd_vel_dmpVelocity_mmps is 156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t>
  </si>
  <si>
    <t>At cycle 17
DPV_DAMPER_POSITION_EMCY message Rx.
DPV_DAMPER_STROKE_VELOCITY message Rx followed by decrement condition.
At cycle 18
DPV_DAMPER_POSITION_EMCY message Rx.
DPV_DAMPER_STROKE_VELOCITY message Rx followed by decrement condition.
At cycle 19
DPV_DAMPER_POSITION_EMCY message Rx.
DPV_DAMPER_STROKE_VELOCITY message Rx followed by decrement condition.
At cycle 20
DPV_DAMPER_POSITION_EMCY message Rx.
DPV_DAMPER_STROKE_VELOCITY message Rx followed by decrement condition.
At cycle 21
DPV_DAMPER_POSITION_EMCY message Rx.
DPV_DAMPER_STROKE_VELOCITY message Rx .Threshold reaches zero.Transition from invalid to valid.</t>
  </si>
  <si>
    <t>At cycle 22 For 2 cycles
Set dpvd_num_positionErrorCode to DPV_ERROR_RESET_OR_NO_ERROR_E
Set dpvd_num_positionErrorRegister to DPV_REGISTER_NO_ERROR_E
Set dpvd_y_damperPosition_mm to 204
Set dpvd_vel_damperVelocity_mmps to 134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24 For 1 cycles
Set dpvd_num_positionErrorCode to DPV_ERROR_RESET_OR_NO_ERROR_E
Set dpvd_num_positionErrorRegister to DPV_REGISTER_NO_ERROR_E
Set dpvd_y_damperPosition_mm to 204
Set dpvd_vel_damperVelocity_mmps to 134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25 For 1 cycles
Set dpvd_num_positionErrorCode to Not Received
Set dpvd_num_positionErrorRegister to Not Received
Set dpvd_y_damperPosition_mm to 205
Set dpvd_vel_damperVelocity_mmps to 112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26 For 1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27 For 6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33 For 1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34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35 For 3 cycles
Set dpvd_num_positionErrorCode to DPV_ERROR_RESET_OR_NO_ERROR_E
Set dpvd_num_positionErrorRegister to DPV_REGISTER_NO_ERROR_E
Set dpvd_y_damperPosition_mm to 100
Set dpvd_vel_damperVelocity_mmps to 110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38 For 1 cycles
Set dpvd_num_positionErrorCode to DPV_ERROR_RESET_OR_NO_ERROR_E
Set dpvd_num_positionErrorRegister to DPV_REGISTER_NO_ERROR_E
Set dpvd_y_damperPosition_mm to 100
Set dpvd_vel_damperVelocity_mmps to 110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39 For 1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1
Set dpvd_enum_dataFlashError to 0
Set dpvp_enum_controllerError to 0
Set dpvd_enum_damperTemperatureErr to 0
Set dpvd_enum_damperValidSRDOErr to 0
At cycle 40 For 1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41 For 5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46 For 1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t>
  </si>
  <si>
    <t>At the end of cycle 22
Verify dpvpd_y_dmpPosition_mm is 704
Verify dpvpd_vel_dmpVelocity_mmps is 134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24
Verify dpvpd_y_dmpPosition_mm is 704
Verify dpvpd_vel_dmpVelocity_mmps is 134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25
Verify dpvpd_y_dmpPosition_mm is 705
Verify dpvpd_vel_dmpVelocity_mmps is 112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26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27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33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34
Verify dpvpd_y_dmpPosition_mm is 559.9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35
Verify dpvpd_y_dmpPosition_mm is 600
Verify dpvpd_vel_dmpVelocity_mmps is 110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38
Verify dpvpd_y_dmpPosition_mm is 600
Verify dpvpd_vel_dmpVelocity_mmps is 110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39
Verify dpvpd_y_dmpPosition_mm is 600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1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
At the end of cycle 40
Verify dpvpd_y_dmpPosition_mm is 559.9
Verify dpvpd_vel_dmpVelocity_mmps is 13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41
Verify dpvpd_y_dmpPosition_mm is 559.9
Verify dpvpd_vel_dmpVelocity_mmps is 13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46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t>
  </si>
  <si>
    <t>At cycle 22
DPV_DAMPER_POSITION_EMCY message Rx.
DPV_DAMPER_STROKE_VELOCITY message Rx.
Assume Damper Position and Velocity Validity is valid in the previous cycle.
At cycle 24
DPV_DAMPER_POSITION_EMCY message Rx.
DPV_DAMPER_STROKE_VELOCITY message Rx.
At cycle 25
DPV_DAMPER_POSITION_EMCY message not Rx.
DPV_DAMPER_STROKE_VELOCITY message Rx followed by increment condition.
At cycle 26
DPV_DAMPER_POSITION_EMCY message Rx.
DPV_DAMPER_STROKE_VELOCITY message Rx followed by decrement condition.
At cycle 27
DPV_DAMPER_POSITION_EMCY message Rx.
DPV_DAMPER_STROKE_VELOCITY message Rx followed by increment condition.
At cycle 33
DPV_DAMPER_POSITION_EMCY message Rx.
DPV_DAMPER_STROKE_VELOCITY message Rx followed by increment condition.
At cycle 34
DPV_DAMPER_POSITION_EMCY message Rx.
DPV_DAMPER_STROKE_VELOCITY message Not-Rx followed by decrement condition.
Threshold reached.Transition from valid to invalid.
At cycle 35
DPV_DAMPER_POSITION_EMCY message Rx.
DPV_DAMPER_STROKE_VELOCITY message Rx followed by decrement condition.
At cycle 38
DPV_DAMPER_POSITION_EMCY message Rx.
DPV_DAMPER_STROKE_VELOCITY message Rx followed by decrement condition.
At cycle 39
DPV_DAMPER_POSITION_EMCY message Rx.
DPV_DAMPER_STROKE_VELOCITY message Rx followed by increment condition.
At cycle 40
DPV_DAMPER_POSITION_EMCY message Rx.
DPV_DAMPER_STROKE_VELOCITY message Rx followed by decrement condition.
At cycle 41
DPV_DAMPER_POSITION_EMCY message Rx.
DPV_DAMPER_STROKE_VELOCITY message Rx followed by decrement condition.
At cycle 46
DPV_DAMPER_POSITION_EMCY message Rx.
DPV_DAMPER_STROKE_VELOCITY message Rx.Threshold reaches zero.Transition from invalid to valid.</t>
  </si>
  <si>
    <t>TXB-HLC-TC_12783
TXB-HLC-TC_1726
TXB-HLC-TC_1738</t>
  </si>
  <si>
    <t>At cycle 47 For 2 cycles
Set dpvd_num_positionErrorCode to Not Received
Set dpvd_num_positionErrorRegister to Not Received
Set dpvd_y_damperPosition_mm to 59.9
Set dpvd_vel_damperVelocity_mmps to 13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49 For 1 cycles
Set dpvd_num_positionErrorCode to Not Received
Set dpvd_num_positionErrorRegister to Not Received
Set dpvd_y_damperPosition_mm to 205
Set dpvd_vel_damperVelocity_mmps to -9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50 For 1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51 For 5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56 For 1 cycles
Set dpvd_num_positionErrorCode to DPV_ERROR_RESET_OR_NO_ERROR_E
Set dpvd_num_positionErrorRegister to DPV_REGISTER_NO_ERROR_E
Set dpvd_y_damperPosition_mm to 59.9
Set dpvd_vel_damperVelocity_mmps to 13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57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58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59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60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61 For 49 cycles
Set dpvd_num_positionErrorCode to DPV_ERROR_RESET_OR_NO_ERROR_E
Set dpvd_num_positionErrorRegister to DPV_REGISTER_NO_ERROR_E
Set dpvd_y_damperPosition_mm to 156
Set dpvd_vel_damperVelocity_mmps to 16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110 For 1 cycles
Set dpvd_num_positionErrorCode to DPV_ERROR_RESET_OR_NO_ERROR_E
Set dpvd_num_positionErrorRegister to DPV_REGISTER_NO_ERROR_E
Set dpvd_y_damperPosition_mm to 156
Set dpvd_vel_damperVelocity_mmps to 16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111 For 1 cycles
Set dpvd_num_positionErrorCode to DPV_ERROR_RESET_OR_NO_ERROR_E
Set dpvd_num_positionErrorRegister to DPV_REGISTER_NO_ERROR_E
Set dpvd_y_damperPosition_mm to 200
Set dpvd_vel_damperVelocity_mmps to 16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112 For 1 cycles
Set dpvd_num_positionErrorCode to DPV_ERROR_RESET_OR_NO_ERROR_E
Set dpvd_num_positionErrorRegister to DPV_REGISTER_NO_ERROR_E
Set dpvd_y_damperPosition_mm to 205
Set dpvd_vel_damperVelocity_mmps to 16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t>
  </si>
  <si>
    <t>At the end of cycle 47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49
Verify dpvpd_y_dmpPosition_mm is 705
Verify dpvpd_vel_dmpVelocity_mmps is -9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50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51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56
Verify dpvpd_y_dmpPosition_mm is 559.9
Verify dpvpd_vel_dmpVelocity_mmps is 13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57
Verify dpvpd_y_dmpPosition_mm is 559.9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58
Verify dpvpd_y_dmpPosition_mm is 559.9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DPV_NMT_PRE_OPER_MSG_E
At the end of cycle 59
Verify dpvpd_y_dmpPosition_mm is 559.9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DPV_NMT_CONFIG_MSG_E
At the end of cycle 60
Verify dpvpd_y_dmpPosition_mm is 559.9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DPV_NMT_OPER_MSG_E
At the end of cycle 61
Verify dpvpd_y_dmpPosition_mm is 656
Verify dpvpd_vel_dmpVelocity_mmps is 16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DPV_NMT_NO_MSG_E
At the end of cycle 110
Verify dpvpd_y_dmpPosition_mm is 656
Verify dpvpd_vel_dmpVelocity_mmps is 16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DPV_NMT_NO_MSG_E
At the end of cycle 111
Verify dpvpd_y_dmpPosition_mm is 700
Verify dpvpd_vel_dmpVelocity_mmps is 16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112
Verify dpvpd_y_dmpPosition_mm is 705
Verify dpvpd_vel_dmpVelocity_mmps is 16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t>
  </si>
  <si>
    <t>At cycle 47
DPV_DAMPER_POSITION_EMCY message not Rx.
DPV_DAMPER_STROKE_VELOCITY message Rx followed by increment condition.
At cycle 49
DPV_DAMPER_POSITION_EMCY message not Rx.
DPV_DAMPER_STROKE_VELOCITY message Rx followed by increment condition.
At cycle 50
DPV_DAMPER_POSITION_EMCY message Rx.
DPV_DAMPER_STROKE_VELOCITY message Rx followed by decrement condition.
At cycle 51
DPV_DAMPER_POSITION_EMCY message Rx.
DPV_DAMPER_STROKE_VELOCITY message Rx followed by increment condition.
At cycle 56
DPV_DAMPER_POSITION_EMCY message Rx.
DPV_DAMPER_STROKE_VELOCITY message Rx followed by increment condition.
At cycle 57
DPV_DAMPER_POSITION_EMCY message Rx.
DPV_DAMPER_STROKE_VELOCITY message Not-Rx followed by decrement condition.
Threshold reached.Transition from valid to invalid.
At cycle 58
Damper Position and Velocity Sensor State is 'Non-Operational', the DPV Proxy send 'Pre-Operational' command to the CAN Bus Builder by setting Network Manager Control Message to ‘DPV_NMT_PRE_OPER_MSG_E’.
At cycle 59
DPV Proxy send 'Configuration' command, to the CAN Bus Builder by setting Network Manager Control Message to ‘DPV_NMT_CONFIG_MSG_E’.
At cycle 60
DPV Proxy send 'Operation' command to the CAN Bus Builder by setting Network Manager Control Message to ‘DPV_NMT_OPER_MSG_E’.
At cycle 61
DPV send ‘No Message’ to CAN Bus Builder by setting Network Manager Control Message to ‘DPV_NMT_NO_MSG_E’ for 50 cycles.
At cycle 110
DPV send ‘No Message’ to CAN Bus Builder by setting Network Manager Control Message to ‘DPV_NMT_NO_MSG_E’ for 50 cycles.
At cycle 111
Non operational counter is set to 0.
DPV failure mode is set to false.
At cycle 112
Verify that DPV Proxy return to "Normal Operation" process.</t>
  </si>
  <si>
    <t>At cycle 113 For 2 cycles
Set dpvd_num_positionErrorCode to DPV_ERROR_RESET_OR_NO_ERROR_E
Set dpvd_num_positionErrorRegister to DPV_REGISTER_NO_ERROR_E
Set dpvd_y_damperPosition_mm to 200
Set dpvd_vel_damperVelocity_mmps to 100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115 For 1 cycles
Set dpvd_num_positionErrorCode to DPV_ERROR_RESET_OR_NO_ERROR_E
Set dpvd_num_positionErrorRegister to DPV_REGISTER_NO_ERROR_E
Set dpvd_y_damperPosition_mm to 200
Set dpvd_vel_damperVelocity_mmps to 100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116 For 2 cycles
Set dpvd_num_positionErrorCode to Not Received
Set dpvd_num_positionErrorRegister to Not Received
Set dpvd_y_damperPosition_mm to 201
Set dpvd_vel_damperVelocity_mmps to 78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118 For 1 cycles
Set dpvd_num_positionErrorCode to Not Received
Set dpvd_num_positionErrorRegister to Not Received
Set dpvd_y_damperPosition_mm to 201
Set dpvd_vel_damperVelocity_mmps to 78
Set dpvd_enum_posSensorNormalRun to 1
Set dpvd_enum_damperStartUp to 0
Set dpvd_enum_magnetError to 0
Set dpvd_enum_damperRangeError to 0
Set dpvd_enum_dataFlashError to 0
Set dpvp_enum_controllerError to 0
Set dpvd_enum_damperTemperatureErr to 0
Set dpvd_enum_damperValidSRDOErr to 0
At cycle 119 For 3 cycles
Set dpvd_num_positionErrorCode to DPV_ERROR_RESET_OR_NO_ERROR_E
Set dpvd_num_positionErrorRegister to DPV_REGISTER_NO_ERROR_E
Set dpvd_y_damperPosition_mm to 256
Set dpvd_vel_damperVelocity_mmps to 222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122 For 1 cycles
Set dpvd_num_positionErrorCode to DPV_ERROR_RESET_OR_NO_ERROR_E
Set dpvd_num_positionErrorRegister to DPV_REGISTER_NO_ERROR_E
Set dpvd_y_damperPosition_mm to 256
Set dpvd_vel_damperVelocity_mmps to 222
Set dpvd_enum_posSensorNormalRun to 1
Set dpvd_enum_damperStartUp to 0
Set dpvd_enum_magnetError to 0
Set dpvd_enum_damperRangeError to 0
Set dpvd_enum_dataFlashError to 1
Set dpvp_enum_controllerError to 0
Set dpvd_enum_damperTemperatureErr to 0
Set dpvd_enum_damperValidSRDOErr to 0
At cycle 123 For 1 cycles
Set dpvd_num_positionErrorCode to DPV_ERROR_RESET_OR_NO_ERROR_E
Set dpvd_num_positionErrorRegister to DPV_REGISTER_NO_ERROR_E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124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125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126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127 For 48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175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176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t>
  </si>
  <si>
    <t>At the end of cycle 113
Verify dpvpd_y_dmpPosition_mm is 700
Verify dpvpd_vel_dmpVelocity_mmps is 100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115
Verify dpvpd_y_dmpPosition_mm is 700
Verify dpvpd_vel_dmpVelocity_mmps is 100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116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Not Received
Verify dpvpd_enum_positionErrorRegister is Not Received
Verify dpvpd_flg_dpvFailMode is 0
Verify dpvpd_flg_activeErrors is 1
Verify dpvpd_enum_nmtCtrlMsg is 0
At the end of cycle 118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Not Received
Verify dpvpd_enum_positionErrorRegister is Not Received
Verify dpvpd_flg_dpvFailMode is 0
Verify dpvpd_flg_activeErrors is 1
Verify dpvpd_enum_nmtCtrlMsg is 0
At the end of cycle 119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
At the end of cycle 122
Verify dpvpd_y_dmpPosition_mm is 700
Verify dpvpd_vel_dmpVelocity_mmps is 560
Verify dpvpd_enum_dmpPosAndVelValid  is VALID
Verify dpvpd_enum_dmpPVSensorState is DPV_OPERATIONAL_E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0
At the end of cycle 123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0
At the end of cycle 124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DPV_NMT_PRE_OPER_MSG_E
At the end of cycle 125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DPV_NMT_CONFIG_MSG_E
At the end of cycle 126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0
Verify dpvpd_enum_nmtCtrlMsg is DPV_NMT_OPER_MSG_E
At the end of cycle 127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175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176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t>
  </si>
  <si>
    <t>At cycle 113
DPV_DAMPER_POSITION_EMCY message Rx.
DPV_DAMPER_STROKE_VELOCITY message Rx.
Assume Damper Position and Velocity Validity set to valid.
At cycle 115
DPV_DAMPER_POSITION_EMCY message Rx.
DPV_DAMPER_STROKE_VELOCITY message Rx.
Assume Damper Position and Velocity Validity set to valid.
At cycle 116
DPV_DAMPER_POSITION_EMCY message not Rx.
DPV_DAMPER_STROKE_VELOCITY message Rx followed by increment condition.
At cycle 118
DPV_DAMPER_POSITION_EMCY message not Rx.
DPV_DAMPER_STROKE_VELOCITY message Rx followed by increment condition.
At cycle 119
DPV_DAMPER_POSITION_EMCY message Rx.
DPV_DAMPER_STROKE_VELOCITY message Rx followed by increment condition.
At cycle 122
DPV_DAMPER_POSITION_EMCY message Rx.
DPV_DAMPER_STROKE_VELOCITY message Rx followed by increment condition.
At cycle 123
DPV_DAMPER_POSITION_EMCY message Rx.
DPV_DAMPER_STROKE_VELOCITY message Not-Rx followed by decrement condition.
Threshold reached.Transition from valid to invalid.
At cycle 124
Damper Position and Velocity Sensor State is 'Non-Operational', the DPV Proxy send 'Pre-Operational' command to the CAN Bus Builder by setting Network Manager Control Message to ‘DPV_NMT_PRE_OPER_MSG_E’.
At cycle 125
DPV Proxy send 'Configuration' command, to the CAN Bus Builder by setting Network Manager Control Message to ‘DPV_NMT_CONFIG_MSG_E’.
At cycle 126
DPV Proxy send 'Operation' command to the CAN Bus Builder by setting Network Manager Control Message to ‘DPV_NMT_OPER_MSG_E’.
At cycle 127
DPV send ‘No Message’ to CAN Bus Builder by setting Network Manager Control Message to ‘DPV_NMT_NO_MSG_E’ for 50 cycles.
At cycle 175
DPV send ‘No Message’ to CAN Bus Builder by setting Network Manager Control Message to ‘DPV_NMT_NO_MSG_E’ for 50 cycles.
At cycle 176
DPV send ‘No Message’ to CAN Bus Builder by setting Network Manager Control Message to ‘DPV_NMT_NO_MSG_E’ for 50 cycles.</t>
  </si>
  <si>
    <t>At cycle 177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178 For 48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226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227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228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229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230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231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1
Set dpvd_enum_damperValidSRDOErr to 0
At cycle 280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1
Set dpvd_enum_damperValidSRDOErr to 0
At cycle 281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282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331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332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t>
  </si>
  <si>
    <t>At the end of cycle 177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DPV_NMT_RESET_MSG_E
At the end of cycle 178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226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227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228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229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230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231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280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281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DPV_NMT_RESET_MSG_E
At the end of cycle 282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331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332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t>
  </si>
  <si>
    <t>At cycle 177
Non operational counter is incremented by 1.
DPV failure mode is set to false.Sending RESET command to CAN bus.
At cycle 178
DPV send ‘No Message’ to CAN Bus Builder by setting Network Manager Control Message to ‘DPV_NMT_NO_MSG_E’ for 50 cycles.
At cycle 226
DPV send ‘No Message’ to CAN Bus Builder by setting Network Manager Control Message to ‘DPV_NMT_NO_MSG_E’ for 50 cycles.
At cycle 227
DPV send ‘No Message’ to CAN Bus Builder by setting Network Manager Control Message to ‘DPV_NMT_NO_MSG_E’ for 50 cycles.
At cycle 228
DPV Proxy performs "DPV Configuration Validation" process.Damper Position and Velocity Sensor State is 'Non-Operational', the DPV Proxy send 'Pre-Operational' command to the CAN Bus Builder by setting Network Manager Control Message to ‘DPV_NMT_PRE_OPER_MSG_E’.
At cycle 229
DPV Proxy send 'Configuration' command, to the CAN Bus Builder by setting Network Manager Control Message to ‘DPV_NMT_CONFIG_MSG_E’.
At cycle 230
DPV Proxy send 'Operation' command to the CAN Bus Builder by setting Network Manager Control Message to ‘DPV_NMT_OPER_MSG_E’.
At cycle 231
DPV send ‘No Message’ to CAN Bus Builder by setting Network Manager Control Message to ‘DPV_NMT_NO_MSG_E’ for 50 cycles.
At cycle 280
DPV send ‘No Message’ to CAN Bus Builder by setting Network Manager Control Message to ‘DPV_NMT_NO_MSG_E’ for 50 cycles.
At cycle 281
Non operational counter is incremented by 1.
DPV failure mode is set to false.Sending RESET command to CAN bus.
At cycle 282
DPV send ‘No Message’ to CAN Bus Builder by setting Network Manager Control Message to ‘DPV_NMT_NO_MSG_E’ for 50 cycles.
At cycle 331
DPV send ‘No Message’ to CAN Bus Builder by setting Network Manager Control Message to ‘DPV_NMT_NO_MSG_E’ for 50 cycles.
At cycle 332
DPV Proxy performs "DPV Configuration Validation" process.Damper Position and Velocity Sensor State is 'Non-Operational', the DPV Proxy send 'Pre-Operational' command to the CAN Bus Builder by setting Network Manager Control Message to ‘DPV_NMT_PRE_OPER_MSG_E’.</t>
  </si>
  <si>
    <t>At cycle 333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334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335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384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385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386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435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436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437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438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439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488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489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t>
  </si>
  <si>
    <t>At the end of cycle 333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334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335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384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385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
At the end of cycle 386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435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436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437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438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439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488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489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t>
  </si>
  <si>
    <t>At cycle 333
DPV Proxy send 'Configuration' command, to the CAN Bus Builder by setting Network Manager Control Message to ‘DPV_NMT_CONFIG_MSG_E’.
At cycle 334
DPV Proxy send 'Operation' command to the CAN Bus Builder by setting Network Manager Control Message to ‘DPV_NMT_OPER_MSG_E’.
At cycle 335
DPV send ‘No Message’ to CAN Bus Builder by setting Network Manager Control Message to ‘DPV_NMT_NO_MSG_E’ for 50 cycles.
At cycle 384
DPV send ‘No Message’ to CAN Bus Builder by setting Network Manager Control Message to ‘DPV_NMT_NO_MSG_E’ for 50 cycles.
At cycle 385
Non operational counter is incremented by 1.
DPV failure mode is set to false.Sending RESET command to CAN bus.
At cycle 386
DPV send ‘No Message’ to CAN Bus Builder by setting Network Manager Control Message to ‘DPV_NMT_NO_MSG_E’ for 50 cycles.
At cycle 435
DPV send ‘No Message’ to CAN Bus Builder by setting Network Manager Control Message to ‘DPV_NMT_NO_MSG_E’ for 50 cycles.
At cycle 436
DPV Proxy performs "DPV Configuration Validation" process.Damper Position and Velocity Sensor State is 'Non-Operational', the DPV Proxy send 'Pre-Operational' command to the CAN Bus Builder by setting Network Manager Control Message to ‘DPV_NMT_PRE_OPER_MSG_E’.
At cycle 437
DPV Proxy send 'Configuration' command, to the CAN Bus Builder by setting Network Manager Control Message to ‘DPV_NMT_CONFIG_MSG_E’.
At cycle 438
DPV Proxy send 'Operation' command to the CAN Bus Builder by setting Network Manager Control Message to ‘DPV_NMT_OPER_MSG_E’.
At cycle 439
DPV send ‘No Message’ to CAN Bus Builder by setting Network Manager Control Message to ‘DPV_NMT_NO_MSG_E’ for 50 cycles.
At cycle 488
DPV send ‘No Message’ to CAN Bus Builder by setting Network Manager Control Message to ‘DPV_NMT_NO_MSG_E’ for 50 cycles.
At cycle 489
Non operational counter is incremented by 1.
DPV failure mode is set to false.Sending RESET command to CAN bus.</t>
  </si>
  <si>
    <t>At cycle 490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539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540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541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542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543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592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593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594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643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644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645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646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t>
  </si>
  <si>
    <t>At the end of cycle 490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539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540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541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542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543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592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593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
At the end of cycle 594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643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644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645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646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t>
  </si>
  <si>
    <t>At cycle 490
DPV send ‘No Message’ to CAN Bus Builder by setting Network Manager Control Message to ‘DPV_NMT_NO_MSG_E’ for 50 cycles.
At cycle 539
DPV send ‘No Message’ to CAN Bus Builder by setting Network Manager Control Message to ‘DPV_NMT_NO_MSG_E’ for 50 cycles.
At cycle 540
DPV Proxy performs "DPV Configuration Validation" process.Damper Position and Velocity Sensor State is 'Non-Operational', the DPV Proxy send 'Pre-Operational' command to the CAN Bus Builder by setting Network Manager Control Message to ‘DPV_NMT_PRE_OPER_MSG_E’.
At cycle 541
DPV Proxy send 'Configuration' command, to the CAN Bus Builder by setting Network Manager Control Message to ‘DPV_NMT_CONFIG_MSG_E’.
At cycle 542
DPV Proxy send 'Operation' command to the CAN Bus Builder by setting Network Manager Control Message to ‘DPV_NMT_OPER_MSG_E’.
At cycle 543
DPV send ‘No Message’ to CAN Bus Builder by setting Network Manager Control Message to ‘DPV_NMT_NO_MSG_E’ for 50 cycles.
At cycle 592
DPV send ‘No Message’ to CAN Bus Builder by setting Network Manager Control Message to ‘DPV_NMT_NO_MSG_E’ for 50 cycles.
At cycle 593
Non operational counter is incremented by 1.
DPV failure mode is set to false.Sending RESET command to CAN bus.
At cycle 594
DPV send ‘No Message’ to CAN Bus Builder by setting Network Manager Control Message to ‘DPV_NMT_NO_MSG_E’ for 50 cycles.
At cycle 643
DPV send ‘No Message’ to CAN Bus Builder by setting Network Manager Control Message to ‘DPV_NMT_NO_MSG_E’ for 50 cycles.
At cycle 644
DPV Proxy performs "DPV Configuration Validation" process.Damper Position and Velocity Sensor State is 'Non-Operational', the DPV Proxy send 'Pre-Operational' command to the CAN Bus Builder by setting Network Manager Control Message to ‘DPV_NMT_PRE_OPER_MSG_E’.
At cycle 645
DPV Proxy send 'Configuration' command, to the CAN Bus Builder by setting Network Manager Control Message to ‘DPV_NMT_CONFIG_MSG_E’.
At cycle 646
DPV Proxy send 'Operation' command to the CAN Bus Builder by setting Network Manager Control Message to ‘DPV_NMT_OPER_MSG_E’.</t>
  </si>
  <si>
    <t>At cycle 647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696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697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698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747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748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749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750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751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800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801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802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851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t>
  </si>
  <si>
    <t>At the end of cycle 647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696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697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
At the end of cycle 698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747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748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749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750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751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800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801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
At the end of cycle 802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851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t>
  </si>
  <si>
    <t>At cycle 647
DPV send ‘No Message’ to CAN Bus Builder by setting Network Manager Control Message to ‘DPV_NMT_NO_MSG_E’ for 50 cycles.
At cycle 696
DPV send ‘No Message’ to CAN Bus Builder by setting Network Manager Control Message to ‘DPV_NMT_NO_MSG_E’ for 50 cycles.
At cycle 697
Non operational counter is incremented by 1.
DPV failure mode is set to false.Sending RESET command to CAN bus.
At cycle 698
DPV send ‘No Message’ to CAN Bus Builder by setting Network Manager Control Message to ‘DPV_NMT_NO_MSG_E’ for 50 cycles.
At cycle 747
DPV send ‘No Message’ to CAN Bus Builder by setting Network Manager Control Message to ‘DPV_NMT_NO_MSG_E’ for 50 cycles.
At cycle 748
DPV Proxy performs "DPV Configuration Validation" process.Damper Position and Velocity Sensor State is 'Non-Operational', the DPV Proxy send 'Pre-Operational' command to the CAN Bus Builder by setting Network Manager Control Message to ‘DPV_NMT_PRE_OPER_MSG_E’.
At cycle 749
DPV Proxy send 'Configuration' command, to the CAN Bus Builder by setting Network Manager Control Message to ‘DPV_NMT_CONFIG_MSG_E’.
At cycle 750
DPV Proxy send 'Operation' command to the CAN Bus Builder by setting Network Manager Control Message to ‘DPV_NMT_OPER_MSG_E’.
At cycle 751
DPV send ‘No Message’ to CAN Bus Builder by setting Network Manager Control Message to ‘DPV_NMT_NO_MSG_E’ for 50 cycles.
At cycle 800
DPV send ‘No Message’ to CAN Bus Builder by setting Network Manager Control Message to ‘DPV_NMT_NO_MSG_E’ for 50 cycles.
At cycle 801
Non operational counter is incremented by 1.
DPV failure mode is set to false.Sending RESET command to CAN bus.
At cycle 802
DPV send ‘No Message’ to CAN Bus Builder by setting Network Manager Control Message to ‘DPV_NMT_NO_MSG_E’ for 50 cycles.
At cycle 851
DPV send ‘No Message’ to CAN Bus Builder by setting Network Manager Control Message to ‘DPV_NMT_NO_MSG_E’ for 50 cycles.</t>
  </si>
  <si>
    <t>At cycle 852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853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854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855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904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905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906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955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956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957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958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959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1008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t>
  </si>
  <si>
    <t>At the end of cycle 852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853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854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855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904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905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
At the end of cycle 906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955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956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957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958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959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1008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t>
  </si>
  <si>
    <t>At cycle 852
DPV Proxy performs "DPV Configuration Validation" process.Damper Position and Velocity Sensor State is 'Non-Operational', the DPV Proxy send 'Pre-Operational' command to the CAN Bus Builder by setting Network Manager Control Message to ‘DPV_NMT_PRE_OPER_MSG_E’.
At cycle 853
DPV Proxy send 'Configuration' command, to the CAN Bus Builder by setting Network Manager Control Message to ‘DPV_NMT_CONFIG_MSG_E’.
At cycle 854
DPV Proxy send 'Operation' command to the CAN Bus Builder by setting Network Manager Control Message to ‘DPV_NMT_OPER_MSG_E’.
At cycle 855
DPV send ‘No Message’ to CAN Bus Builder by setting Network Manager Control Message to ‘DPV_NMT_NO_MSG_E’ for 50 cycles.
At cycle 904
DPV send ‘No Message’ to CAN Bus Builder by setting Network Manager Control Message to ‘DPV_NMT_NO_MSG_E’ for 50 cycles.
At cycle 905
Non operational counter is incremented by 1.
DPV failure mode is set to false.Sending RESET command to CAN bus.
At cycle 906
DPV send ‘No Message’ to CAN Bus Builder by setting Network Manager Control Message to ‘DPV_NMT_NO_MSG_E’ for 50 cycles.
At cycle 955
DPV send ‘No Message’ to CAN Bus Builder by setting Network Manager Control Message to ‘DPV_NMT_NO_MSG_E’ for 50 cycles.
At cycle 956
DPV Proxy performs "DPV Configuration Validation" process.Damper Position and Velocity Sensor State is 'Non-Operational', the DPV Proxy send 'Pre-Operational' command to the CAN Bus Builder by setting Network Manager Control Message to ‘DPV_NMT_PRE_OPER_MSG_E’.
At cycle 957
DPV Proxy send 'Configuration' command, to the CAN Bus Builder by setting Network Manager Control Message to ‘DPV_NMT_CONFIG_MSG_E’.
At cycle 958
DPV Proxy send 'Operation' command to the CAN Bus Builder by setting Network Manager Control Message to ‘DPV_NMT_OPER_MSG_E’.
At cycle 959
DPV send ‘No Message’ to CAN Bus Builder by setting Network Manager Control Message to ‘DPV_NMT_NO_MSG_E’ for 50 cycles.
At cycle 1008
DPV send ‘No Message’ to CAN Bus Builder by setting Network Manager Control Message to ‘DPV_NMT_NO_MSG_E’ for 50 cycles.</t>
  </si>
  <si>
    <t>At cycle 1009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1010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1059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1060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1061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1062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1063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1112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1113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1114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At cycle 1163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t>
  </si>
  <si>
    <t>At the end of cycle 1009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
At the end of cycle 1010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1059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1060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1061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1062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1063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1112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1113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DPV_NMT_RESET_MSG_E
At the end of cycle 1114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At the end of cycle 1163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t>
  </si>
  <si>
    <t>At cycle 1009
Non operational counter is incremented by 1.
DPV failure mode is set to false.Sending RESET command to CAN bus.
At cycle 1010
DPV send ‘No Message’ to CAN Bus Builder by setting Network Manager Control Message to ‘DPV_NMT_NO_MSG_E’ for 50 cycles.
At cycle 1059
DPV send ‘No Message’ to CAN Bus Builder by setting Network Manager Control Message to ‘DPV_NMT_NO_MSG_E’ for 50 cycles.
At cycle 1060
DPV Proxy performs "DPV Configuration Validation" process.Damper Position and Velocity Sensor State is 'Non-Operational', the DPV Proxy send 'Pre-Operational' command to the CAN Bus Builder by setting Network Manager Control Message to ‘DPV_NMT_PRE_OPER_MSG_E’.
At cycle 1061
DPV Proxy send 'Configuration' command, to the CAN Bus Builder by setting Network Manager Control Message to ‘DPV_NMT_CONFIG_MSG_E’.
At cycle 1062
DPV Proxy send 'Operation' command to the CAN Bus Builder by setting Network Manager Control Message to ‘DPV_NMT_OPER_MSG_E’.
At cycle 1063
DPV send ‘No Message’ to CAN Bus Builder by setting Network Manager Control Message to ‘DPV_NMT_NO_MSG_E’ for 50 cycles.
At cycle 1112
DPV send ‘No Message’ to CAN Bus Builder by setting Network Manager Control Message to ‘DPV_NMT_NO_MSG_E’ for 50 cycles.
At cycle 1113
Non operational counter is incremented by 1.
DPV failure mode is set to false.Sending RESET command to CAN bus.
At cycle 1114
DPV send ‘No Message’ to CAN Bus Builder by setting Network Manager Control Message to ‘DPV_NMT_NO_MSG_E’ for 50 cycles.
At cycle 1163
DPV send ‘No Message’ to CAN Bus Builder by setting Network Manager Control Message to ‘DPV_NMT_NO_MSG_E’ for 50 cycles.</t>
  </si>
  <si>
    <t xml:space="preserve">At cycle 1164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1165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1166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1167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1216 For 1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0
Set dpvp_enum_controllerError to 0
Set dpvd_enum_damperTemperatureErr to 0
Set dpvd_enum_damperValidSRDOErr to 1
At cycle 1217 For 1 cycles
Set dpvd_num_positionErrorCode to Not received
Set dpvd_num_positionErrorRegister to Not received
Set dpvd_y_damperPosition_mm to Not received
Set dpvd_vel_damperVelocity_mmps to Not received
Set dpvd_enum_posSensorNormalRun to Not received
Set dpvd_enum_damperStartUp to Not received
Set dpvd_enum_magnetError to Not received
Set dpvd_enum_damperRangeError to Not received
Set dpvd_enum_dataFlashError to Not received
Set dpvp_enum_controllerError to Not received
Set dpvd_enum_damperTemperatureErr to Not received
Set dpvd_enum_damperValidSRDOErr to Not received
At cycle 1218 For 49 cycles
Set dpvd_num_positionErrorCode to DPV_ERROR_RESET_OR_NO_ERROR_E
Set dpvd_num_positionErrorRegister to DPV_REGISTER_NO_ERROR_E
Set dpvd_y_damperPosition_mm to 256
Set dpvd_vel_damperVelocity_mmps to 222
Set dpvd_enum_posSensorNormalRun to 0
Set dpvd_enum_damperStartUp to 0
Set dpvd_enum_magnetError to 0
Set dpvd_enum_damperRangeError to 0
Set dpvd_enum_dataFlashError to 1
Set dpvp_enum_controllerError to 0
Set dpvd_enum_damperTemperatureErr to 0
Set dpvd_enum_damperValidSRDOErr to 0
</t>
  </si>
  <si>
    <t xml:space="preserve">At the end of cycle 1164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DPV_NMT_PRE_OPER_MSG_E
At the end of cycle 1165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DPV_NMT_CONFIG_MSG_E
At the end of cycle 1166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DPV_NMT_OPER_MSG_E
At the end of cycle 1167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1216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0
Verify dpvpd_flg_activeErrors is 1
Verify dpvpd_enum_nmtCtrlMsg is DPV_NMT_NO_MSG_E
At the end of cycle 1217
Verify dpvpd_y_dmpPosition_mm is 700
Verify dpvpd_vel_dmpVelocity_mmps is 560
Verify dpvpd_enum_dmpPosAndVelValid  is INVALID
Verify dpvpd_enum_dmpPVSensorState is DPV_NON_OPERATIONAL_E
Verify dpvd_enum_posSensorNormalRun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dpvpd_flg_dpvFailMode is 1
Verify dpvpd_flg_activeErrors is 1
Verify dpvpd_enum_nmtCtrlMsg is DPV_NMT_RESET_MSG_E
At the end of cycle 1218
Verify dpvpd_y_dmpPosition_mm is 700
Verify dpvpd_vel_dmpVelocity_mmps is 560
Verify dpvpd_enum_dmpPosAndVelValid  is INVALID
Verify dpvpd_enum_dmpPVSensorState is DPV_NON_OPERATIONAL_E
Verify dpvd_enum_posSensorNormalRun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dpvpd_flg_dpvFailMode is 0
Verify dpvpd_flg_activeErrors is 1
Verify dpvpd_enum_nmtCtrlMsg is DPV_NMT_NO_MSG_E
</t>
  </si>
  <si>
    <t>At cycle 1164
DPV Proxy performs "DPV Configuration Validation" process.Damper Position and Velocity Sensor State is 'Non-Operational', the DPV Proxy send 'Pre-Operational' command to the CAN Bus Builder by setting Network Manager Control Message to ‘DPV_NMT_PRE_OPER_MSG_E’.
At cycle 1165
DPV Proxy send 'Configuration' command, to the CAN Bus Builder by setting Network Manager Control Message to ‘DPV_NMT_CONFIG_MSG_E’.
At cycle 1166
DPV Proxy send 'Operation' command to the CAN Bus Builder by setting Network Manager Control Message to ‘DPV_NMT_OPER_MSG_E’.
At cycle 1167
DPV send ‘No Message’ to CAN Bus Builder by setting Network Manager Control Message to ‘DPV_NMT_NO_MSG_E’ for 50 cycles.
At cycle 1216
DPV send ‘No Message’ to CAN Bus Builder by setting Network Manager Control Message to ‘DPV_NMT_NO_MSG_E’ for 50 cycles.
At cycle 1217
Non operational counter is incremented by 1.
DPV failure mode is set to false.Sending RESET command to CAN bus.
At cycle 1218
DPV send ‘No Message’ to CAN Bus Builder by setting Network Manager Control Message to ‘DPV_NMT_NO_MSG_E’ for 50 cycles.
At cycle 1267
DPV send ‘No Message’ to CAN Bus Builder by setting Network Manager Control Message to ‘DPV_NMT_NO_MSG_E’ for 50 cycles.</t>
  </si>
  <si>
    <t>Start Directory: "ACS\acsManager\acsCanBusMngr" 
1. Open 'acsCanBusMngr.c'. Put a break point following a function call 'acsDpvProxySetRaw'(Break point1)
        a. Send DPV_DAMPER_POSITION_EMCY message from SIL as per Appendix 5.8, check the message ID.
        b. Send DPV_DAMPER_STROKE_VELOCITY message from SIL as per Appendix 5.8, check the message ID.</t>
  </si>
  <si>
    <t>1. Whenever 'Break point1' is hit, verify 
that
a. the 'msgId' for DPV_DAMPER_POSITION_EMCY set to C0.
b. the 'msgId' for DPV_DAMPER_STROKE_VELOCITY set to 17F.</t>
  </si>
  <si>
    <t>1. Open file 'acsDpvProxy.c' in ACS\acsProxy\acsDpvProxy
2. During initialization of DPV proxy, check the DPV validity &amp; DPV sensor state by putting a brake point at "mr_asymD_deb_noninit_initialize(&amp;dpvRtdw);" in acsDpvProxyInit.</t>
  </si>
  <si>
    <t xml:space="preserve">When break point is hit, verify that the value of "dpvpd_enum_dmpPosAndVelValid" set to 'DPV_INVALID_E' and "dpvpd_enum_dmpPVSensorState" set to 'DPV_NON_OPERATIONAL_E' respectively.
</t>
  </si>
  <si>
    <t>TXB-HLC-TC_1693
TXB-HLC-TC_1695</t>
  </si>
  <si>
    <t>1. Open file 'acsDpvProxy.c' in ACS\acsProxy\acsDpvProxy
2. During initialization of DPV proxy, check the leaky bucket counter value by putting a brake point at "DPV_DAMPER_POSITION_EMCY_INIT(&amp;Phs_dpv_damper_position_emcy);" in acsDpvProxyInit.</t>
  </si>
  <si>
    <t xml:space="preserve">When break point is hit, verify that the value of 'dpvRtdw' set to 0.
</t>
  </si>
  <si>
    <t>Start Directory: HLC Code Files\ACS\acsProxy\acsDpvProxy
1.Open file acsDpvProxy.c
2. Check the variables dpvpc_tm_incrmntDecrmnt_ms, dpvpc_y_dmpPositionOffset_mm, dpvpc_num_operationalCycleDelay, dpvpc_num_resetCycleDelay &amp; dpvpc_tm_maxDelay_ms.</t>
  </si>
  <si>
    <t xml:space="preserve">Start Directory: HLC Code Files\BSW\bswCommon\bswScheduler
1.Execute procedure 10_ms_Time_Test
2.Open  file bswScheduler.c
3.Open file taxibotMain.c in HLC Code Files\BSW\bswCommon\bswScheduler\
4.Open file acsDispatcher.c in ACS\acsCommon\acsDispatcher\
5.Open file acsDpvProxy.c in ACS\acsProxy\acsDpvProxy\
</t>
  </si>
  <si>
    <t>The Taxibot scheduler applicationTask1() is executed every 10ms and it is proved as per the test Procedure 10_msec_Timing_Analysis_Test_Procedure
1.Verify that in function applicationTask1(), taxibotMainCyclic10() is called. (to invoke all the 10ms tasks.)
2.Verify that function taxibotMainCyclic10() calls acsDispatcherIn10().
3.Verify that in function acsDispatcherIn10(), function acsDpvProxy10In() is called. (for DPV processing.)
4.Verify that in function acsDpvProxy10In(), the following functions to process DPV is called :
acsDpvProxyHandlMessages()
acsDpvProxySetGlobal()
dpvStateSet()
dpvStateAction()
If all the above is true, it proves that VLP proxy is processed every 10ms.</t>
  </si>
  <si>
    <t>Start Directory: HLC Code Files\ACS\acsProxy\acsVlProxy
1.Open file acsVlProxy.c
2. Check the parameters used in the function call "mr_asymD_deb_noninit" for the leaky bucket algorithm</t>
  </si>
  <si>
    <t xml:space="preserve">1.Verify that the function call "mr_asymD_deb_noninit" will use the parameter 'dpvpc_tm_incrmntDecrmnt_ms' for Increment and Decrement value and 'dpvpc_tm_maxDelay_ms' for Threshold.
</t>
  </si>
  <si>
    <t xml:space="preserve">Verify that
 structure member 'dpvpd_y_dmpPosition_mm' &amp; 'dpvpd_vel_dmpVelocity_mmps' of type 'float'.
</t>
  </si>
  <si>
    <t>TXB-HLC-TC_1688
TXB-HLC-TC_3930</t>
  </si>
  <si>
    <t>Verify that
1. stucture member 'dpvpd_enum_dpvFailMode' of enum type 'enumDpvFailMode' and also
          Verify that 'enumDpvFailMode' has following members.
                       DPV_MODE_NO_FAIL_E
                       DPV_MODE_FAIL_E
2. structure member 'dpvpd_enum_activeErrors' of enum type 'enumDpvActiveError' and also
         Verify that 'enumDpvActiveError' has following members.
                       DPV_ACTIVE_NO_ERROR_E
                       DPV_ACTIVE_ERROR_E</t>
  </si>
  <si>
    <t>Setup step for making a system to a known state.
At cycle 1 For 10 cycles
Set dpvd_enum_positionErrorCode to DPV_ERROR_RESET_OR_NO_ERROR_E
Set dpvd_enum_positionErrorRegister to DPV_REGISTER_NO_ERROR_E
Set dpvd_y_damperPosition_mm to 100
Set dpvd_vel_damperVelocity_mmps to 100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 For 1 cycles
Set dpvd_enum_positionErrorCode to DPV_ERROR_RESET_OR_NO_ERROR_E
Set dpvd_enum_positionErrorRegister to DPV_REGISTER_NO_ERROR_E
Set dpvd_y_damperPosition_mm to 30
Set dpvd_vel_damperVelocity_mmps to 250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 For 1 cycles
Set dpvd_enum_positionErrorCode to DPV_ERROR_RESET_OR_NO_ERROR_E
Set dpvd_enum_positionErrorRegister to DPV_REGISTER_NO_ERROR_E
Set dpvd_y_damperPosition_mm to 0
Set dpvd_vel_damperVelocity_mmps to 225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 For 1 cycles
Set dpvd_enum_positionErrorCode to DPV_ERROR_RESET_OR_NO_ERROR_E
Set dpvd_enum_positionErrorRegister to DPV_REGISTER_NO_ERROR_E
Set dpvd_y_damperPosition_mm to 300
Set dpvd_vel_damperVelocity_mmps to -250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6 For 1 cycles
Set dpvd_enum_positionErrorCode to DPV_ERROR_RESET_OR_NO_ERROR_E
Set dpvd_enum_positionErrorRegister to DPV_REGISTER_NO_ERROR_E
Set dpvd_y_damperPosition_mm to 590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7 For 1 cycles
Set dpvd_enum_positionErrorCode to DPV_ERROR_RESET_OR_NO_ERROR_E
Set dpvd_enum_positionErrorRegister to DPV_REGISTER_NO_ERROR_E
Set dpvd_y_damperPosition_mm to 450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</si>
  <si>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TXB-HLC-TC_3935
TXB-HLC-TC_1737
TXB-HLC-TC_1690
TXB-HLC-TC_3934</t>
  </si>
  <si>
    <t>TXB-HLC-TC_1699
TXB-HLC-TC_3601
TXB-HLC-TC_3926
TXB-HLC-TC_3927</t>
  </si>
  <si>
    <t>DPV_DAMPER_STROKE_VELOCITY message Not-Rx followed by increment condition.
Threshold reached.Transition from valid to invalid.</t>
  </si>
  <si>
    <t>At cycle 1 For 0 cycles
Set dpvd_enum_positionErrorCode to DPV_ERROR_RESET_OR_NO_ERROR_E
Set dpvd_enum_positionErrorRegister to DPV_REGISTER_NO_ERROR_E
Set dpvd_y_damperPosition_mm to 100
Set dpvd_vel_damperVelocity_mmps to 100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 For 1 cycles
Set dpvd_enum_positionErrorCode to DPV_ERROR_RESET_OR_NO_ERROR_E
Set dpvd_enum_positionErrorRegister to DPV_REGISTER_NO_ERROR_E
Set dpvd_y_damperPosition_mm to 30
Set dpvd_vel_damperVelocity_mmps to 250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 For 1 cycles
Set dpvd_enum_positionErrorCode to DPV_ERROR_RESET_OR_NO_ERROR_E
Set dpvd_enum_positionErrorRegister to DPV_REGISTER_NO_ERROR_E
Set dpvd_y_damperPosition_mm to 0
Set dpvd_vel_damperVelocity_mmps to 225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 For 1 cycles
Set dpvd_enum_positionErrorCode to DPV_ERROR_RESET_OR_NO_ERROR_E
Set dpvd_enum_positionErrorRegister to DPV_REGISTER_NO_ERROR_E
Set dpvd_y_damperPosition_mm to 300
Set dpvd_vel_damperVelocity_mmps to -250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6 For 1 cycles
Set dpvd_enum_positionErrorCode to DPV_ERROR_RESET_OR_NO_ERROR_E
Set dpvd_enum_positionErrorRegister to DPV_REGISTER_NO_ERROR_E
Set dpvd_y_damperPosition_mm to 590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7 For 1 cycles
Set dpvd_enum_positionErrorCode to DPV_ERROR_RESET_OR_NO_ERROR_E
Set dpvd_enum_positionErrorRegister to DPV_REGISTER_NO_ERROR_E
Set dpvd_y_damperPosition_mm to 450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</si>
  <si>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cycle 8 For 1 cycles
Set dpvd_enum_positionErrorCode to Not Received
Set dpvd_enum_positionErrorRegister to Not Received
Set dpvd_y_damperPosition_mm to 250
Set dpvd_vel_damperVelocity_mmps to 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9 For 1 cycles
Set dpvd_enum_positionErrorCode to DPV_DEVICE_HARDWARE_E
Set dpvd_enum_positionErrorRegister to DPV_REGISTER_NO_ERROR_E
Set dpvd_y_damperPosition_mm to 333
Set dpvd_vel_damperVelocity_mmps to -123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10 For 1 cycles
Set dpvd_enum_positionErrorCode to DPV_ERROR_RESET_OR_NO_ERROR_E
Set dpvd_enum_positionErrorRegister to DPV_REGISTER_NO_ERROR_E
Set dpvd_y_damperPosition_mm to 555
Set dpvd_vel_damperVelocity_mmps to -249
Set dpvd_enum_posSensorNormalRun to 1
Set dpvd_enum_damperStartUpErr to 1
Set dpvd_enum_magnetError to 0
Set dpvd_enum_damperRangeError to 0
Set dpvd_enum_dataFlashError to 0
Set dpvd_enum_controllerError to 0
Set dpvd_enum_damperTemperatureErr to 0
Set dpvd_enum_damperValidSRDOErr to 0
At cycle 11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12 For 1 cycles
Set dpvd_enum_positionErrorCode to DPV_ERROR_RESET_OR_NO_ERROR_E
Set dpvd_enum_positionErrorRegister to DPV_REGISTER_NO_ERROR_E
Set dpvd_y_damperPosition_mm to 350
Set dpvd_vel_damperVelocity_mmps to 125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13 For 1 cycles
Set dpvd_enum_positionErrorCode to DPV_ERROR_RESET_OR_NO_ERROR_E
Set dpvd_enum_positionErrorRegister to DPV_REGISTER_NO_ERROR_E
Set dpvd_y_damperPosition_mm to 456
Set dpvd_vel_damperVelocity_mmps to 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14 For 1 cycles
Set dpvd_enum_positionErrorCode to DPV_ERROR_RESET_OR_NO_ERROR_E
Set dpvd_enum_positionErrorRegister to DPV_REGISTER_NO_ERROR_E
Set dpvd_y_damperPosition_mm to 333
Set dpvd_vel_damperVelocity_mmps to 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</si>
  <si>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cycle 15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1
Set dpvd_enum_damperRangeError to 0
Set dpvd_enum_dataFlashError to 0
Set dpvd_enum_controllerError to 0
Set dpvd_enum_damperTemperatureErr to 0
Set dpvd_enum_damperValidSRDOErr to 0
At cycle 16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0
Set dpvd_enum_damperRangeError to 1
Set dpvd_enum_dataFlashError to 0
Set dpvd_enum_controllerError to 0
Set dpvd_enum_damperTemperatureErr to 0
Set dpvd_enum_damperValidSRDOErr to 0
At cycle 17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0
Set dpvd_enum_damperRangeError to 0
Set dpvd_enum_dataFlashError to 1
Set dpvd_enum_controllerError to 0
Set dpvd_enum_damperTemperatureErr to 0
Set dpvd_enum_damperValidSRDOErr to 0
At cycle 18 For 1 cycles
Set dpvd_enum_positionErrorCode to DPV_ERROR_RESET_OR_NO_ERROR_E
Set dpvd_enum_positionErrorRegister to DPV_REGISTER_NO_ERROR_E
Set dpvd_y_damperPosition_mm to 500
Set dpvd_vel_damperVelocity_mmps to 155
Set dpvd_enum_posSensorNormalRun to 1
Set dpvd_enum_damperStartUpErr to 0
Set dpvd_enum_magnetError to 0
Set dpvd_enum_damperRangeError to 0
Set dpvd_enum_dataFlashError to 0
Set dpvd_enum_controllerError to 1
Set dpvd_enum_damperTemperatureErr to 0
Set dpvd_enum_damperValidSRDOErr to 0
At cycle 19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22 For 4 cycles
Set dpvd_enum_positionErrorCode to DPV_ERROR_RESET_OR_NO_ERROR_E
Set dpvd_enum_positionErrorRegister to DPV_REGISTER_NO_ERROR_E
Set dpvd_y_damperPosition_mm to 302
Set dpvd_vel_damperVelocity_mmps to 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26 For 1 cycles
Set dpvd_enum_positionErrorCode to DPV_ERROR_RESET_OR_NO_ERROR_E
Set dpvd_enum_positionErrorRegister to DPV_REGISTER_NO_ERROR_E
Set dpvd_y_damperPosition_mm to 302
Set dpvd_vel_damperVelocity_mmps to 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</si>
  <si>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the end of cycle 15
Verify dpvpd_y_dmpPosition_mm is 303
Verify dpvpd_vel_dmpVelocity_mmps is 235
Verify dpvpd_enum_dmpPosAndVelValid  is VALID
Verify dpvpd_enum_dmpPVSensorState is DPV_OPERATIONAL_E
Verify dpvpd_enum_posSensorNormalRun is 1
Verify dpvpd_enum_damperStartUp is 0
Verify dpvpd_enum_magnetError is 1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16
Verify dpvpd_y_dmpPosition_mm is 303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1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17
Verify dpvpd_y_dmpPosition_mm is 303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18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19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20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21
Verify dpvpd_y_dmpPosition_mm is 303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22
Verify dpvpd_y_dmpPosition_mm is 272
Verify dpvpd_vel_dmpVelocity_mmps is 3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26
Verify dpvpd_y_dmpPosition_mm is 272
Verify dpvpd_vel_dmpVelocity_mmps is 3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t>
  </si>
  <si>
    <t>At cycle 27 For 1 cycles
Set dpvd_enum_positionErrorCode to DPV_ERROR_RESET_OR_NO_ERROR_E
Set dpvd_enum_positionErrorRegister to DPV_REGISTER_NO_ERROR_E
Set dpvd_y_damperPosition_mm to 303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28 For 1 cycles
Set dpvd_enum_positionErrorCode to DPV_ERROR_RESET_OR_NO_ERROR_E
Set dpvd_enum_positionErrorRegister to DPV_REGISTER_NO_ERROR_E
Set dpvd_y_damperPosition_mm to 304
Set dpvd_vel_damperVelocity_mmps to 2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29 For 1 cycles
Set dpvd_enum_positionErrorCode to DPV_ERROR_RESET_OR_NO_ERROR_E
Set dpvd_enum_positionErrorRegister to DPV_REGISTER_NO_ERROR_E
Set dpvd_y_damperPosition_mm to 0
Set dpvd_vel_damperVelocity_mmps to 5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30 For 1 cycles
Set dpvd_enum_positionErrorCode to DPV_ERROR_RESET_OR_NO_ERROR_E
Set dpvd_enum_positionErrorRegister to DPV_REGISTER_NO_ERROR_E
Set dpvd_y_damperPosition_mm to 304
Set dpvd_vel_damperVelocity_mmps to 8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31 For 1 cycles
Set dpvd_enum_positionErrorCode to DPV_ERROR_RESET_OR_NO_ERROR_E
Set dpvd_enum_positionErrorRegister to DPV_REGISTER_NO_ERROR_E
Set dpvd_y_damperPosition_mm to 304
Set dpvd_vel_damperVelocity_mmps to 11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32 For 1 cycles
Set dpvd_enum_positionErrorCode to DPV_ERROR_RESET_OR_NO_ERROR_E
Set dpvd_enum_positionErrorRegister to DPV_REGISTER_NO_ERROR_E
Set dpvd_y_damperPosition_mm to 304
Set dpvd_vel_damperVelocity_mmps to 14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</si>
  <si>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cycle 33 For 1 cycles
Set dpvd_enum_positionErrorCode to DPV_ERROR_RESET_OR_NO_ERROR_E
Set dpvd_enum_positionErrorRegister to DPV_REGISTER_NO_ERROR_E
Set dpvd_y_damperPosition_mm to 206
Set dpvd_vel_damperVelocity_mmps to -156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34 For 1 cycles
Set dpvd_enum_positionErrorCode to DPV_ERROR_RESET_OR_NO_ERROR_E
Set dpvd_enum_positionErrorRegister to DPV_DATA_SET_ERROR_E
Set dpvd_y_damperPosition_mm to 1
Set dpvd_vel_damperVelocity_mmps to -143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35 For 1 cycles
Set dpvd_enum_positionErrorCode to DPV_ERROR_RESET_OR_NO_ERROR_E
Set dpvd_enum_positionErrorRegister to DPV_DEVICE_HW_AND_OR_DATA_SET_E
Set dpvd_y_damperPosition_mm to 600
Set dpvd_vel_damperVelocity_mmps to 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36 For 1 cycles
Set dpvd_enum_positionErrorCode to DPV_ERROR_RESET_OR_NO_ERROR_E
Set dpvd_enum_positionErrorRegister to DPV_REGISTER_NO_ERROR_E
Set dpvd_y_damperPosition_mm to 606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37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40 For 5 cycles
Set dpvd_enum_positionErrorCode to DPV_ERROR_RESET_OR_NO_ERROR_E
Set dpvd_enum_positionErrorRegister to DPV_REGISTER_NO_ERROR_E
Set dpvd_y_damperPosition_mm to 429496729.5
Set dpvd_vel_damperVelocity_mmps to 30
Set dpvd_enum_posSensorNormalRun to 1
Set dpvd_enum_damperStartUpErr to 0
Set dpvd_enum_magnetError to 0
Set dpvd_enum_damperRangeError to 0
Set dpvd_enum_dataFlashError to 0
Set dpvd_enum_controllerError to 0
Set dpvd_enum_damperTemperatureErr to 1
Set dpvd_enum_damperValidSRDOErr to 0</t>
  </si>
  <si>
    <t>At the end of cycle 33
Verify dpvpd_y_dmpPosition_mm is 176
Verify dpvpd_vel_dmpVelocity_mmps is -156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34
Verify dpvpd_y_dmpPosition_mm is 176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DPV_DATA_SET_ERROR_E
Verify dpvpd_enum_dpvFailMode is 0
Verify dpvpd_enum_activeErrors is 1
Verify dpvpd_enum_nmtCtrlMsg is 0
At the end of cycle 35
Verify dpvpd_y_dmpPosition_mm is 176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DPV_DEVICE_HW_AND_OR_DATA_SET_E
Verify dpvpd_enum_dpvFailMode is 0
Verify dpvpd_enum_activeErrors is 1
Verify dpvpd_enum_nmtCtrlMsg is 0
At the end of cycle 36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37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DPV_NMT_PRE_OPER_MSG_E
At the end of cycle 38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DPV_NMT_CONFIG_MSG_E
At the end of cycle 39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DPV_NMT_OPER_MSG_E
At the end of cycle 40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t>
  </si>
  <si>
    <t>At cycle 45 For 1 cycles
Set dpvd_enum_positionErrorCode to DPV_ERROR_RESET_OR_NO_ERROR_E
Set dpvd_enum_positionErrorRegister to DPV_REGISTER_NO_ERROR_E
Set dpvd_y_damperPosition_mm to 200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1
At cycle 46 For 1 cycles
Set dpvd_enum_positionErrorCode to DPV_ERROR_RESET_OR_NO_ERROR_E
Set dpvd_enum_positionErrorRegister to DPV_REGISTER_NO_ERROR_E
Set dpvd_y_damperPosition_mm to 206
Set dpvd_vel_damperVelocity_mmps to -32768
Set dpvd_enum_posSensorNormalRun to 1
Set dpvd_enum_damperStartUpErr to 0
Set dpvd_enum_magnetError to 0
Set dpvd_enum_damperRangeError to 0
Set dpvd_enum_dataFlashError to 0
Set dpvd_enum_controllerError to 0
Set dpvd_enum_damperTemperatureErr to 1
Set dpvd_enum_damperValidSRDOErr to 0
At cycle 47 For 5 cycles
Set dpvd_enum_positionErrorCode to DPV_ERROR_RESET_OR_NO_ERROR_E
Set dpvd_enum_positionErrorRegister to DPV_REGISTER_NO_ERROR_E
Set dpvd_y_damperPosition_mm to 212
Set dpvd_vel_damperVelocity_mmps to 32767
Set dpvd_enum_posSensorNormalRun to 1
Set dpvd_enum_damperStartUpErr to 0
Set dpvd_enum_magnetError to 0
Set dpvd_enum_damperRangeError to 0
Set dpvd_enum_dataFlashError to 0
Set dpvd_enum_controllerError to 1
Set dpvd_enum_damperTemperatureErr to 0
Set dpvd_enum_damperValidSRDOErr to 0
At cycle 52 For 1 cycles
Set dpvd_enum_positionErrorCode to DPV_ERROR_RESET_OR_NO_ERROR_E
Set dpvd_enum_positionErrorRegister to DPV_REGISTER_NO_ERROR_E
Set dpvd_y_damperPosition_mm to 218
Set dpvd_vel_damperVelocity_mmps to 200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1
At cycle 53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</si>
  <si>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45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46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47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52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53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54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55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DPV_NMT_OPER_MSG_E</t>
  </si>
  <si>
    <t>At cycle 56 For 5 cycles
Set dpvd_enum_positionErrorCode to DPV_DATA_SET_E
Set dpvd_enum_positionErrorRegister to DPV_REGISTER_NO_ERROR_E
Set dpvd_y_damperPosition_mm to 60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61 For 1 cycles
Set dpvd_enum_positionErrorCode to DPV_DATA_SET_E
Set dpvd_enum_positionErrorRegister to DPV_REGISTER_NO_ERROR_E
Set dpvd_y_damperPosition_mm to 60
Set dpvd_vel_damperVelocity_mmps to 251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62 For 1 cycles
Set dpvd_enum_positionErrorCode to DPV_ERROR_RESET_OR_NO_ERROR_E
Set dpvd_enum_positionErrorRegister to DPV_REGISTER_NO_ERROR_E
Set dpvd_y_damperPosition_mm to 66
Set dpvd_vel_damperVelocity_mmps to 56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1
At cycle 63 For 5 cycles
Set dpvd_enum_positionErrorCode to DPV_ERROR_RESET_OR_NO_ERROR_E
Set dpvd_enum_positionErrorRegister to DPV_REGISTER_NO_ERROR_E
Set dpvd_y_damperPosition_mm to 72
Set dpvd_vel_damperVelocity_mmps to 78
Set dpvd_enum_posSensorNormalRun to 1
Set dpvd_enum_damperStartUpErr to 0
Set dpvd_enum_magnetError to 0
Set dpvd_enum_damperRangeError to 0
Set dpvd_enum_dataFlashError to 0
Set dpvd_enum_controllerError to 0
Set dpvd_enum_damperTemperatureErr to 1
Set dpvd_enum_damperValidSRDOErr to 0
At cycle 68 For 1 cycles
Set dpvd_enum_positionErrorCode to DPV_ERROR_RESET_OR_NO_ERROR_E
Set dpvd_enum_positionErrorRegister to DPV_REGISTER_NO_ERROR_E
Set dpvd_y_damperPosition_mm to 78
Set dpvd_vel_damperVelocity_mmps to 100
Set dpvd_enum_posSensorNormalRun to 1
Set dpvd_enum_damperStartUpErr to 0
Set dpvd_enum_magnetError to 0
Set dpvd_enum_damperRangeError to 0
Set dpvd_enum_dataFlashError to 0
Set dpvd_enum_controllerError to 1
Set dpvd_enum_damperTemperatureErr to 0
Set dpvd_enum_damperValidSRDOErr to 0
At cycle 69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</si>
  <si>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56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DPV_DATA_SET_E
Verify dpvpd_enum_positionErrorRegister is DPV_REGISTER_NO_ERROR_E
Verify dpvpd_enum_dpvFailMode is 0
Verify dpvpd_enum_activeErrors is 1
Verify dpvpd_enum_nmtCtrlMsg is DPV_NMT_NO_MSG_E
At the end of cycle 61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DPV_DATA_SET_E
Verify dpvpd_enum_positionErrorRegister is DPV_REGISTER_NO_ERROR_E
Verify dpvpd_enum_dpvFailMode is 0
Verify dpvpd_enum_activeErrors is 1
Verify dpvpd_enum_nmtCtrlMsg is DPV_NMT_NO_MSG_E
At the end of cycle 62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63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68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69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70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</si>
  <si>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71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72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77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78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79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84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85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</si>
  <si>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71
Verify dpvpd_y_dmpPosition_mm is 176
Verify dpvpd_vel_dmpVelocity_mmps is 235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72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77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78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79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84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85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86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</si>
  <si>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87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88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93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94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95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100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101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</si>
  <si>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87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88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93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94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95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100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101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102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</si>
  <si>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103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104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109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110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111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116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117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118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</si>
  <si>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103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104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109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110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111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116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117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118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</si>
  <si>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119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120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125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126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127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132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133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134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</si>
  <si>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119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120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125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126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127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DPV_NMT_RESET_MSG_E
At the end of cycle 132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133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134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</si>
  <si>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135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136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141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142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143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148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149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150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</si>
  <si>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135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136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141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142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143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148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149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150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</si>
  <si>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151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152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157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158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159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164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165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166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</si>
  <si>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151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152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157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158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159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164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165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166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</si>
  <si>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167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168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173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174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175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180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181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182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</si>
  <si>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167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168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173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174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175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180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181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182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t>
  </si>
  <si>
    <t>At cycle 183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184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189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190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191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196 For 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
At cycle 197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</si>
  <si>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183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184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189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190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0
Verify dpvpd_enum_activeErrors is 1
Verify dpvpd_enum_nmtCtrlMsg is DPV_NMT_NO_MSG_E
At the end of cycle 191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196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197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t>
  </si>
  <si>
    <t>At cycle 198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199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200 For 5 cycles
Set dpvd_enum_positionErrorCode to DPV_ERROR_RESET_OR_NO_ERROR_E
Set dpvd_enum_positionErrorRegister to DPV_REGISTER_NO_ERROR_E
Set dpvd_y_damperPosition_mm to 66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205 For 1 cycles
Set dpvd_enum_positionErrorCode to DPV_ERROR_RESET_OR_NO_ERROR_E
Set dpvd_enum_positionErrorRegister to DPV_REGISTER_NO_ERROR_E
Set dpvd_y_damperPosition_mm to 69
Set dpvd_vel_damperVelocity_mmps to 32767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0
At cycle 206 For 1 cycles
Set dpvd_enum_positionErrorCode to DPV_ERROR_RESET_OR_NO_ERROR_E
Set dpvd_enum_positionErrorRegister to DPV_REGISTER_NO_ERROR_E
Set dpvd_y_damperPosition_mm to 72
Set dpvd_vel_damperVelocity_mmps to 56
Set dpvd_enum_posSensorNormalRun to 0
Set dpvd_enum_damperStartUpErr to 0
Set dpvd_enum_magnetError to 0
Set dpvd_enum_damperRangeError to 0
Set dpvd_enum_dataFlashError to 0
Set dpvd_enum_controllerError to 0
Set dpvd_enum_damperTemperatureErr to 0
Set dpvd_enum_damperValidSRDOErr to 1
At cycle 207 For 5 cycles
Set dpvd_enum_positionErrorCode to DPV_ERROR_RESET_OR_NO_ERROR_E
Set dpvd_enum_positionErrorRegister to DPV_REGISTER_NO_ERROR_E
Set dpvd_y_damperPosition_mm to 78
Set dpvd_vel_damperVelocity_mmps to 78
Set dpvd_enum_posSensorNormalRun to 0
Set dpvd_enum_damperStartUpErr to 0
Set dpvd_enum_magnetError to 0
Set dpvd_enum_damperRangeError to 0
Set dpvd_enum_dataFlashError to 0
Set dpvd_enum_controllerError to 0
Set dpvd_enum_damperTemperatureErr to 1
Set dpvd_enum_damperValidSRDOErr to 0
At cycle 212 For -211 cycles
Set dpvd_enum_positionErrorCode to DPV_ERROR_RESET_OR_NO_ERROR_E
Set dpvd_enum_positionErrorRegister to DPV_REGISTER_NO_ERROR_E
Set dpvd_y_damperPosition_mm to 84
Set dpvd_vel_damperVelocity_mmps to 100
Set dpvd_enum_posSensorNormalRun to 0
Set dpvd_enum_damperStartUpErr to 0
Set dpvd_enum_magnetError to 0
Set dpvd_enum_damperRangeError to 0
Set dpvd_enum_dataFlashError to 0
Set dpvd_enum_controllerError to 1
Set dpvd_enum_damperTemperatureErr to 0
Set dpvd_enum_damperValidSRDOErr to 0</t>
  </si>
  <si>
    <t>At the end of cycle 198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199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200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205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206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0
Verify dpvpd_enum_damperValidSRDOErr is 1
Verify dpvpd_enum_positionErrorCode is DPV_ERROR_RESET_OR_NO_ERROR_E
Verify dpvpd_enum_positionErrorRegister is DPV_REGISTER_NO_ERROR_E
Verify dpvpd_enum_dpvFailMode is 1
Verify dpvpd_enum_activeErrors is 1
Verify dpvpd_enum_nmtCtrlMsg is DPV_NMT_NO_MSG_E
At the end of cycle 207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0
Verify dpvpd_enum_damperTemperatureErr is 1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DPV_NMT_RESET_MSG_E
At the end of cycle 212
Verify dpvpd_y_dmpPosition_mm is 176
Verify dpvpd_vel_dmpVelocity_mmps is 235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0
Verify dpvpd_enum_controllerError is 1
Verify dpvpd_enum_damperTemperatureErr is 0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DPV_NMT_NO_MSG_E</t>
  </si>
  <si>
    <t>At cycle 1 For 0 cycles
Set dpvd_enum_positionErrorCode to DPV_ERROR_RESET_OR_NO_ERROR_E
Set dpvd_enum_positionErrorRegister to DPV_REGISTER_NO_ERROR_E
Set dpvd_y_damperPosition_mm to 100
Set dpvd_vel_damperVelocity_mmps to 100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1 For 1 cycles
Set dpvd_enum_positionErrorCode to DPV_ERROR_RESET_OR_NO_ERROR_E
Set dpvd_enum_positionErrorRegister to DPV_REGISTER_NO_ERROR_E
Set dpvd_y_damperPosition_mm to 200
Set dpvd_vel_damperVelocity_mmps to -22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 For 5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 For 4 cycles
Set dpvd_enum_positionErrorCode to DPV_ERROR_RESET_OR_NO_ERROR_E
Set dpvd_enum_positionErrorRegister to DPV_REGISTER_NO_ERROR_E
Set dpvd_y_damperPosition_mm to 200
Set dpvd_vel_damperVelocity_mmps to 1
Set dpvd_enum_posSensorNormalRun to 1
Set dpvd_enum_damperStartUpErr to 1
Set dpvd_enum_magnetError to 0
Set dpvd_enum_damperRangeError to 0
Set dpvd_enum_dataFlashError to 0
Set dpvd_enum_controllerError to 0
Set dpvd_enum_damperTemperatureErr to 0
Set dpvd_enum_damperValidSRDOErr to 0
At cycle 11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12 For 8 cycles
Set dpvd_enum_positionErrorCode to DPV_ERROR_RESET_OR_NO_ERROR_E
Set dpvd_enum_positionErrorRegister to DPV_REGISTER_NO_ERROR_E
Set dpvd_y_damperPosition_mm to 201
Set dpvd_vel_damperVelocity_mmps to -21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20 For 1 cycles
Set dpvd_enum_positionErrorCode to DPV_ERROR_RESET_OR_NO_ERROR_E
Set dpvd_enum_positionErrorRegister to DPV_REGISTER_NO_ERROR_E
Set dpvd_y_damperPosition_mm to 59.9
Set dpvd_vel_damperVelocity_mmps to -21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21 For 1 cycles
Set dpvd_enum_positionErrorCode to DPV_ERROR_RESET_OR_NO_ERROR_E
Set dpvd_enum_positionErrorRegister to DPV_REGISTER_NO_ERROR_E
Set dpvd_y_damperPosition_mm to 256
Set dpvd_vel_damperVelocity_mmps to 222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</si>
  <si>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cycle 22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23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24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25 For 49 cycles
Set dpvd_enum_positionErrorCode to DPV_ERROR_RESET_OR_NO_ERROR_E
Set dpvd_enum_positionErrorRegister to DPV_REGISTER_NO_ERROR_E
Set dpvd_y_damperPosition_mm to 156
Set dpvd_vel_damperVelocity_mmps to 16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74 For 1 cycles
Set dpvd_enum_positionErrorCode to DPV_ERROR_RESET_OR_NO_ERROR_E
Set dpvd_enum_positionErrorRegister to DPV_REGISTER_NO_ERROR_E
Set dpvd_y_damperPosition_mm to 156
Set dpvd_vel_damperVelocity_mmps to 16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75 For 1 cycles
Set dpvd_enum_positionErrorCode to DPV_ERROR_RESET_OR_NO_ERROR_E
Set dpvd_enum_positionErrorRegister to DPV_REGISTER_NO_ERROR_E
Set dpvd_y_damperPosition_mm to 200
Set dpvd_vel_damperVelocity_mmps to 16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76 For 1 cycles
Set dpvd_enum_positionErrorCode to DPV_ERROR_RESET_OR_NO_ERROR_E
Set dpvd_enum_positionErrorRegister to DPV_REGISTER_NO_ERROR_E
Set dpvd_y_damperPosition_mm to 205
Set dpvd_vel_damperVelocity_mmps to 16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t>
  </si>
  <si>
    <t>At the end of cycle 22
Verify dpvpd_y_dmpPosition_mm is 559.9
Verify dpvpd_vel_dmpVelocity_mmps is 560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DPV_NMT_PRE_OPER_MSG_E
At the end of cycle 23
Verify dpvpd_y_dmpPosition_mm is 559.9
Verify dpvpd_vel_dmpVelocity_mmps is 560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DPV_NMT_CONFIG_MSG_E
At the end of cycle 24
Verify dpvpd_y_dmpPosition_mm is 559.9
Verify dpvpd_vel_dmpVelocity_mmps is 560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DPV_NMT_OPER_MSG_E
At the end of cycle 25
Verify dpvpd_y_dmpPosition_mm is 656
Verify dpvpd_vel_dmpVelocity_mmps is 16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74
Verify dpvpd_y_dmpPosition_mm is 656
Verify dpvpd_vel_dmpVelocity_mmps is 16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75
Verify dpvpd_y_dmpPosition_mm is 700
Verify dpvpd_vel_dmpVelocity_mmps is 16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76
Verify dpvpd_y_dmpPosition_mm is 705
Verify dpvpd_vel_dmpVelocity_mmps is 16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t>
  </si>
  <si>
    <t>At cycle 77 For 2 cycles
Set dpvd_enum_positionErrorCode to DPV_ERROR_RESET_OR_NO_ERROR_E
Set dpvd_enum_positionErrorRegister to DPV_REGISTER_NO_ERROR_E
Set dpvd_y_damperPosition_mm to 200
Set dpvd_vel_damperVelocity_mmps to 100
Set dpvd_enum_posSensorNormalRun to 1
Set dpvd_enum_damperStartUpErr to 0
Set dpvd_enum_magnetError to 0
Set dpvd_enum_damperRangeError to 0
Set dpvd_enum_dataFlashError to 0
Set dpvd_enum_controllerError to 0
Set dpvd_enum_damperTemperatureErr to 0
Set dpvd_enum_damperValidSRDOErr to 0
At cycle 79 For 1 cycles
Set dpvd_enum_positionErrorCode to DPV_ERROR_RESET_OR_NO_ERROR_E
Set dpvd_enum_positionErrorRegister to DPV_REGISTER_NO_ERROR_E
Set dpvd_y_damperPosition_mm to 200
Set dpvd_vel_damperVelocity_mmps to 100
Set dpvd_enum_posSensorNormalRun to 1
Set dpvd_enum_damperStartUpErr to 1
Set dpvd_enum_magnetError to 0
Set dpvd_enum_damperRangeError to 0
Set dpvd_enum_dataFlashError to 0
Set dpvd_enum_controllerError to 0
Set dpvd_enum_damperTemperatureErr to 0
Set dpvd_enum_damperValidSRDOErr to 0
At cycle 80 For 2 cycles
Set dpvd_enum_positionErrorCode to Not Received
Set dpvd_enum_positionErrorRegister to Not Received
Set dpvd_y_damperPosition_mm to 201
Set dpvd_vel_damperVelocity_mmps to 78
Set dpvd_enum_posSensorNormalRun to 1
Set dpvd_enum_damperStartUpErr to 0
Set dpvd_enum_magnetError to 0
Set dpvd_enum_damperRangeError to 1
Set dpvd_enum_dataFlashError to 0
Set dpvd_enum_controllerError to 0
Set dpvd_enum_damperTemperatureErr to 0
Set dpvd_enum_damperValidSRDOErr to 0
At cycle 82 For 1 cycles
Set dpvd_enum_positionErrorCode to Not Received
Set dpvd_enum_positionErrorRegister to Not Received
Set dpvd_y_damperPosition_mm to 201
Set dpvd_vel_damperVelocity_mmps to 78
Set dpvd_enum_posSensorNormalRun to 1
Set dpvd_enum_damperStartUpErr to 0
Set dpvd_enum_magnetError to 1
Set dpvd_enum_damperRangeError to 0
Set dpvd_enum_dataFlashError to 0
Set dpvd_enum_controllerError to 0
Set dpvd_enum_damperTemperatureErr to 0
Set dpvd_enum_damperValidSRDOErr to 0
At cycle 83 For 3 cycles
Set dpvd_enum_positionErrorCode to DPV_ERROR_RESET_OR_NO_ERROR_E
Set dpvd_enum_positionErrorRegister to DPV_REGISTER_NO_ERROR_E
Set dpvd_y_damperPosition_mm to 256
Set dpvd_vel_damperVelocity_mmps to 222
Set dpvd_enum_posSensorNormalRun to 1
Set dpvd_enum_damperStartUpErr to 0
Set dpvd_enum_magnetError to 0
Set dpvd_enum_damperRangeError to 0
Set dpvd_enum_dataFlashError to 1
Set dpvd_enum_controllerError to 0
Set dpvd_enum_damperTemperatureErr to 0
Set dpvd_enum_damperValidSRDOErr to 0
At cycle 86 For 1 cycles
Set dpvd_enum_positionErrorCode to DPV_ERROR_RESET_OR_NO_ERROR_E
Set dpvd_enum_positionErrorRegister to DPV_REGISTER_NO_ERROR_E
Set dpvd_y_damperPosition_mm to 256
Set dpvd_vel_damperVelocity_mmps to 222
Set dpvd_enum_posSensorNormalRun to 1
Set dpvd_enum_damperStartUpErr to 0
Set dpvd_enum_magnetError to 0
Set dpvd_enum_damperRangeError to 0
Set dpvd_enum_dataFlashError to 1
Set dpvd_enum_controllerError to 0
Set dpvd_enum_damperTemperatureErr to 0
Set dpvd_enum_damperValidSRDOErr to 0
At cycle 87 For 1 cycles
Set dpvd_enum_positionErrorCode to DPV_ERROR_RESET_OR_NO_ERROR_E
Set dpvd_enum_positionErrorRegister to DPV_REGISTER_NO_ERROR_E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90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91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140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t>
  </si>
  <si>
    <t>At the end of cycle 77
Verify dpvpd_y_dmpPosition_mm is 700
Verify dpvpd_vel_dmpVelocity_mmps is 100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79
Verify dpvpd_y_dmpPosition_mm is 700
Verify dpvpd_vel_dmpVelocity_mmps is 560
Verify dpvpd_enum_dmpPosAndVelValid  is VALID
Verify dpvpd_enum_dmpPVSensorState is DPV_OPERATIONAL_E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80
Verify dpvpd_y_dmpPosition_mm is 700
Verify dpvpd_vel_dmpVelocity_mmps is 560
Verify dpvpd_enum_dmpPosAndVelValid  is VALID
Verify dpvpd_enum_dmpPVSensorState is DPV_OPERATIONAL_E
Verify dpvpd_enum_posSensorNormalRun is 1
Verify dpvpd_enum_damperStartUp is 0
Verify dpvpd_enum_magnetError is 0
Verify dpvpd_enum_damperRangeError is 1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82
Verify dpvpd_y_dmpPosition_mm is 700
Verify dpvpd_vel_dmpVelocity_mmps is 560
Verify dpvpd_enum_dmpPosAndVelValid  is VALID
Verify dpvpd_enum_dmpPVSensorState is DPV_OPERATIONAL_E
Verify dpvpd_enum_posSensorNormalRun is 1
Verify dpvpd_enum_damperStartUp is 0
Verify dpvpd_enum_magnetError is 1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83
Verify dpvpd_y_dmpPosition_mm is 700
Verify dpvpd_vel_dmpVelocity_mmps is 560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86
Verify dpvpd_y_dmpPosition_mm is 700
Verify dpvpd_vel_dmpVelocity_mmps is 560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87
Verify dpvpd_y_dmpPosition_mm is 700
Verify dpvpd_vel_dmpVelocity_mmps is 560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88
Verify dpvpd_y_dmpPosition_mm is 700
Verify dpvpd_vel_dmpVelocity_mmps is 560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89
Verify dpvpd_y_dmpPosition_mm is 700
Verify dpvpd_vel_dmpVelocity_mmps is 560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90
Verify dpvpd_y_dmpPosition_mm is 700
Verify dpvpd_vel_dmpVelocity_mmps is 560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91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140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t>
  </si>
  <si>
    <t>At cycle 141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142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191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192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193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194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195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244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245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246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295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296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</si>
  <si>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141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142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191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192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193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194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195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244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245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246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295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296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t>
  </si>
  <si>
    <t>At cycle 297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298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299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348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349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350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399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400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401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402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403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452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t>
  </si>
  <si>
    <t>At the end of cycle 297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298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299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348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349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350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399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400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401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402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403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452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t>
  </si>
  <si>
    <t>At cycle 453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454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503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504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505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506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507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556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557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558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607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608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</si>
  <si>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453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454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503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504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505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506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507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556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557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558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607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608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t>
  </si>
  <si>
    <t>At cycle 609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610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611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660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661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662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711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712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713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714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715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764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t>
  </si>
  <si>
    <t>At the end of cycle 609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610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611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660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661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662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711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712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713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714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715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764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t>
  </si>
  <si>
    <t>At cycle 765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766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815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816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817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818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819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868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869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870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919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920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</si>
  <si>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765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766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815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816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817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818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819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868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869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870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919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920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t>
  </si>
  <si>
    <t>At cycle 921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922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923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972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973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974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1023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1024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1025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1026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1027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t>
  </si>
  <si>
    <t>At the end of cycle 921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922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923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972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973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974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1023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1024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1025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1026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1027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t>
  </si>
  <si>
    <t>At cycle 1076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1077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1078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1127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1128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1129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1130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
At cycle 1131 For 49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1180 For 1 cycles
Set dpvd_enum_positionErrorCode to DPV_ERROR_RESET_OR_NO_ERROR_E
Set dpvd_enum_positionErrorRegister to DPV_REGISTER_NO_ERROR_E
Set dpvd_y_damperPosition_mm to 256
Set dpvd_vel_damperVelocity_mmps to 222
Set dpvd_enum_posSensorNormalRun to 0
Set dpvd_enum_damperStartUpErr to 0
Set dpvd_enum_magnetError to 0
Set dpvd_enum_damperRangeError to 0
Set dpvd_enum_dataFlashError to 1
Set dpvd_enum_controllerError to 0
Set dpvd_enum_damperTemperatureErr to 0
Set dpvd_enum_damperValidSRDOErr to 0
At cycle 1181 For 1 cycles
Set dpvd_enum_positionErrorCode to Not received
Set dpvd_enum_positionErrorRegister to Not received
Set dpvd_y_damperPosition_mm to Not received
Set dpvd_vel_damperVelocity_mmps to Not received
Set dpvd_enum_posSensorNormalRun to Not received
Set dpvd_enum_damperStartUpErr to Not received
Set dpvd_enum_magnetError to Not received
Set dpvd_enum_damperRangeError to Not received
Set dpvd_enum_dataFlashError to Not received
Set dpvd_enum_controllerError to Not received
Set dpvd_enum_damperTemperatureErr to Not received
Set dpvd_enum_damperValidSRDOErr to Not received</t>
  </si>
  <si>
    <t>At the end of cycle 1076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1077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1078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1127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DPV_NMT_RESET_MSG_E
At the end of cycle 1128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DPV_NMT_PRE_OPER_MSG_E
At the end of cycle 1129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DPV_NMT_CONFIG_MSG_E
At the end of cycle 1130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DPV_NMT_OPER_MSG_E
At the end of cycle 1131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1180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DPV_NMT_NO_MSG_E
At the end of cycle 1181
Verify dpvpd_y_dmpPosition_mm is 700
Verify dpvpd_vel_dmpVelocity_mmps is 560
Verify dpvpd_enum_dmpPosAndVelValid  is INVALID
Verify dpvpd_enum_dmpPVSensorState is DPV_NON_OPERATIONAL_E
Verify dpvpd_enum_posSensorNormalRun is 0
Verify dpvpd_enum_damperStartUp is 0
Verify dpvpd_enum_magnetError is 0
Verify dpvpd_enum_damperRangeError is 0
Verify dpvpd_enum_dataFlashError is 1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1
Verify dpvpd_enum_activeErrors is 1
Verify dpvpd_enum_nmtCtrlMsg is DPV_NMT_RESET_MSG_E</t>
  </si>
  <si>
    <t>At cycle 1182 For 1 cycles</t>
  </si>
  <si>
    <t>At the end of cycle 1182</t>
  </si>
  <si>
    <t>At cycle 1183 For 1 cycles</t>
  </si>
  <si>
    <t>At the end of cycle 1183</t>
  </si>
  <si>
    <t>At cycle 8
DPV_DAMPER_STROKE_VELOCITY message Rx.
Assume Damper Position and Velocity Validity is valid in the previous cycle.
At cycle 9
DPV_DAMPER_STROKE_VELOCITY message Rx followed by increment condition.
At cycle 10
DPV_DAMPER_STROKE_VELOCITY message Rx followed by increment condition.
At cycle 11
DPV_DAMPER_STROKE_VELOCITY message Not-Rx followed by increment condition.
Threshold reached.Transition from valid to invalid.
At cycle 12
DPV_DAMPER_STROKE_VELOCITY message Rx followed by decrement condition.
At cycle 13
DPV_DAMPER_STROKE_VELOCITY message Rx followed by decrement condition.
At cycle 14
DPV_DAMPER_STROKE_VELOCITY message Rx.Threshold reaches zero.Transition from invalid to valid.</t>
  </si>
  <si>
    <t>At cycle 15
DPV_DAMPER_POSITION_EMCY message Rx.
DPV_DAMPER_STROKE_VELOCITY message Rx followed by increment condition.
At cycle 16
DPV_DAMPER_POSITION_EMCY message Rx.
DPV_DAMPER_STROKE_VELOCITY message Rx followed by increment condition.
At cycle 17
DPV_DAMPER_POSITION_EMCY message Rx.
DPV_DAMPER_STROKE_VELOCITY message Rx followed by increment condition.
At cycle 18
DPV_DAMPER_POSITION_EMCY message Rx.
DPV_DAMPER_STROKE_VELOCITY message Rx followed by increment condition.
Threshold reached.Transition from valid to invalid.
At cycle 19
Damper Position and Velocity Sensor State is 'Non-Operational', the DPV Proxy send 'Pre-Operational' command to the CAN Bus Builder.
At cycle 20
DPV Proxy send 'Configuration' command to the CAN Bus Builder.
At cycle 21
DPV Proxy send 'Operation' command to the CAN Bus Builder.
At cycle 22
DPV send ‘No Message’ to CAN Bus Builder for 6 cycles.
At cycle 26
DPV send ‘No Message’ to CAN Bus Builder for 6 cycles.</t>
  </si>
  <si>
    <t>At cycle 27
At cycle 28
At cycle 29
DPV Proxy return to "Normal Operation" process.
At cycle 30
At cycle 31
At cycle 32
Non operational counter is set to 0.
DPV failure mode is set to false.</t>
  </si>
  <si>
    <t>At cycle 33
At cycle 34
At cycle 35
At cycle 36
At cycle 37
Damper Position and Velocity Sensor State is 'Non-Operational', the DPV Proxy send 'Pre-Operational' command to the CAN Bus Builder by setting Network Manager Control Message to ‘DPV_NMT_PRE_OPER_MSG_E’.
At cycle 38
DPV Proxy send 'Configuration' command, to the CAN Bus Builder by setting Network Manager Control Message to ‘DPV_NMT_CONFIG_MSG_E’.
At cycle 39
DPV Proxy send 'Operation' command to the CAN Bus Builder by setting Network Manager Control Message to ‘DPV_NMT_OPER_MSG_E’.
At cycle 40
DPV send ‘No Message’ to CAN Bus Builder by setting Network Manager Control Message to ‘DPV_NMT_NO_MSG_E’ for 6 cycles.</t>
  </si>
  <si>
    <t>At cycle 45
DPV send ‘No Message’ to CAN Bus Builder by setting Network Manager Control Message to ‘DPV_NMT_NO_MSG_E’ for 6 cycles.
At cycle 46
Non operational counter is incremented by 1.
DPV failure mode is set to false.Sending RESET command to CAN bus.
At cycle 47
DPV send ‘No Message’ to CAN Bus Builder by setting Network Manager Control Message to ‘DPV_NMT_NO_MSG_E’ for 6 cycles.
At cycle 52
DPV send ‘No Message’ to CAN Bus Builder by setting Network Manager Control Message to ‘DPV_NMT_NO_MSG_E’ for 6 cycles.
At cycle 53
Damper Position and Velocity Sensor State is 'Non-Operational', the DPV Proxy send 'Pre-Operational' command to the CAN Bus Builder by setting Network Manager Control Message to ‘DPV_NMT_PRE_OPER_MSG_E’.
At cycle 54
DPV Proxy send 'Configuration' command, to the CAN Bus Builder by setting Network Manager Control Message to ‘DPV_NMT_CONFIG_MSG_E’.
At cycle 55
DPV Proxy send 'Operation' command to the CAN Bus Builder by setting Network Manager Control Message to ‘DPV_NMT_OPER_MSG_E’.</t>
  </si>
  <si>
    <t>At cycle 56
DPV send ‘No Message’ to CAN Bus Builder by setting Network Manager Control Message to ‘DPV_NMT_NO_MSG_E’ for 6 cycles.
At cycle 61
DPV send ‘No Message’ to CAN Bus Builder by setting Network Manager Control Message to ‘DPV_NMT_NO_MSG_E’ for 6 cycles.
At cycle 62
Non operational counter is incremented by 1.
DPV failure mode is set to false.Sending RESET command to CAN bus.
At cycle 63
DPV send ‘No Message’ to CAN Bus Builder by setting Network Manager Control Message to ‘DPV_NMT_NO_MSG_E’ for 6 cycles.
At cycle 68
DPV send ‘No Message’ to CAN Bus Builder by setting Network Manager Control Message to ‘DPV_NMT_NO_MSG_E’ for 6 cycles.
At cycle 69
Damper Position and Velocity Sensor State is 'Non-Operational', the DPV Proxy send 'Pre-Operational' command to the CAN Bus Builder by setting Network Manager Control Message to ‘DPV_NMT_PRE_OPER_MSG_E’.
At cycle 70
DPV Proxy send 'Configuration' command, to the CAN Bus Builder by setting Network Manager Control Message to ‘DPV_NMT_CONFIG_MSG_E’.</t>
  </si>
  <si>
    <t>At cycle 71
DPV Proxy send 'Operation' command to the CAN Bus Builder by setting Network Manager Control Message to ‘DPV_NMT_OPER_MSG_E’.
At cycle 72
DPV send ‘No Message’ to CAN Bus Builder by setting Network Manager Control Message to ‘DPV_NMT_NO_MSG_E’ for 6 cycles.
At cycle 77
DPV send ‘No Message’ to CAN Bus Builder by setting Network Manager Control Message to ‘DPV_NMT_NO_MSG_E’ for 6 cycles.
At cycle 78
Non operational counter is incremented by 1.
DPV failure mode is set to false.Sending RESET command to CAN bus.
At cycle 79
DPV send ‘No Message’ to CAN Bus Builder by setting Network Manager Control Message to ‘DPV_NMT_NO_MSG_E’ for 6 cycles.
At cycle 84
DPV send ‘No Message’ to CAN Bus Builder by setting Network Manager Control Message to ‘DPV_NMT_NO_MSG_E’ for 6 cycles.
At cycle 85
Damper Position and Velocity Sensor State is 'Non-Operational', the DPV Proxy send 'Pre-Operational' command to the CAN Bus Builder by setting Network Manager Control Message to ‘DPV_NMT_PRE_OPER_MSG_E’.
At cycle 86
DPV Proxy send 'Configuration' command, to the CAN Bus Builder by setting Network Manager Control Message to ‘DPV_NMT_CONFIG_MSG_E’.</t>
  </si>
  <si>
    <t>At cycle 87
DPV Proxy send 'Operation' command to the CAN Bus Builder by setting Network Manager Control Message to ‘DPV_NMT_OPER_MSG_E’.
At cycle 88
DPV send ‘No Message’ to CAN Bus Builder by setting Network Manager Control Message to ‘DPV_NMT_NO_MSG_E’ for 6 cycles.
At cycle 93
DPV send ‘No Message’ to CAN Bus Builder by setting Network Manager Control Message to ‘DPV_NMT_NO_MSG_E’ for 6 cycles.
At cycle 94
Non operational counter is incremented by 1.
DPV failure mode is set to false.Sending RESET command to CAN bus.
At cycle 95
DPV send ‘No Message’ to CAN Bus Builder by setting Network Manager Control Message to ‘DPV_NMT_NO_MSG_E’ for 6 cycles.
At cycle 100
DPV send ‘No Message’ to CAN Bus Builder by setting Network Manager Control Message to ‘DPV_NMT_NO_MSG_E’ for 6 cycles.
At cycle 101
Damper Position and Velocity Sensor State is 'Non-Operational', the DPV Proxy send 'Pre-Operational' command to the CAN Bus Builder by setting Network Manager Control Message to ‘DPV_NMT_PRE_OPER_MSG_E’.
At cycle 102
DPV Proxy send 'Configuration' command, to the CAN Bus Builder by setting Network Manager Control Message to ‘DPV_NMT_CONFIG_MSG_E’.</t>
  </si>
  <si>
    <t>At cycle 103
DPV Proxy send 'Operation' command to the CAN Bus Builder by setting Network Manager Control Message to ‘DPV_NMT_OPER_MSG_E’.
At cycle 104
DPV send ‘No Message’ to CAN Bus Builder by setting Network Manager Control Message to ‘DPV_NMT_NO_MSG_E’ for 6 cycles.
At cycle 109
DPV send ‘No Message’ to CAN Bus Builder by setting Network Manager Control Message to ‘DPV_NMT_NO_MSG_E’ for 6 cycles.
At cycle 110
Non operational counter is incremented by 1.
DPV failure mode is set to false.Sending RESET command to CAN bus.
At cycle 111
DPV send ‘No Message’ to CAN Bus Builder by setting Network Manager Control Message to ‘DPV_NMT_NO_MSG_E’ for 6 cycles.
At cycle 116
DPV send ‘No Message’ to CAN Bus Builder by setting Network Manager Control Message to ‘DPV_NMT_NO_MSG_E’ for 6 cycles.
At cycle 117
Damper Position and Velocity Sensor State is 'Non-Operational', the DPV Proxy send 'Pre-Operational' command to the CAN Bus Builder by setting Network Manager Control Message to ‘DPV_NMT_PRE_OPER_MSG_E’.
At cycle 118
DPV Proxy send 'Configuration' command, to the CAN Bus Builder by setting Network Manager Control Message to ‘DPV_NMT_CONFIG_MSG_E’.</t>
  </si>
  <si>
    <t>At cycle 119
DPV Proxy send 'Operation' command to the CAN Bus Builder by setting Network Manager Control Message to ‘DPV_NMT_OPER_MSG_E’.
At cycle 120
DPV send ‘No Message’ to CAN Bus Builder by setting Network Manager Control Message to ‘DPV_NMT_NO_MSG_E’ for 6 cycles.
At cycle 125
DPV send ‘No Message’ to CAN Bus Builder by setting Network Manager Control Message to ‘DPV_NMT_NO_MSG_E’ for 6 cycles.
At cycle 126
Non operational counter is incremented by 1.
DPV failure mode is set to false.Sending RESET command to CAN bus.
At cycle 127
DPV send ‘No Message’ to CAN Bus Builder by setting Network Manager Control Message to ‘DPV_NMT_NO_MSG_E’ for 6 cycles.
At cycle 132
DPV send ‘No Message’ to CAN Bus Builder by setting Network Manager Control Message to ‘DPV_NMT_NO_MSG_E’ for 6 cycles.
At cycle 133
Damper Position and Velocity Sensor State is 'Non-Operational', the DPV Proxy send 'Pre-Operational' command to the CAN Bus Builder by setting Network Manager Control Message to ‘DPV_NMT_PRE_OPER_MSG_E’.
At cycle 134
DPV Proxy send 'Configuration' command, to the CAN Bus Builder by setting Network Manager Control Message to ‘DPV_NMT_CONFIG_MSG_E’.</t>
  </si>
  <si>
    <t>At cycle 135
DPV Proxy send 'Operation' command to the CAN Bus Builder by setting Network Manager Control Message to ‘DPV_NMT_OPER_MSG_E’.
At cycle 136
DPV send ‘No Message’ to CAN Bus Builder by setting Network Manager Control Message to ‘DPV_NMT_NO_MSG_E’ for 6 cycles.
At cycle 141
DPV send ‘No Message’ to CAN Bus Builder by setting Network Manager Control Message to ‘DPV_NMT_NO_MSG_E’ for 6 cycles.
At cycle 142
Non operational counter is incremented by 1.
DPV failure mode is set to false.Sending RESET command to CAN bus.
At cycle 143
DPV send ‘No Message’ to CAN Bus Builder by setting Network Manager Control Message to ‘DPV_NMT_NO_MSG_E’ for 6 cycles.
At cycle 148
DPV send ‘No Message’ to CAN Bus Builder by setting Network Manager Control Message to ‘DPV_NMT_NO_MSG_E’ for 6 cycles.
At cycle 149
Damper Position and Velocity Sensor State is 'Non-Operational', the DPV Proxy send 'Pre-Operational' command to the CAN Bus Builder by setting Network Manager Control Message to ‘DPV_NMT_PRE_OPER_MSG_E’.
At cycle 150
DPV Proxy send 'Configuration' command, to the CAN Bus Builder by setting Network Manager Control Message to ‘DPV_NMT_CONFIG_MSG_E’.</t>
  </si>
  <si>
    <t>At cycle 151
DPV Proxy send 'Operation' command to the CAN Bus Builder by setting Network Manager Control Message to ‘DPV_NMT_OPER_MSG_E’.
At cycle 152
DPV send ‘No Message’ to CAN Bus Builder by setting Network Manager Control Message to ‘DPV_NMT_NO_MSG_E’ for 6 cycles.
At cycle 157
DPV send ‘No Message’ to CAN Bus Builder by setting Network Manager Control Message to ‘DPV_NMT_NO_MSG_E’ for 6 cycles.
At cycle 158
Non operational counter is incremented by 1.
DPV failure mode is set to false.Sending RESET command to CAN bus.
At cycle 159
DPV send ‘No Message’ to CAN Bus Builder by setting Network Manager Control Message to ‘DPV_NMT_NO_MSG_E’ for 6 cycles.
At cycle 164
DPV send ‘No Message’ to CAN Bus Builder by setting Network Manager Control Message to ‘DPV_NMT_NO_MSG_E’ for 6 cycles.
At cycle 165
Damper Position and Velocity Sensor State is 'Non-Operational', the DPV Proxy send 'Pre-Operational' command to the CAN Bus Builder by setting Network Manager Control Message to ‘DPV_NMT_PRE_OPER_MSG_E’.
At cycle 166
DPV Proxy send 'Configuration' command, to the CAN Bus Builder by setting Network Manager Control Message to ‘DPV_NMT_CONFIG_MSG_E’.</t>
  </si>
  <si>
    <t>At cycle 167
DPV Proxy send 'Operation' command to the CAN Bus Builder by setting Network Manager Control Message to ‘DPV_NMT_OPER_MSG_E’.
At cycle 168
DPV send ‘No Message’ to CAN Bus Builder by setting Network Manager Control Message to ‘DPV_NMT_NO_MSG_E’ for 6 cycles.
At cycle 173
DPV send ‘No Message’ to CAN Bus Builder by setting Network Manager Control Message to ‘DPV_NMT_NO_MSG_E’ for 6 cycles.
At cycle 174
Non operational counter is incremented by 1.
DPV failure mode is set to false.Sending RESET command to CAN bus.
At cycle 175
DPV send ‘No Message’ to CAN Bus Builder by setting Network Manager Control Message to ‘DPV_NMT_NO_MSG_E’ for 6 cycles.
At cycle 180
DPV send ‘No Message’ to CAN Bus Builder by setting Network Manager Control Message to ‘DPV_NMT_NO_MSG_E’ for 6 cycles.
At cycle 181
Damper Position and Velocity Sensor State is 'Non-Operational', the DPV Proxy send 'Pre-Operational' command to the CAN Bus Builder by setting Network Manager Control Message to ‘DPV_NMT_PRE_OPER_MSG_E’.
At cycle 182
DPV Proxy send 'Configuration' command, to the CAN Bus Builder by setting Network Manager Control Message to ‘DPV_NMT_CONFIG_MSG_E’.</t>
  </si>
  <si>
    <t>At cycle 183
DPV Proxy send 'Operation' command to the CAN Bus Builder by setting Network Manager Control Message to ‘DPV_NMT_OPER_MSG_E’.
At cycle 184
DPV send ‘No Message’ to CAN Bus Builder by setting Network Manager Control Message to ‘DPV_NMT_NO_MSG_E’ for 6 cycles.
At cycle 189
DPV send ‘No Message’ to CAN Bus Builder by setting Network Manager Control Message to ‘DPV_NMT_NO_MSG_E’ for 6 cycles.
At cycle 190
Non operational counter is incremented by 1.
DPV failure mode is set to false.Sending RESET command to CAN bus.
At cycle 191
DPV send ‘No Message’ to CAN Bus Builder by setting Network Manager Control Message to ‘DPV_NMT_NO_MSG_E’ for 6 cycles.
At cycle 196
DPV send ‘No Message’ to CAN Bus Builder by setting Network Manager Control Message to ‘DPV_NMT_NO_MSG_E’ for 6 cycles.
At cycle 197
Damper Position and Velocity Sensor State is 'Non-Operational', the DPV Proxy send 'Pre-Operational' command to the CAN Bus Builder by setting Network Manager Control Message to ‘DPV_NMT_PRE_OPER_MSG_E’.</t>
  </si>
  <si>
    <t>At cycle 198
DPV Proxy send 'Configuration' command, to the CAN Bus Builder by setting Network Manager Control Message to ‘DPV_NMT_CONFIG_MSG_E’.
At cycle 199
DPV Proxy send 'Operation' command to the CAN Bus Builder by setting Network Manager Control Message to ‘DPV_NMT_OPER_MSG_E’.
At cycle 200
DPV send ‘No Message’ to CAN Bus Builder by setting Network Manager Control Message to ‘DPV_NMT_NO_MSG_E’ for 6 cycles.
At cycle 205
DPV send ‘No Message’ to CAN Bus Builder by setting Network Manager Control Message to ‘DPV_NMT_NO_MSG_E’ for 6 cycles.
At cycle 206
Non operational counter is incremented by 1.
DPV failure mode is set to true.Sending RESET command to CAN bus.
At cycle 207
DPV send ‘No Message’ to CAN Bus Builder by setting Network Manager Control Message to ‘DPV_NMT_NO_MSG_E’ for 6 cycles.
At cycle 212
DPV send ‘No Message’ to CAN Bus Builder by setting Network Manager Control Message to ‘DPV_NMT_NO_MSG_E’ for 6 cycles.</t>
  </si>
  <si>
    <t>At cycle 22
Damper Position and Velocity Sensor State is 'Non-Operational', the DPV Proxy send 'Pre-Operational' command to the CAN Bus Builder by setting Network Manager Control Message to ‘DPV_NMT_PRE_OPER_MSG_E’.
At cycle 23
DPV Proxy send 'Configuration' command, to the CAN Bus Builder by setting Network Manager Control Message to ‘DPV_NMT_CONFIG_MSG_E’.
At cycle 24
DPV Proxy send 'Operation' command to the CAN Bus Builder by setting Network Manager Control Message to ‘DPV_NMT_OPER_MSG_E’.
At cycle 25
DPV send ‘No Message’ to CAN Bus Builder by setting Network Manager Control Message to ‘DPV_NMT_NO_MSG_E’ for 50 cycles.
At cycle 74
DPV send ‘No Message’ to CAN Bus Builder by setting Network Manager Control Message to ‘DPV_NMT_NO_MSG_E’ for 50 cycles.
At cycle 75
Non operational counter is set to 0.
DPV failure mode is set to false.
At cycle 76
Verify that DPV Proxy return to "Normal Operation" process.</t>
  </si>
  <si>
    <t>At cycle 77
DPV_DAMPER_STROKE_VELOCITY message Rx.
Assume Damper Position and Velocity Validity set to valid.
At cycle 79
DPV_DAMPER_STROKE_VELOCITY message Rx followed by increment condition.
At cycle 80
DPV_DAMPER_POSITION_EMCY message not Rx.
DPV_DAMPER_STROKE_VELOCITY message Rx followed by increment condition.
At cycle 82
DPV_DAMPER_POSITION_EMCY message not Rx.
DPV_DAMPER_STROKE_VELOCITY message Rx followed by increment condition.
At cycle 83
DPV_DAMPER_POSITION_EMCY message Rx.
DPV_DAMPER_STROKE_VELOCITY message Rx followed by increment condition.
At cycle 86
DPV_DAMPER_POSITION_EMCY message Rx.
DPV_DAMPER_STROKE_VELOCITY message Rx followed by increment condition.
At cycle 87
DPV_DAMPER_POSITION_EMCY message Rx.
DPV_DAMPER_STROKE_VELOCITY message Not-Rx followed by decrement condition.
Threshold reached.Transition from valid to invalid.
At cycle 88
Damper Position and Velocity Sensor State is 'Non-Operational', the DPV Proxy send 'Pre-Operational' command to the CAN Bus Builder by setting Network Manager Control Message to ‘DPV_NMT_PRE_OPER_MSG_E’.
At cycle 89
DPV Proxy send 'Configuration' command, to the CAN Bus Builder by setting Network Manager Control Message to ‘DPV_NMT_CONFIG_MSG_E’.
At cycle 90
DPV Proxy send 'Operation' command to the CAN Bus Builder by setting Network Manager Control Message to ‘DPV_NMT_OPER_MSG_E’.
At cycle 91
DPV send ‘No Message’ to CAN Bus Builder by setting Network Manager Control Message to ‘DPV_NMT_NO_MSG_E’ for 6 cycles.
At cycle 140
DPV send ‘No Message’ to CAN Bus Builder by setting Network Manager Control Message to ‘DPV_NMT_NO_MSG_E’ for 6 cycles.</t>
  </si>
  <si>
    <t>At cycle 141
Non operational counter is incremented by 1.
DPV failure mode is set to false.Sending RESET command to CAN bus.
At cycle 142
DPV send ‘No Message’ to CAN Bus Builder by setting Network Manager Control Message to ‘DPV_NMT_NO_MSG_E’ for 50 cycles.
At cycle 191
DPV send ‘No Message’ to CAN Bus Builder by setting Network Manager Control Message to ‘DPV_NMT_NO_MSG_E’ for 50 cycles.
At cycle 192
Damper Position and Velocity Sensor State is 'Non-Operational', the DPV Proxy send 'Pre-Operational' command to the CAN Bus Builder by setting Network Manager Control Message to ‘DPV_NMT_PRE_OPER_MSG_E’.
At cycle 193
DPV Proxy send 'Configuration' command, to the CAN Bus Builder by setting Network Manager Control Message to ‘DPV_NMT_CONFIG_MSG_E’.
At cycle 194
DPV Proxy send 'Operation' command to the CAN Bus Builder by setting Network Manager Control Message to ‘DPV_NMT_OPER_MSG_E’.
At cycle 195
DPV send ‘No Message’ to CAN Bus Builder by setting Network Manager Control Message to ‘DPV_NMT_NO_MSG_E’ for 6 cycles.
At cycle 244
DPV send ‘No Message’ to CAN Bus Builder by setting Network Manager Control Message to ‘DPV_NMT_NO_MSG_E’ for 6 cycles.
At cycle 245
Non operational counter is incremented by 1.
DPV failure mode is set to false.Sending RESET command to CAN bus.
At cycle 246
DPV send ‘No Message’ to CAN Bus Builder by setting Network Manager Control Message to ‘DPV_NMT_NO_MSG_E’ for 50 cycles.
At cycle 295
DPV send ‘No Message’ to CAN Bus Builder by setting Network Manager Control Message to ‘DPV_NMT_NO_MSG_E’ for 50 cycles.
At cycle 296
Damper Position and Velocity Sensor State is 'Non-Operational', the DPV Proxy send 'Pre-Operational' command to the CAN Bus Builder by setting Network Manager Control Message to ‘DPV_NMT_PRE_OPER_MSG_E’.</t>
  </si>
  <si>
    <t>At cycle 297
DPV Proxy send 'Configuration' command, to the CAN Bus Builder by setting Network Manager Control Message to ‘DPV_NMT_CONFIG_MSG_E’.
At cycle 298
DPV Proxy send 'Operation' command to the CAN Bus Builder by setting Network Manager Control Message to ‘DPV_NMT_OPER_MSG_E’.
At cycle 299
DPV send ‘No Message’ to CAN Bus Builder by setting Network Manager Control Message to ‘DPV_NMT_NO_MSG_E’ for 6 cycles.
At cycle 348
DPV send ‘No Message’ to CAN Bus Builder by setting Network Manager Control Message to ‘DPV_NMT_NO_MSG_E’ for 6 cycles.
At cycle 349
Non operational counter is incremented by 1.
DPV failure mode is set to false.Sending RESET command to CAN bus.
At cycle 350
DPV send ‘No Message’ to CAN Bus Builder by setting Network Manager Control Message to ‘DPV_NMT_NO_MSG_E’ for 50 cycles.
At cycle 399
DPV send ‘No Message’ to CAN Bus Builder by setting Network Manager Control Message to ‘DPV_NMT_NO_MSG_E’ for 50 cycles.
At cycle 400
Damper Position and Velocity Sensor State is 'Non-Operational', the DPV Proxy send 'Pre-Operational' command to the CAN Bus Builder by setting Network Manager Control Message to ‘DPV_NMT_PRE_OPER_MSG_E’.
At cycle 401
DPV Proxy send 'Configuration' command, to the CAN Bus Builder by setting Network Manager Control Message to ‘DPV_NMT_CONFIG_MSG_E’.
At cycle 402
DPV Proxy send 'Operation' command to the CAN Bus Builder by setting Network Manager Control Message to ‘DPV_NMT_OPER_MSG_E’.
At cycle 403
DPV send ‘No Message’ to CAN Bus Builder by setting Network Manager Control Message to ‘DPV_NMT_NO_MSG_E’ for 6 cycles.
At cycle 452
DPV send ‘No Message’ to CAN Bus Builder by setting Network Manager Control Message to ‘DPV_NMT_NO_MSG_E’ for 6 cycles.</t>
  </si>
  <si>
    <t>At cycle 453
Non operational counter is incremented by 1.
DPV failure mode is set to false.Sending RESET command to CAN bus.
At cycle 454
DPV send ‘No Message’ to CAN Bus Builder by setting Network Manager Control Message to ‘DPV_NMT_NO_MSG_E’ for 50 cycles.
At cycle 503
DPV send ‘No Message’ to CAN Bus Builder by setting Network Manager Control Message to ‘DPV_NMT_NO_MSG_E’ for 50 cycles.
At cycle 504
Damper Position and Velocity Sensor State is 'Non-Operational', the DPV Proxy send 'Pre-Operational' command to the CAN Bus Builder by setting Network Manager Control Message to ‘DPV_NMT_PRE_OPER_MSG_E’.
At cycle 505
DPV Proxy send 'Configuration' command, to the CAN Bus Builder by setting Network Manager Control Message to ‘DPV_NMT_CONFIG_MSG_E’.
At cycle 506
DPV Proxy send 'Operation' command to the CAN Bus Builder by setting Network Manager Control Message to ‘DPV_NMT_OPER_MSG_E’.
At cycle 507
DPV send ‘No Message’ to CAN Bus Builder by setting Network Manager Control Message to ‘DPV_NMT_NO_MSG_E’ for 6 cycles.
At cycle 556
DPV send ‘No Message’ to CAN Bus Builder by setting Network Manager Control Message to ‘DPV_NMT_NO_MSG_E’ for 6 cycles.
At cycle 557
Non operational counter is incremented by 1.
DPV failure mode is set to false.Sending RESET command to CAN bus.
At cycle 558
DPV send ‘No Message’ to CAN Bus Builder by setting Network Manager Control Message to ‘DPV_NMT_NO_MSG_E’ for 50 cycles.
At cycle 607
DPV send ‘No Message’ to CAN Bus Builder by setting Network Manager Control Message to ‘DPV_NMT_NO_MSG_E’ for 50 cycles.
At cycle 608
Damper Position and Velocity Sensor State is 'Non-Operational', the DPV Proxy send 'Pre-Operational' command to the CAN Bus Builder by setting Network Manager Control Message to ‘DPV_NMT_PRE_OPER_MSG_E’.</t>
  </si>
  <si>
    <t>At cycle 609
DPV Proxy send 'Configuration' command, to the CAN Bus Builder by setting Network Manager Control Message to ‘DPV_NMT_CONFIG_MSG_E’.
At cycle 610
DPV Proxy send 'Operation' command to the CAN Bus Builder by setting Network Manager Control Message to ‘DPV_NMT_OPER_MSG_E’.
At cycle 611
DPV send ‘No Message’ to CAN Bus Builder by setting Network Manager Control Message to ‘DPV_NMT_NO_MSG_E’ for 6 cycles.
At cycle 660
DPV send ‘No Message’ to CAN Bus Builder by setting Network Manager Control Message to ‘DPV_NMT_NO_MSG_E’ for 6 cycles.
At cycle 661
Non operational counter is incremented by 1.
DPV failure mode is set to false.Sending RESET command to CAN bus.
At cycle 662
DPV send ‘No Message’ to CAN Bus Builder by setting Network Manager Control Message to ‘DPV_NMT_NO_MSG_E’ for 50 cycles.
At cycle 711
DPV send ‘No Message’ to CAN Bus Builder by setting Network Manager Control Message to ‘DPV_NMT_NO_MSG_E’ for 50 cycles.
At cycle 712
Damper Position and Velocity Sensor State is 'Non-Operational', the DPV Proxy send 'Pre-Operational' command to the CAN Bus Builder by setting Network Manager Control Message to ‘DPV_NMT_PRE_OPER_MSG_E’.
At cycle 713
DPV Proxy send 'Configuration' command, to the CAN Bus Builder by setting Network Manager Control Message to ‘DPV_NMT_CONFIG_MSG_E’.
At cycle 714
DPV Proxy send 'Operation' command to the CAN Bus Builder by setting Network Manager Control Message to ‘DPV_NMT_OPER_MSG_E’.
At cycle 715
DPV send ‘No Message’ to CAN Bus Builder by setting Network Manager Control Message to ‘DPV_NMT_NO_MSG_E’ for 6 cycles.
At cycle 764
DPV send ‘No Message’ to CAN Bus Builder by setting Network Manager Control Message to ‘DPV_NMT_NO_MSG_E’ for 6 cycles.</t>
  </si>
  <si>
    <t>At cycle 765
Non operational counter is incremented by 1.
DPV failure mode is set to false.Sending RESET command to CAN bus.
At cycle 766
DPV send ‘No Message’ to CAN Bus Builder by setting Network Manager Control Message to ‘DPV_NMT_NO_MSG_E’ for 50 cycles.
At cycle 815
DPV send ‘No Message’ to CAN Bus Builder by setting Network Manager Control Message to ‘DPV_NMT_NO_MSG_E’ for 50 cycles.
At cycle 816
Damper Position and Velocity Sensor State is 'Non-Operational', the DPV Proxy send 'Pre-Operational' command to the CAN Bus Builder by setting Network Manager Control Message to ‘DPV_NMT_PRE_OPER_MSG_E’.
At cycle 817
DPV Proxy send 'Configuration' command, to the CAN Bus Builder by setting Network Manager Control Message to ‘DPV_NMT_CONFIG_MSG_E’.
At cycle 818
DPV Proxy send 'Operation' command to the CAN Bus Builder by setting Network Manager Control Message to ‘DPV_NMT_OPER_MSG_E’.
At cycle 819
DPV send ‘No Message’ to CAN Bus Builder by setting Network Manager Control Message to ‘DPV_NMT_NO_MSG_E’ for 6 cycles.
At cycle 868
DPV send ‘No Message’ to CAN Bus Builder by setting Network Manager Control Message to ‘DPV_NMT_NO_MSG_E’ for 6 cycles.
At cycle 869
Non operational counter is incremented by 1.
DPV failure mode is set to false.Sending RESET command to CAN bus.
At cycle 870
DPV send ‘No Message’ to CAN Bus Builder by setting Network Manager Control Message to ‘DPV_NMT_NO_MSG_E’ for 50 cycles.
At cycle 919
DPV send ‘No Message’ to CAN Bus Builder by setting Network Manager Control Message to ‘DPV_NMT_NO_MSG_E’ for 50 cycles.
At cycle 920
Damper Position and Velocity Sensor State is 'Non-Operational', the DPV Proxy send 'Pre-Operational' command to the CAN Bus Builder by setting Network Manager Control Message to ‘DPV_NMT_PRE_OPER_MSG_E’.</t>
  </si>
  <si>
    <t>At cycle 921
DPV Proxy send 'Configuration' command, to the CAN Bus Builder by setting Network Manager Control Message to ‘DPV_NMT_CONFIG_MSG_E’.
At cycle 922
DPV Proxy send 'Operation' command to the CAN Bus Builder by setting Network Manager Control Message to ‘DPV_NMT_OPER_MSG_E’.
At cycle 923
DPV send ‘No Message’ to CAN Bus Builder by setting Network Manager Control Message to ‘DPV_NMT_NO_MSG_E’ for 6 cycles.
At cycle 972
DPV send ‘No Message’ to CAN Bus Builder by setting Network Manager Control Message to ‘DPV_NMT_NO_MSG_E’ for 6 cycles.
At cycle 973
Non operational counter is incremented by 1.
DPV failure mode is set to false.Sending RESET command to CAN bus.
At cycle 974
DPV send ‘No Message’ to CAN Bus Builder by setting Network Manager Control Message to ‘DPV_NMT_NO_MSG_E’ for 50 cycles.
At cycle 1023
DPV send ‘No Message’ to CAN Bus Builder by setting Network Manager Control Message to ‘DPV_NMT_NO_MSG_E’ for 50 cycles.
At cycle 1024
Damper Position and Velocity Sensor State is 'Non-Operational', the DPV Proxy send 'Pre-Operational' command to the CAN Bus Builder by setting Network Manager Control Message to ‘DPV_NMT_PRE_OPER_MSG_E’.
At cycle 1025
DPV Proxy send 'Configuration' command, to the CAN Bus Builder by setting Network Manager Control Message to ‘DPV_NMT_CONFIG_MSG_E’.
At cycle 1026
DPV Proxy send 'Operation' command to the CAN Bus Builder by setting Network Manager Control Message to ‘DPV_NMT_OPER_MSG_E’.
At cycle 1027
DPV send ‘No Message’ to CAN Bus Builder by setting Network Manager Control Message to ‘DPV_NMT_NO_MSG_E’ for 6 cycles.</t>
  </si>
  <si>
    <t>At cycle 1076
DPV send ‘No Message’ to CAN Bus Builder by setting Network Manager Control Message to ‘DPV_NMT_NO_MSG_E’ for 6 cycles.
At cycle 1077
Non operational counter is incremented by 1.
DPV failure mode is set to false.Sending RESET command to CAN bus.
At cycle 1078
DPV send ‘No Message’ to CAN Bus Builder by setting Network Manager Control Message to ‘DPV_NMT_NO_MSG_E’ for 50 cycles.
At cycle 1127
DPV send ‘No Message’ to CAN Bus Builder by setting Network Manager Control Message to ‘DPV_NMT_NO_MSG_E’ for 50 cycles.
At cycle 1128
DPV Proxy performs "DPV Configuration Validation" process.Damper Position and Velocity Sensor State is 'Non-Operational', the DPV Proxy send 'Pre-Operational' command to the CAN Bus Builder by setting Network Manager Control Message to ‘DPV_NMT_PRE_OPER_MSG_E’.
At cycle 1129
DPV Proxy send 'Configuration' command, to the CAN Bus Builder by setting Network Manager Control Message to ‘DPV_NMT_CONFIG_MSG_E’.
At cycle 1130
DPV Proxy send 'Operation' command to the CAN Bus Builder by setting Network Manager Control Message to ‘DPV_NMT_OPER_MSG_E’.
At cycle 1131
DPV send ‘No Message’ to CAN Bus Builder by setting Network Manager Control Message to ‘DPV_NMT_NO_MSG_E’ for 6 cycles.
At cycle 1180
DPV send ‘No Message’ to CAN Bus Builder by setting Network Manager Control Message to ‘DPV_NMT_NO_MSG_E’ for 6 cycles.
At cycle 1181
Non operational counter is incremented by 1.
DPV failure mode is set to true.Sending RESET command to CAN bus.</t>
  </si>
  <si>
    <t>At cycle 1182
DELETE</t>
  </si>
  <si>
    <t>At cycle 1183
DELETE</t>
  </si>
  <si>
    <t>TXB-HLC-TC_1714
TXB-HLC-TC_1721
TXB-HLC-TC_1724
TXB-HLC-TC_1729
TXB-HLC-TC_1741
TXB-HLC-TC_1700
TXB-HLC-TC_3600
TXB-HLC-TC_3927
TXB-HLC-TC_1691
TXB-HLC-TC_3933
TXB-HLC-TC_1742
TXB-HLC-TC_3935
TXB-HLC-TC_1737
TXB-HLC-TC_1690
TXB-HLC-TC_3934
TXB-HLC-TC_1739
TXB-HLC-TC_1687</t>
  </si>
  <si>
    <t>1714
1721
1724
1729
1741
1700
3600
3927
1691
3933
1742
3935
1737
1690
3934
1739
1687</t>
  </si>
  <si>
    <t>TXB-HLC-TC_1730
TXB-HLC-TC_1710
TXB-HLC-TC_1687
TXB-HLC-TC_1701
TXB-HLC-TC_1691
TXB-HLC-TC_1699
TXB-HLC-TC_3601
TXB-HLC-TC_3926
TXB-HLC-TC_3927
TXB-HLC-TC_1698
TXB-HLC-TC_1740
TXB-HLC-TC_1690
TXB-HLC-TC_1720
TXB-HLC-TC_3929
TXB-HLC-TC_12782</t>
  </si>
  <si>
    <t>1730
1710
1687
1701
1691
1699
3601
3926
3927
1698
1740
1690
1720
3929
12782</t>
  </si>
  <si>
    <t>TXB-HLC-TC_1731
TXB-HLC-TC_13209
TXB-HLC-TC_1726
TXB-HLC-TC_1738</t>
  </si>
  <si>
    <t>1731
13209
1726
1738</t>
  </si>
  <si>
    <t>At the end of cycle 8
Verify dpvpd_y_dmpPosition_mm is 220
Verify dpvpd_vel_dmpVelocity_mmps is 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9
Verify dpvpd_y_dmpPosition_mm is 320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DPV_DEVICE_HARDWARE_E
Verify dpvpd_enum_positionErrorRegister is DPV_REGISTER_NO_ERROR_E
Verify dpvpd_enum_dpvFailMode is 0
Verify dpvpd_enum_activeErrors is 1
Verify dpvpd_enum_nmtCtrlMsg is 0
At the end of cycle 10
Verify dpvpd_y_dmpPosition_mm is 426
Verify dpvpd_vel_dmpVelocity_mmps is 235
Verify dpvpd_enum_dmpPosAndVelValid  is VALID
Verify dpvpd_enum_dmpPVSensorState is DPV_OPERATIONAL_E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11
Verify dpvpd_y_dmpPosition_mm is 426
Verify dpvpd_vel_dmpVelocity_mmps is 235
Verify dpvpd_enum_dmpPosAndVelValid  is INVALID
Verify dpvpd_enum_dmpPVSensorState is DPV_NON_OPERATIONAL_E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12
Verify dpvpd_y_dmpPosition_mm is 320
Verify dpvpd_vel_dmpVelocity_mmps is 125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13
Verify dpvpd_y_dmpPosition_mm is 426
Verify dpvpd_vel_dmpVelocity_mmps is 0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14
Verify dpvpd_y_dmpPosition_mm is 303
Verify dpvpd_vel_dmpVelocity_mmps is 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t>
  </si>
  <si>
    <t>At the end of cycle 27
Verify dpvpd_y_dmpPosition_mm is 273
Verify dpvpd_vel_dmpVelocity_mmps is -1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28
Verify dpvpd_y_dmpPosition_mm is 274
Verify dpvpd_vel_dmpVelocity_mmps is 2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29
Verify dpvpd_y_dmpPosition_mm is 274
Verify dpvpd_vel_dmpVelocity_mmps is 235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30
Verify dpvpd_y_dmpPosition_mm is 274
Verify dpvpd_vel_dmpVelocity_mmps is 8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31
Verify dpvpd_y_dmpPosition_mm is 274
Verify dpvpd_vel_dmpVelocity_mmps is 11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DPV_NMT_NO_MSG_E
At the end of cycle 32
Verify dpvpd_y_dmpPosition_mm is 274
Verify dpvpd_vel_dmpVelocity_mmps is 14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t>
  </si>
  <si>
    <t>At the end of cycle 1
Verify dpvpd_enum_positionErrorCode is DPV_ERROR_RESET_OR_NO_ERROR_E
Verify dpvpd_enum_positionErrorRegister is DPV_REGISTER_NO_ERROR_E
At the end of cycle 1
Verify dpvpd_y_dmpPosition_mm is 700
Verify dpvpd_vel_dmpVelocity_mmps is -22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2
Verify dpvpd_y_dmpPosition_mm is 700
Verify dpvpd_vel_dmpVelocity_mmps is 560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7
Verify dpvpd_y_dmpPosition_mm is 700
Verify dpvpd_vel_dmpVelocity_mmps is 560
Verify dpvpd_enum_dmpPosAndVelValid  is VALID
Verify dpvpd_enum_dmpPVSensorState is DPV_OPERATIONAL_E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11
Verify dpvpd_y_dmpPosition_mm is 700
Verify dpvpd_vel_dmpVelocity_mmps is 560
Verify dpvpd_enum_dmpPosAndVelValid  is INVALID
Verify dpvpd_enum_dmpPVSensorState is DPV_NON_OPERATIONAL_E
Verify dpvpd_enum_posSensorNormalRun is 1
Verify dpvpd_enum_damperStartUp is 1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1
Verify dpvpd_enum_nmtCtrlMsg is 0
At the end of cycle 12
Verify dpvpd_y_dmpPosition_mm is 701
Verify dpvpd_vel_dmpVelocity_mmps is -21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20
Verify dpvpd_y_dmpPosition_mm is 559.9
Verify dpvpd_vel_dmpVelocity_mmps is -21
Verify dpvpd_enum_dmpPosAndVelValid  is INVALID
Verify dpvpd_enum_dmpPVSensorState is DPV_NON_OPERATIONAL_E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
At the end of cycle 21
Verify dpvpd_y_dmpPosition_mm is 559.9
Verify dpvpd_vel_dmpVelocity_mmps is 560
Verify dpvpd_enum_dmpPosAndVelValid  is VALID
Verify dpvpd_enum_dmpPVSensorState is DPV_OPERATIONAL_E
Verify dpvpd_enum_posSensorNormalRun is 1
Verify dpvpd_enum_damperStartUp is 0
Verify dpvpd_enum_magnetError is 0
Verify dpvpd_enum_damperRangeError is 0
Verify dpvpd_enum_dataFlashError is 0
Verify dpvpd_enum_controllerError is 0
Verify dpvpd_enum_damperTemperatureErr is 0
Verify dpvpd_enum_damperValidSRDOErr is 0
Verify dpvpd_enum_positionErrorCode is DPV_ERROR_RESET_OR_NO_ERROR_E
Verify dpvpd_enum_positionErrorRegister is DPV_REGISTER_NO_ERROR_E
Verify dpvpd_enum_dpvFailMode is 0
Verify dpvpd_enum_activeErrors is 0
Verify dpvpd_enum_nmtCtrlMsg is 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</si>
</sst>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 x14ac:knownFonts="1">
    <font>
      <sz val="11"/>
      <color theme="1"/>
      <name val="Calibri"/>
      <family val="2"/>
      <scheme val="minor"/>
    </font>
    <font>
      <sz val="11"/>
      <name val="Calibri"/>
      <family val="2"/>
    </font>
    <font>
      <sz val="11"/>
      <name val="Calibri"/>
      <family val="2"/>
      <scheme val="minor"/>
    </font>
    <font>
      <b/>
      <sz val="11"/>
      <name val="Calibri"/>
      <family val="2"/>
    </font>
    <font>
      <sz val="11"/>
      <color rgb="FFFF0000"/>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3">
    <xf numFmtId="0" fontId="0" fillId="0" borderId="0" xfId="0"/>
    <xf numFmtId="0" fontId="0" fillId="0" borderId="0" xfId="0" applyFill="1"/>
    <xf numFmtId="0" fontId="2" fillId="3" borderId="1" xfId="0" applyFont="1" applyFill="1" applyBorder="1"/>
    <xf numFmtId="0" fontId="2" fillId="0" borderId="1" xfId="0" applyFont="1" applyBorder="1"/>
    <xf numFmtId="0" fontId="2" fillId="2" borderId="1" xfId="0" applyFont="1" applyFill="1" applyBorder="1"/>
    <xf numFmtId="0" fontId="2" fillId="0" borderId="1" xfId="0" applyFont="1" applyBorder="1" applyAlignment="1">
      <alignment wrapText="1"/>
    </xf>
    <xf numFmtId="0" fontId="2" fillId="4" borderId="1" xfId="0" applyFont="1" applyFill="1" applyBorder="1"/>
    <xf numFmtId="0" fontId="2" fillId="0" borderId="1" xfId="0" applyFont="1" applyBorder="1" applyAlignment="1"/>
    <xf numFmtId="164" fontId="2" fillId="0" borderId="1" xfId="0" applyNumberFormat="1" applyFont="1" applyBorder="1"/>
    <xf numFmtId="164" fontId="2" fillId="0" borderId="1" xfId="0" applyNumberFormat="1" applyFont="1" applyBorder="1" applyAlignment="1">
      <alignment wrapText="1"/>
    </xf>
    <xf numFmtId="0" fontId="2" fillId="0" borderId="1" xfId="0" applyFont="1" applyFill="1" applyBorder="1"/>
    <xf numFmtId="0" fontId="2" fillId="0" borderId="1" xfId="0" applyFont="1" applyBorder="1" applyAlignment="1"/>
    <xf numFmtId="0" fontId="2" fillId="0" borderId="1" xfId="0" applyFont="1" applyFill="1" applyBorder="1"/>
    <xf numFmtId="0" fontId="2" fillId="2" borderId="1" xfId="0" applyFont="1" applyFill="1" applyBorder="1" applyAlignment="1">
      <alignment horizontal="left" vertical="top" wrapText="1"/>
    </xf>
    <xf numFmtId="0" fontId="2" fillId="0" borderId="1" xfId="0" applyFont="1" applyFill="1" applyBorder="1" applyAlignment="1">
      <alignment wrapText="1"/>
    </xf>
    <xf numFmtId="0" fontId="2" fillId="0" borderId="1" xfId="0" applyFont="1" applyBorder="1" applyAlignment="1">
      <alignment vertical="top"/>
    </xf>
    <xf numFmtId="0" fontId="2" fillId="0" borderId="1" xfId="0" applyFont="1" applyFill="1" applyBorder="1" applyAlignment="1"/>
    <xf numFmtId="164" fontId="2" fillId="0" borderId="1" xfId="0" applyNumberFormat="1" applyFont="1" applyFill="1" applyBorder="1" applyAlignment="1">
      <alignment wrapText="1"/>
    </xf>
    <xf numFmtId="164" fontId="2" fillId="0" borderId="1" xfId="0" applyNumberFormat="1" applyFont="1" applyFill="1" applyBorder="1"/>
    <xf numFmtId="0" fontId="2" fillId="0" borderId="1" xfId="0" applyFont="1" applyBorder="1" applyAlignment="1">
      <alignment vertical="center"/>
    </xf>
    <xf numFmtId="0" fontId="2" fillId="0" borderId="0" xfId="0" applyFont="1"/>
    <xf numFmtId="0" fontId="2" fillId="0" borderId="0" xfId="0" applyFont="1" applyFill="1"/>
    <xf numFmtId="164" fontId="2" fillId="0" borderId="1" xfId="0" applyNumberFormat="1" applyFont="1" applyFill="1" applyBorder="1" applyAlignment="1"/>
    <xf numFmtId="1" fontId="2" fillId="0" borderId="1" xfId="0" applyNumberFormat="1" applyFont="1" applyFill="1" applyBorder="1" applyAlignment="1"/>
    <xf numFmtId="0" fontId="2" fillId="5" borderId="1" xfId="0" applyFont="1" applyFill="1" applyBorder="1" applyAlignment="1"/>
    <xf numFmtId="0" fontId="0" fillId="0" borderId="0" xfId="0"/>
    <xf numFmtId="0" fontId="0" fillId="0" borderId="0" xfId="0" applyAlignment="1">
      <alignment wrapText="1"/>
    </xf>
    <xf numFmtId="0" fontId="0" fillId="6" borderId="0" xfId="0" applyFill="1"/>
    <xf numFmtId="0" fontId="0" fillId="6" borderId="0" xfId="0" applyFill="1" applyAlignment="1">
      <alignment wrapText="1"/>
    </xf>
    <xf numFmtId="0" fontId="2" fillId="0" borderId="1" xfId="0" applyFont="1" applyBorder="1" applyAlignment="1">
      <alignment wrapText="1"/>
    </xf>
    <xf numFmtId="0" fontId="2" fillId="0" borderId="1" xfId="0" applyFont="1" applyFill="1" applyBorder="1"/>
    <xf numFmtId="0" fontId="0" fillId="0" borderId="0" xfId="0" applyFill="1" applyAlignment="1">
      <alignment wrapText="1"/>
    </xf>
    <xf numFmtId="0" fontId="2" fillId="0" borderId="1" xfId="0" applyFont="1" applyBorder="1" applyAlignment="1"/>
    <xf numFmtId="0" fontId="2" fillId="0" borderId="1" xfId="0" applyFont="1" applyBorder="1" applyAlignment="1">
      <alignment wrapText="1"/>
    </xf>
    <xf numFmtId="0" fontId="2" fillId="0" borderId="1" xfId="0" applyFont="1" applyFill="1" applyBorder="1"/>
    <xf numFmtId="0" fontId="2" fillId="6" borderId="1" xfId="0" applyFont="1" applyFill="1" applyBorder="1"/>
    <xf numFmtId="0" fontId="2" fillId="6" borderId="1" xfId="0" applyFont="1" applyFill="1" applyBorder="1" applyAlignment="1">
      <alignment horizontal="left" vertical="top" wrapText="1"/>
    </xf>
    <xf numFmtId="0" fontId="2" fillId="6" borderId="1" xfId="0" applyFont="1" applyFill="1" applyBorder="1" applyAlignment="1">
      <alignment wrapText="1"/>
    </xf>
    <xf numFmtId="0" fontId="2" fillId="6" borderId="1" xfId="0" applyFont="1" applyFill="1" applyBorder="1" applyAlignment="1"/>
    <xf numFmtId="164" fontId="2" fillId="6" borderId="1" xfId="0" applyNumberFormat="1" applyFont="1" applyFill="1" applyBorder="1" applyAlignment="1">
      <alignment wrapText="1"/>
    </xf>
    <xf numFmtId="0" fontId="2" fillId="6" borderId="0" xfId="0" applyFont="1" applyFill="1"/>
    <xf numFmtId="0" fontId="2" fillId="6" borderId="1" xfId="0" applyFont="1" applyFill="1" applyBorder="1" applyAlignment="1">
      <alignment vertical="center"/>
    </xf>
    <xf numFmtId="0" fontId="2" fillId="0" borderId="1" xfId="0" applyFont="1" applyFill="1" applyBorder="1"/>
    <xf numFmtId="0" fontId="2" fillId="0" borderId="1" xfId="0" applyFont="1" applyBorder="1" applyAlignment="1"/>
    <xf numFmtId="0" fontId="2" fillId="0" borderId="1" xfId="0" applyFont="1" applyBorder="1" applyAlignment="1">
      <alignment horizontal="left"/>
    </xf>
    <xf numFmtId="0" fontId="2" fillId="0" borderId="1" xfId="0" applyFont="1" applyBorder="1" applyAlignment="1">
      <alignment horizontal="left" vertical="top"/>
    </xf>
    <xf numFmtId="0" fontId="2" fillId="0" borderId="1" xfId="0" applyFont="1" applyBorder="1" applyAlignment="1">
      <alignment wrapText="1"/>
    </xf>
    <xf numFmtId="0" fontId="2" fillId="0" borderId="1" xfId="0" applyFont="1" applyFill="1" applyBorder="1"/>
    <xf numFmtId="0" fontId="4" fillId="3" borderId="1" xfId="0" applyFont="1" applyFill="1" applyBorder="1"/>
    <xf numFmtId="0" fontId="4" fillId="2" borderId="1" xfId="0" applyFont="1" applyFill="1" applyBorder="1"/>
    <xf numFmtId="0" fontId="4" fillId="2" borderId="1" xfId="0" applyFont="1" applyFill="1" applyBorder="1" applyAlignment="1">
      <alignment horizontal="left" vertical="top" wrapText="1"/>
    </xf>
    <xf numFmtId="0" fontId="4" fillId="0" borderId="1" xfId="0" applyFont="1" applyFill="1" applyBorder="1" applyAlignment="1">
      <alignment wrapText="1"/>
    </xf>
    <xf numFmtId="0" fontId="4" fillId="0" borderId="0" xfId="0" applyFont="1"/>
    <xf numFmtId="0" fontId="4" fillId="0" borderId="1" xfId="0" applyFont="1" applyBorder="1" applyAlignment="1">
      <alignment wrapText="1"/>
    </xf>
    <xf numFmtId="0" fontId="4" fillId="0" borderId="1" xfId="0" applyFont="1" applyBorder="1"/>
    <xf numFmtId="0" fontId="4" fillId="0" borderId="1" xfId="0" applyFont="1" applyBorder="1" applyAlignment="1"/>
    <xf numFmtId="0" fontId="4" fillId="0" borderId="1" xfId="0" applyFont="1" applyFill="1" applyBorder="1"/>
    <xf numFmtId="164" fontId="4" fillId="0" borderId="1" xfId="0" applyNumberFormat="1" applyFont="1" applyFill="1" applyBorder="1" applyAlignment="1">
      <alignment wrapText="1"/>
    </xf>
    <xf numFmtId="164" fontId="4" fillId="0" borderId="1" xfId="0" applyNumberFormat="1" applyFont="1" applyFill="1" applyBorder="1"/>
    <xf numFmtId="164" fontId="4" fillId="0" borderId="1" xfId="0" applyNumberFormat="1" applyFont="1" applyFill="1" applyBorder="1" applyAlignment="1"/>
    <xf numFmtId="0" fontId="4" fillId="0" borderId="1" xfId="0" applyFont="1" applyBorder="1" applyAlignment="1">
      <alignment vertical="center"/>
    </xf>
    <xf numFmtId="0" fontId="4" fillId="0" borderId="1" xfId="0" applyFont="1" applyFill="1" applyBorder="1" applyAlignment="1"/>
    <xf numFmtId="0" fontId="4" fillId="0" borderId="0" xfId="0" applyFont="1"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O62"/>
  <sheetViews>
    <sheetView tabSelected="1" topLeftCell="CE13" zoomScale="85" zoomScaleNormal="85" workbookViewId="0">
      <selection activeCell="CO28" sqref="CO28"/>
    </sheetView>
  </sheetViews>
  <sheetFormatPr defaultRowHeight="23.25" customHeight="1" x14ac:dyDescent="0.25"/>
  <cols>
    <col min="1" max="1" width="25.85546875" style="1" customWidth="1"/>
    <col min="2" max="2" width="35.7109375" style="1" customWidth="1"/>
    <col min="3" max="65" width="16.5703125" style="20" customWidth="1"/>
    <col min="66" max="74" width="9.140625" style="20"/>
    <col min="75" max="75" width="9.140625" style="40"/>
    <col min="76" max="83" width="9.140625" style="20"/>
    <col min="84" max="85" width="9.140625" style="52"/>
    <col min="86" max="86" width="6.28515625" style="52" customWidth="1"/>
    <col min="87" max="87" width="13" style="52" customWidth="1"/>
    <col min="88" max="171" width="9.140625" style="52"/>
    <col min="172" max="172" width="9.140625" style="21"/>
    <col min="173" max="242" width="9.140625" style="20"/>
    <col min="243" max="243" width="9.140625" style="21"/>
    <col min="244" max="246" width="9.140625" style="20"/>
    <col min="247" max="249" width="9.140625" style="40"/>
    <col min="250" max="340" width="9.140625" style="20"/>
    <col min="351" max="351" width="18" customWidth="1"/>
  </cols>
  <sheetData>
    <row r="1" spans="1:353" ht="23.25" customHeight="1" x14ac:dyDescent="0.25">
      <c r="A1" s="2" t="s">
        <v>15</v>
      </c>
      <c r="B1" s="3" t="s">
        <v>5</v>
      </c>
      <c r="C1" s="2">
        <v>1</v>
      </c>
      <c r="D1" s="2">
        <v>1</v>
      </c>
      <c r="E1" s="2">
        <v>1</v>
      </c>
      <c r="F1" s="2">
        <v>1</v>
      </c>
      <c r="G1" s="2">
        <v>1</v>
      </c>
      <c r="H1" s="2">
        <v>1</v>
      </c>
      <c r="I1" s="2">
        <v>1</v>
      </c>
      <c r="J1" s="2">
        <v>1</v>
      </c>
      <c r="K1" s="2">
        <v>2</v>
      </c>
      <c r="L1" s="2">
        <v>2</v>
      </c>
      <c r="M1" s="2">
        <v>2</v>
      </c>
      <c r="N1" s="2">
        <v>2</v>
      </c>
      <c r="O1" s="2">
        <v>2</v>
      </c>
      <c r="P1" s="2">
        <v>2</v>
      </c>
      <c r="Q1" s="2">
        <v>2</v>
      </c>
      <c r="R1" s="2">
        <v>56</v>
      </c>
      <c r="S1" s="2">
        <v>56</v>
      </c>
      <c r="T1" s="2">
        <v>56</v>
      </c>
      <c r="U1" s="2">
        <v>56</v>
      </c>
      <c r="V1" s="2">
        <v>56</v>
      </c>
      <c r="W1" s="2">
        <v>56</v>
      </c>
      <c r="X1" s="2">
        <v>57</v>
      </c>
      <c r="Y1" s="2">
        <v>57</v>
      </c>
      <c r="Z1" s="2">
        <v>57</v>
      </c>
      <c r="AA1" s="2">
        <v>57</v>
      </c>
      <c r="AB1" s="2">
        <v>57</v>
      </c>
      <c r="AC1" s="2">
        <v>57</v>
      </c>
      <c r="AD1" s="2">
        <v>58</v>
      </c>
      <c r="AE1" s="2">
        <v>58</v>
      </c>
      <c r="AF1" s="2">
        <v>58</v>
      </c>
      <c r="AG1" s="2">
        <v>58</v>
      </c>
      <c r="AH1" s="2">
        <v>58</v>
      </c>
      <c r="AI1" s="2">
        <v>58</v>
      </c>
      <c r="AJ1" s="2">
        <v>59</v>
      </c>
      <c r="AK1" s="2">
        <v>59</v>
      </c>
      <c r="AL1" s="2">
        <v>59</v>
      </c>
      <c r="AM1" s="2">
        <v>59</v>
      </c>
      <c r="AN1" s="2">
        <v>59</v>
      </c>
      <c r="AO1" s="2">
        <v>59</v>
      </c>
      <c r="AP1" s="2">
        <v>60</v>
      </c>
      <c r="AQ1" s="2">
        <v>60</v>
      </c>
      <c r="AR1" s="2">
        <v>60</v>
      </c>
      <c r="AS1" s="2">
        <v>60</v>
      </c>
      <c r="AT1" s="2">
        <v>60</v>
      </c>
      <c r="AU1" s="2">
        <v>60</v>
      </c>
      <c r="AV1" s="2">
        <v>61</v>
      </c>
      <c r="AW1" s="2">
        <v>61</v>
      </c>
      <c r="AX1" s="2">
        <v>61</v>
      </c>
      <c r="AY1" s="2">
        <v>61</v>
      </c>
      <c r="AZ1" s="2">
        <v>61</v>
      </c>
      <c r="BA1" s="2">
        <v>61</v>
      </c>
      <c r="BB1" s="2">
        <v>62</v>
      </c>
      <c r="BC1" s="2">
        <v>62</v>
      </c>
      <c r="BD1" s="2">
        <v>62</v>
      </c>
      <c r="BE1" s="2">
        <v>62</v>
      </c>
      <c r="BF1" s="2">
        <v>62</v>
      </c>
      <c r="BG1" s="2">
        <v>62</v>
      </c>
      <c r="BH1" s="2">
        <v>63</v>
      </c>
      <c r="BI1" s="2">
        <v>63</v>
      </c>
      <c r="BJ1" s="2">
        <v>63</v>
      </c>
      <c r="BK1" s="2">
        <v>63</v>
      </c>
      <c r="BL1" s="2">
        <v>63</v>
      </c>
      <c r="BM1" s="2">
        <v>63</v>
      </c>
      <c r="BN1" s="2" t="s">
        <v>54</v>
      </c>
      <c r="BO1" s="2" t="s">
        <v>54</v>
      </c>
      <c r="BP1" s="2" t="s">
        <v>54</v>
      </c>
      <c r="BQ1" s="2" t="s">
        <v>54</v>
      </c>
      <c r="BR1" s="2" t="s">
        <v>54</v>
      </c>
      <c r="BS1" s="2" t="s">
        <v>54</v>
      </c>
      <c r="BT1" s="2" t="s">
        <v>54</v>
      </c>
      <c r="BU1" s="2" t="s">
        <v>54</v>
      </c>
      <c r="BV1" s="2" t="s">
        <v>90</v>
      </c>
      <c r="BW1" s="35" t="s">
        <v>90</v>
      </c>
      <c r="BX1" s="2" t="s">
        <v>90</v>
      </c>
      <c r="BY1" s="2" t="s">
        <v>90</v>
      </c>
      <c r="BZ1" s="2" t="s">
        <v>90</v>
      </c>
      <c r="CA1" s="2" t="s">
        <v>90</v>
      </c>
      <c r="CB1" s="2" t="s">
        <v>91</v>
      </c>
      <c r="CC1" s="2" t="s">
        <v>91</v>
      </c>
      <c r="CD1" s="2" t="s">
        <v>91</v>
      </c>
      <c r="CE1" s="2" t="s">
        <v>91</v>
      </c>
      <c r="CF1" s="48" t="s">
        <v>91</v>
      </c>
      <c r="CG1" s="48" t="s">
        <v>91</v>
      </c>
      <c r="CH1" s="48" t="s">
        <v>91</v>
      </c>
      <c r="CI1" s="48" t="s">
        <v>91</v>
      </c>
      <c r="CJ1" s="48" t="s">
        <v>92</v>
      </c>
      <c r="CK1" s="48" t="s">
        <v>92</v>
      </c>
      <c r="CL1" s="48" t="s">
        <v>92</v>
      </c>
      <c r="CM1" s="48" t="s">
        <v>92</v>
      </c>
      <c r="CN1" s="48" t="s">
        <v>92</v>
      </c>
      <c r="CO1" s="48" t="s">
        <v>92</v>
      </c>
      <c r="CP1" s="48" t="s">
        <v>92</v>
      </c>
      <c r="CQ1" s="48" t="s">
        <v>93</v>
      </c>
      <c r="CR1" s="48" t="s">
        <v>93</v>
      </c>
      <c r="CS1" s="48" t="s">
        <v>93</v>
      </c>
      <c r="CT1" s="48" t="s">
        <v>93</v>
      </c>
      <c r="CU1" s="48" t="s">
        <v>93</v>
      </c>
      <c r="CV1" s="48" t="s">
        <v>93</v>
      </c>
      <c r="CW1" s="48" t="s">
        <v>93</v>
      </c>
      <c r="CX1" s="48" t="s">
        <v>133</v>
      </c>
      <c r="CY1" s="48" t="s">
        <v>133</v>
      </c>
      <c r="CZ1" s="48" t="s">
        <v>133</v>
      </c>
      <c r="DA1" s="48" t="s">
        <v>133</v>
      </c>
      <c r="DB1" s="48" t="s">
        <v>133</v>
      </c>
      <c r="DC1" s="48" t="s">
        <v>133</v>
      </c>
      <c r="DD1" s="48" t="s">
        <v>133</v>
      </c>
      <c r="DE1" s="48" t="s">
        <v>133</v>
      </c>
      <c r="DF1" s="48" t="s">
        <v>134</v>
      </c>
      <c r="DG1" s="48" t="s">
        <v>134</v>
      </c>
      <c r="DH1" s="48" t="s">
        <v>134</v>
      </c>
      <c r="DI1" s="48" t="s">
        <v>134</v>
      </c>
      <c r="DJ1" s="48" t="s">
        <v>134</v>
      </c>
      <c r="DK1" s="48" t="s">
        <v>134</v>
      </c>
      <c r="DL1" s="48" t="s">
        <v>134</v>
      </c>
      <c r="DM1" s="48" t="s">
        <v>134</v>
      </c>
      <c r="DN1" s="48" t="s">
        <v>135</v>
      </c>
      <c r="DO1" s="48" t="s">
        <v>135</v>
      </c>
      <c r="DP1" s="48" t="s">
        <v>135</v>
      </c>
      <c r="DQ1" s="48" t="s">
        <v>135</v>
      </c>
      <c r="DR1" s="48" t="s">
        <v>135</v>
      </c>
      <c r="DS1" s="48" t="s">
        <v>135</v>
      </c>
      <c r="DT1" s="48" t="s">
        <v>135</v>
      </c>
      <c r="DU1" s="48" t="s">
        <v>135</v>
      </c>
      <c r="DV1" s="48" t="s">
        <v>136</v>
      </c>
      <c r="DW1" s="48" t="s">
        <v>136</v>
      </c>
      <c r="DX1" s="48" t="s">
        <v>136</v>
      </c>
      <c r="DY1" s="48" t="s">
        <v>136</v>
      </c>
      <c r="DZ1" s="48" t="s">
        <v>136</v>
      </c>
      <c r="EA1" s="48" t="s">
        <v>136</v>
      </c>
      <c r="EB1" s="48" t="s">
        <v>136</v>
      </c>
      <c r="EC1" s="48" t="s">
        <v>136</v>
      </c>
      <c r="ED1" s="48" t="s">
        <v>137</v>
      </c>
      <c r="EE1" s="48" t="s">
        <v>137</v>
      </c>
      <c r="EF1" s="48" t="s">
        <v>137</v>
      </c>
      <c r="EG1" s="48" t="s">
        <v>137</v>
      </c>
      <c r="EH1" s="48" t="s">
        <v>137</v>
      </c>
      <c r="EI1" s="48" t="s">
        <v>137</v>
      </c>
      <c r="EJ1" s="48" t="s">
        <v>137</v>
      </c>
      <c r="EK1" s="48" t="s">
        <v>137</v>
      </c>
      <c r="EL1" s="48" t="s">
        <v>138</v>
      </c>
      <c r="EM1" s="48" t="s">
        <v>138</v>
      </c>
      <c r="EN1" s="48" t="s">
        <v>138</v>
      </c>
      <c r="EO1" s="48" t="s">
        <v>138</v>
      </c>
      <c r="EP1" s="48" t="s">
        <v>138</v>
      </c>
      <c r="EQ1" s="48" t="s">
        <v>138</v>
      </c>
      <c r="ER1" s="48" t="s">
        <v>138</v>
      </c>
      <c r="ES1" s="48" t="s">
        <v>138</v>
      </c>
      <c r="ET1" s="48" t="s">
        <v>139</v>
      </c>
      <c r="EU1" s="48" t="s">
        <v>139</v>
      </c>
      <c r="EV1" s="48" t="s">
        <v>139</v>
      </c>
      <c r="EW1" s="48" t="s">
        <v>139</v>
      </c>
      <c r="EX1" s="48" t="s">
        <v>139</v>
      </c>
      <c r="EY1" s="48" t="s">
        <v>139</v>
      </c>
      <c r="EZ1" s="48" t="s">
        <v>139</v>
      </c>
      <c r="FA1" s="48" t="s">
        <v>139</v>
      </c>
      <c r="FB1" s="48" t="s">
        <v>140</v>
      </c>
      <c r="FC1" s="48" t="s">
        <v>140</v>
      </c>
      <c r="FD1" s="48" t="s">
        <v>140</v>
      </c>
      <c r="FE1" s="48" t="s">
        <v>140</v>
      </c>
      <c r="FF1" s="48" t="s">
        <v>140</v>
      </c>
      <c r="FG1" s="48" t="s">
        <v>140</v>
      </c>
      <c r="FH1" s="48" t="s">
        <v>140</v>
      </c>
      <c r="FI1" s="48" t="s">
        <v>141</v>
      </c>
      <c r="FJ1" s="48" t="s">
        <v>141</v>
      </c>
      <c r="FK1" s="48" t="s">
        <v>141</v>
      </c>
      <c r="FL1" s="48" t="s">
        <v>141</v>
      </c>
      <c r="FM1" s="48" t="s">
        <v>141</v>
      </c>
      <c r="FN1" s="48" t="s">
        <v>141</v>
      </c>
      <c r="FO1" s="48" t="s">
        <v>141</v>
      </c>
      <c r="FP1" s="2" t="s">
        <v>142</v>
      </c>
      <c r="FQ1" s="2" t="s">
        <v>142</v>
      </c>
      <c r="FR1" s="2" t="s">
        <v>142</v>
      </c>
      <c r="FS1" s="2" t="s">
        <v>142</v>
      </c>
      <c r="FT1" s="2" t="s">
        <v>142</v>
      </c>
      <c r="FU1" s="2" t="s">
        <v>142</v>
      </c>
      <c r="FV1" s="2" t="s">
        <v>142</v>
      </c>
      <c r="FW1" s="2" t="s">
        <v>142</v>
      </c>
      <c r="FX1" s="2" t="s">
        <v>143</v>
      </c>
      <c r="FY1" s="2" t="s">
        <v>143</v>
      </c>
      <c r="FZ1" s="2" t="s">
        <v>143</v>
      </c>
      <c r="GA1" s="2" t="s">
        <v>143</v>
      </c>
      <c r="GB1" s="2" t="s">
        <v>143</v>
      </c>
      <c r="GC1" s="2" t="s">
        <v>143</v>
      </c>
      <c r="GD1" s="2" t="s">
        <v>143</v>
      </c>
      <c r="GE1" s="2" t="s">
        <v>143</v>
      </c>
      <c r="GF1" s="2" t="s">
        <v>144</v>
      </c>
      <c r="GG1" s="2" t="s">
        <v>144</v>
      </c>
      <c r="GH1" s="2" t="s">
        <v>144</v>
      </c>
      <c r="GI1" s="2" t="s">
        <v>144</v>
      </c>
      <c r="GJ1" s="2" t="s">
        <v>144</v>
      </c>
      <c r="GK1" s="2" t="s">
        <v>144</v>
      </c>
      <c r="GL1" s="2" t="s">
        <v>144</v>
      </c>
      <c r="GM1" s="2" t="s">
        <v>144</v>
      </c>
      <c r="GN1" s="2" t="s">
        <v>145</v>
      </c>
      <c r="GO1" s="2" t="s">
        <v>145</v>
      </c>
      <c r="GP1" s="2" t="s">
        <v>145</v>
      </c>
      <c r="GQ1" s="2" t="s">
        <v>145</v>
      </c>
      <c r="GR1" s="2" t="s">
        <v>145</v>
      </c>
      <c r="GS1" s="2" t="s">
        <v>145</v>
      </c>
      <c r="GT1" s="2" t="s">
        <v>145</v>
      </c>
      <c r="GU1" s="2" t="s">
        <v>145</v>
      </c>
      <c r="GV1" s="2" t="s">
        <v>146</v>
      </c>
      <c r="GW1" s="2" t="s">
        <v>146</v>
      </c>
      <c r="GX1" s="2" t="s">
        <v>146</v>
      </c>
      <c r="GY1" s="2" t="s">
        <v>146</v>
      </c>
      <c r="GZ1" s="2" t="s">
        <v>146</v>
      </c>
      <c r="HA1" s="2" t="s">
        <v>146</v>
      </c>
      <c r="HB1" s="2" t="s">
        <v>146</v>
      </c>
      <c r="HC1" s="2" t="s">
        <v>146</v>
      </c>
      <c r="HD1" s="2" t="s">
        <v>147</v>
      </c>
      <c r="HE1" s="2" t="s">
        <v>147</v>
      </c>
      <c r="HF1" s="2" t="s">
        <v>147</v>
      </c>
      <c r="HG1" s="2" t="s">
        <v>147</v>
      </c>
      <c r="HH1" s="2" t="s">
        <v>147</v>
      </c>
      <c r="HI1" s="2" t="s">
        <v>147</v>
      </c>
      <c r="HJ1" s="2" t="s">
        <v>147</v>
      </c>
      <c r="HK1" s="2" t="s">
        <v>147</v>
      </c>
      <c r="HL1" s="2" t="s">
        <v>148</v>
      </c>
      <c r="HM1" s="2" t="s">
        <v>148</v>
      </c>
      <c r="HN1" s="2" t="s">
        <v>148</v>
      </c>
      <c r="HO1" s="2" t="s">
        <v>148</v>
      </c>
      <c r="HP1" s="2" t="s">
        <v>148</v>
      </c>
      <c r="HQ1" s="2" t="s">
        <v>148</v>
      </c>
      <c r="HR1" s="2" t="s">
        <v>148</v>
      </c>
      <c r="HS1" s="2" t="s">
        <v>148</v>
      </c>
      <c r="HT1" s="2" t="s">
        <v>165</v>
      </c>
      <c r="HU1" s="2" t="s">
        <v>165</v>
      </c>
      <c r="HV1" s="2" t="s">
        <v>165</v>
      </c>
      <c r="HW1" s="2" t="s">
        <v>165</v>
      </c>
      <c r="HX1" s="2" t="s">
        <v>165</v>
      </c>
      <c r="HY1" s="2" t="s">
        <v>165</v>
      </c>
      <c r="HZ1" s="2" t="s">
        <v>165</v>
      </c>
      <c r="IA1" s="2" t="s">
        <v>165</v>
      </c>
      <c r="IB1" s="2" t="s">
        <v>166</v>
      </c>
      <c r="IC1" s="2" t="s">
        <v>166</v>
      </c>
      <c r="ID1" s="2" t="s">
        <v>166</v>
      </c>
      <c r="IE1" s="2" t="s">
        <v>166</v>
      </c>
      <c r="IF1" s="2" t="s">
        <v>166</v>
      </c>
      <c r="IG1" s="2" t="s">
        <v>166</v>
      </c>
      <c r="IH1" s="2" t="s">
        <v>166</v>
      </c>
      <c r="II1" s="2" t="s">
        <v>167</v>
      </c>
      <c r="IJ1" s="2" t="s">
        <v>167</v>
      </c>
      <c r="IK1" s="2" t="s">
        <v>167</v>
      </c>
      <c r="IL1" s="2" t="s">
        <v>167</v>
      </c>
      <c r="IM1" s="35" t="s">
        <v>167</v>
      </c>
      <c r="IN1" s="35" t="s">
        <v>167</v>
      </c>
      <c r="IO1" s="35" t="s">
        <v>167</v>
      </c>
      <c r="IP1" s="2" t="s">
        <v>167</v>
      </c>
      <c r="IQ1" s="2" t="s">
        <v>168</v>
      </c>
      <c r="IR1" s="2" t="s">
        <v>168</v>
      </c>
      <c r="IS1" s="2" t="s">
        <v>168</v>
      </c>
      <c r="IT1" s="2" t="s">
        <v>168</v>
      </c>
      <c r="IU1" s="2" t="s">
        <v>168</v>
      </c>
      <c r="IV1" s="2" t="s">
        <v>168</v>
      </c>
      <c r="IW1" s="2" t="s">
        <v>168</v>
      </c>
      <c r="IX1" s="2" t="s">
        <v>169</v>
      </c>
      <c r="IY1" s="2" t="s">
        <v>169</v>
      </c>
      <c r="IZ1" s="2" t="s">
        <v>169</v>
      </c>
      <c r="JA1" s="2" t="s">
        <v>169</v>
      </c>
      <c r="JB1" s="2" t="s">
        <v>169</v>
      </c>
      <c r="JC1" s="2" t="s">
        <v>169</v>
      </c>
      <c r="JD1" s="2" t="s">
        <v>169</v>
      </c>
      <c r="JE1" s="2" t="s">
        <v>169</v>
      </c>
      <c r="JF1" s="2" t="s">
        <v>169</v>
      </c>
      <c r="JG1" s="2" t="s">
        <v>169</v>
      </c>
      <c r="JH1" s="2" t="s">
        <v>169</v>
      </c>
      <c r="JI1" s="2" t="s">
        <v>169</v>
      </c>
      <c r="JJ1" s="2" t="s">
        <v>170</v>
      </c>
      <c r="JK1" s="2" t="s">
        <v>170</v>
      </c>
      <c r="JL1" s="2" t="s">
        <v>170</v>
      </c>
      <c r="JM1" s="2" t="s">
        <v>170</v>
      </c>
      <c r="JN1" s="2" t="s">
        <v>170</v>
      </c>
      <c r="JO1" s="2" t="s">
        <v>170</v>
      </c>
      <c r="JP1" s="2" t="s">
        <v>170</v>
      </c>
      <c r="JQ1" s="2" t="s">
        <v>170</v>
      </c>
      <c r="JR1" s="2" t="s">
        <v>170</v>
      </c>
      <c r="JS1" s="2" t="s">
        <v>170</v>
      </c>
      <c r="JT1" s="2" t="s">
        <v>170</v>
      </c>
      <c r="JU1" s="2" t="s">
        <v>170</v>
      </c>
      <c r="JV1" s="2" t="s">
        <v>171</v>
      </c>
      <c r="JW1" s="2" t="s">
        <v>171</v>
      </c>
      <c r="JX1" s="2" t="s">
        <v>171</v>
      </c>
      <c r="JY1" s="2" t="s">
        <v>171</v>
      </c>
      <c r="JZ1" s="2" t="s">
        <v>171</v>
      </c>
      <c r="KA1" s="2" t="s">
        <v>171</v>
      </c>
      <c r="KB1" s="2" t="s">
        <v>171</v>
      </c>
      <c r="KC1" s="2" t="s">
        <v>171</v>
      </c>
      <c r="KD1" s="2" t="s">
        <v>171</v>
      </c>
      <c r="KE1" s="2" t="s">
        <v>171</v>
      </c>
      <c r="KF1" s="2" t="s">
        <v>171</v>
      </c>
      <c r="KG1" s="2" t="s">
        <v>171</v>
      </c>
      <c r="KH1" s="2" t="s">
        <v>185</v>
      </c>
      <c r="KI1" s="2" t="s">
        <v>185</v>
      </c>
      <c r="KJ1" s="2" t="s">
        <v>185</v>
      </c>
      <c r="KK1" s="2" t="s">
        <v>185</v>
      </c>
      <c r="KL1" s="2" t="s">
        <v>185</v>
      </c>
      <c r="KM1" s="2" t="s">
        <v>185</v>
      </c>
      <c r="KN1" s="2" t="s">
        <v>185</v>
      </c>
      <c r="KO1" s="2" t="s">
        <v>185</v>
      </c>
      <c r="KP1" s="2" t="s">
        <v>185</v>
      </c>
      <c r="KQ1" s="2" t="s">
        <v>185</v>
      </c>
      <c r="KR1" s="2" t="s">
        <v>185</v>
      </c>
      <c r="KS1" s="2" t="s">
        <v>185</v>
      </c>
      <c r="KT1" s="2" t="s">
        <v>186</v>
      </c>
      <c r="KU1" s="2" t="s">
        <v>186</v>
      </c>
      <c r="KV1" s="2" t="s">
        <v>186</v>
      </c>
      <c r="KW1" s="2" t="s">
        <v>186</v>
      </c>
      <c r="KX1" s="2" t="s">
        <v>186</v>
      </c>
      <c r="KY1" s="2" t="s">
        <v>186</v>
      </c>
      <c r="KZ1" s="2" t="s">
        <v>186</v>
      </c>
      <c r="LA1" s="2" t="s">
        <v>186</v>
      </c>
      <c r="LB1" s="2" t="s">
        <v>186</v>
      </c>
      <c r="LC1" s="2" t="s">
        <v>186</v>
      </c>
      <c r="LD1" s="2" t="s">
        <v>186</v>
      </c>
      <c r="LE1" s="2" t="s">
        <v>186</v>
      </c>
      <c r="LF1" s="2" t="s">
        <v>187</v>
      </c>
      <c r="LG1" s="2" t="s">
        <v>187</v>
      </c>
      <c r="LH1" s="2" t="s">
        <v>187</v>
      </c>
      <c r="LI1" s="2" t="s">
        <v>187</v>
      </c>
      <c r="LJ1" s="2" t="s">
        <v>187</v>
      </c>
      <c r="LK1" s="2" t="s">
        <v>187</v>
      </c>
      <c r="LL1" s="2" t="s">
        <v>187</v>
      </c>
      <c r="LM1" s="2" t="s">
        <v>187</v>
      </c>
      <c r="LN1" s="2" t="s">
        <v>187</v>
      </c>
      <c r="LO1" s="2" t="s">
        <v>187</v>
      </c>
      <c r="LP1" s="2" t="s">
        <v>187</v>
      </c>
      <c r="LQ1" s="2" t="s">
        <v>187</v>
      </c>
      <c r="LR1" s="2" t="s">
        <v>188</v>
      </c>
      <c r="LS1" s="2" t="s">
        <v>188</v>
      </c>
      <c r="LT1" s="2" t="s">
        <v>188</v>
      </c>
      <c r="LU1" s="2" t="s">
        <v>188</v>
      </c>
      <c r="LV1" s="2" t="s">
        <v>188</v>
      </c>
      <c r="LW1" s="2" t="s">
        <v>188</v>
      </c>
      <c r="LX1" s="2" t="s">
        <v>188</v>
      </c>
      <c r="LY1" s="2" t="s">
        <v>188</v>
      </c>
      <c r="LZ1" s="2" t="s">
        <v>188</v>
      </c>
      <c r="MA1" s="2" t="s">
        <v>188</v>
      </c>
      <c r="MB1" s="2" t="s">
        <v>188</v>
      </c>
      <c r="MC1" s="2" t="s">
        <v>189</v>
      </c>
      <c r="MD1" s="2" t="s">
        <v>189</v>
      </c>
      <c r="ME1" s="2" t="s">
        <v>189</v>
      </c>
      <c r="MF1" s="2" t="s">
        <v>189</v>
      </c>
      <c r="MG1" s="2" t="s">
        <v>189</v>
      </c>
      <c r="MH1" s="2" t="s">
        <v>189</v>
      </c>
      <c r="MI1" s="2" t="s">
        <v>189</v>
      </c>
      <c r="MJ1" s="2" t="s">
        <v>189</v>
      </c>
      <c r="MK1" s="2" t="s">
        <v>189</v>
      </c>
      <c r="ML1" s="2" t="s">
        <v>189</v>
      </c>
      <c r="MM1" s="2">
        <v>10</v>
      </c>
      <c r="MN1" s="2">
        <v>11</v>
      </c>
    </row>
    <row r="2" spans="1:353" ht="23.25" customHeight="1" x14ac:dyDescent="0.25">
      <c r="A2" s="4" t="s">
        <v>16</v>
      </c>
      <c r="B2" s="4"/>
      <c r="C2" s="4" t="s">
        <v>55</v>
      </c>
      <c r="D2" s="4"/>
      <c r="E2" s="4"/>
      <c r="F2" s="4"/>
      <c r="G2" s="4"/>
      <c r="H2" s="4"/>
      <c r="I2" s="4"/>
      <c r="J2" s="4"/>
      <c r="K2" s="4" t="s">
        <v>56</v>
      </c>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t="s">
        <v>57</v>
      </c>
      <c r="BO2" s="4"/>
      <c r="BP2" s="4"/>
      <c r="BQ2" s="4"/>
      <c r="BR2" s="4"/>
      <c r="BS2" s="4"/>
      <c r="BT2" s="4"/>
      <c r="BU2" s="4"/>
      <c r="BV2" s="4" t="s">
        <v>94</v>
      </c>
      <c r="BW2" s="35"/>
      <c r="BX2" s="4"/>
      <c r="BY2" s="4"/>
      <c r="BZ2" s="4"/>
      <c r="CA2" s="4"/>
      <c r="CB2" s="4" t="s">
        <v>95</v>
      </c>
      <c r="CC2" s="4"/>
      <c r="CD2" s="4"/>
      <c r="CE2" s="4"/>
      <c r="CF2" s="49"/>
      <c r="CG2" s="49"/>
      <c r="CH2" s="49"/>
      <c r="CI2" s="49"/>
      <c r="CJ2" s="49" t="s">
        <v>96</v>
      </c>
      <c r="CK2" s="49"/>
      <c r="CL2" s="49"/>
      <c r="CM2" s="49"/>
      <c r="CN2" s="49"/>
      <c r="CO2" s="49"/>
      <c r="CP2" s="49"/>
      <c r="CQ2" s="49" t="s">
        <v>97</v>
      </c>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c r="ET2" s="49"/>
      <c r="EU2" s="49"/>
      <c r="EV2" s="49"/>
      <c r="EW2" s="49"/>
      <c r="EX2" s="49"/>
      <c r="EY2" s="49"/>
      <c r="EZ2" s="49"/>
      <c r="FA2" s="49"/>
      <c r="FB2" s="49"/>
      <c r="FC2" s="49"/>
      <c r="FD2" s="49"/>
      <c r="FE2" s="49"/>
      <c r="FF2" s="49"/>
      <c r="FG2" s="49"/>
      <c r="FH2" s="49"/>
      <c r="FI2" s="49"/>
      <c r="FJ2" s="49"/>
      <c r="FK2" s="49"/>
      <c r="FL2" s="49"/>
      <c r="FM2" s="49"/>
      <c r="FN2" s="49"/>
      <c r="FO2" s="49"/>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35"/>
      <c r="IN2" s="35"/>
      <c r="IO2" s="35"/>
      <c r="IP2" s="4"/>
      <c r="IQ2" s="4"/>
      <c r="IR2" s="4"/>
      <c r="IS2" s="4"/>
      <c r="IT2" s="4"/>
      <c r="IU2" s="4"/>
      <c r="IV2" s="4"/>
      <c r="IW2" s="4"/>
      <c r="IX2" s="4"/>
      <c r="IY2" s="4"/>
      <c r="IZ2" s="4"/>
      <c r="JA2" s="4"/>
      <c r="JB2" s="4"/>
      <c r="JC2" s="4"/>
      <c r="JD2" s="4"/>
      <c r="JE2" s="4"/>
      <c r="JF2" s="4"/>
      <c r="JG2" s="4"/>
      <c r="JH2" s="4"/>
      <c r="JI2" s="4"/>
      <c r="JJ2" s="4"/>
      <c r="JK2" s="4"/>
      <c r="JL2" s="4"/>
      <c r="JM2" s="4"/>
      <c r="JN2" s="4"/>
      <c r="JO2" s="4"/>
      <c r="JP2" s="4"/>
      <c r="JQ2" s="4"/>
      <c r="JR2" s="4"/>
      <c r="JS2" s="4"/>
      <c r="JT2" s="4"/>
      <c r="JU2" s="4"/>
      <c r="JV2" s="4"/>
      <c r="JW2" s="4"/>
      <c r="JX2" s="4"/>
      <c r="JY2" s="4"/>
      <c r="JZ2" s="4"/>
      <c r="KA2" s="4"/>
      <c r="KB2" s="4"/>
      <c r="KC2" s="4"/>
      <c r="KD2" s="4"/>
      <c r="KE2" s="4"/>
      <c r="KF2" s="4"/>
      <c r="KG2" s="4"/>
      <c r="KH2" s="4"/>
      <c r="KI2" s="4"/>
      <c r="KJ2" s="4"/>
      <c r="KK2" s="4"/>
      <c r="KL2" s="4"/>
      <c r="KM2" s="4"/>
      <c r="KN2" s="4"/>
      <c r="KO2" s="4"/>
      <c r="KP2" s="4"/>
      <c r="KQ2" s="4"/>
      <c r="KR2" s="4"/>
      <c r="KS2" s="4"/>
      <c r="KT2" s="4"/>
      <c r="KU2" s="4"/>
      <c r="KV2" s="4"/>
      <c r="KW2" s="4"/>
      <c r="KX2" s="4"/>
      <c r="KY2" s="4"/>
      <c r="KZ2" s="4"/>
      <c r="LA2" s="4"/>
      <c r="LB2" s="4"/>
      <c r="LC2" s="4"/>
      <c r="LD2" s="4"/>
      <c r="LE2" s="4"/>
      <c r="LF2" s="4"/>
      <c r="LG2" s="4"/>
      <c r="LH2" s="4"/>
      <c r="LI2" s="4"/>
      <c r="LJ2" s="4"/>
      <c r="LK2" s="4"/>
      <c r="LL2" s="4"/>
      <c r="LM2" s="4"/>
      <c r="LN2" s="4"/>
      <c r="LO2" s="4"/>
      <c r="LP2" s="4"/>
      <c r="LQ2" s="4"/>
      <c r="LR2" s="4"/>
      <c r="LS2" s="4"/>
      <c r="LT2" s="4"/>
      <c r="LU2" s="4"/>
      <c r="LV2" s="4"/>
      <c r="LW2" s="4"/>
      <c r="LX2" s="4"/>
      <c r="LY2" s="4"/>
      <c r="LZ2" s="4"/>
      <c r="MA2" s="4"/>
      <c r="MB2" s="4"/>
      <c r="MC2" s="4"/>
      <c r="MD2" s="4"/>
      <c r="ME2" s="4"/>
      <c r="MF2" s="4"/>
      <c r="MG2" s="4"/>
      <c r="MH2" s="4"/>
      <c r="MI2" s="4"/>
      <c r="MJ2" s="4"/>
      <c r="MK2" s="4"/>
      <c r="ML2" s="4"/>
      <c r="MM2" s="4"/>
      <c r="MN2" s="4"/>
    </row>
    <row r="3" spans="1:353" ht="23.25" customHeight="1" x14ac:dyDescent="0.25">
      <c r="A3" s="45"/>
      <c r="B3" s="45"/>
      <c r="C3" s="13" t="s">
        <v>457</v>
      </c>
      <c r="D3" s="13"/>
      <c r="E3" s="13"/>
      <c r="F3" s="13"/>
      <c r="G3" s="13"/>
      <c r="H3" s="13"/>
      <c r="I3" s="13"/>
      <c r="J3" s="13"/>
      <c r="K3" s="13" t="s">
        <v>458</v>
      </c>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t="s">
        <v>459</v>
      </c>
      <c r="BO3" s="13"/>
      <c r="BP3" s="13"/>
      <c r="BQ3" s="13"/>
      <c r="BR3" s="13"/>
      <c r="BS3" s="13"/>
      <c r="BT3" s="13"/>
      <c r="BU3" s="13"/>
      <c r="BV3" s="13" t="s">
        <v>461</v>
      </c>
      <c r="BW3" s="36"/>
      <c r="BX3" s="13"/>
      <c r="BY3" s="13"/>
      <c r="BZ3" s="13"/>
      <c r="CA3" s="13"/>
      <c r="CB3" s="13" t="s">
        <v>462</v>
      </c>
      <c r="CC3" s="13"/>
      <c r="CD3" s="13"/>
      <c r="CE3" s="13"/>
      <c r="CF3" s="50"/>
      <c r="CG3" s="50"/>
      <c r="CH3" s="50"/>
      <c r="CI3" s="50"/>
      <c r="CJ3" s="50" t="s">
        <v>464</v>
      </c>
      <c r="CK3" s="50"/>
      <c r="CL3" s="50"/>
      <c r="CM3" s="50"/>
      <c r="CN3" s="50"/>
      <c r="CO3" s="50"/>
      <c r="CP3" s="50"/>
      <c r="CQ3" s="50" t="s">
        <v>466</v>
      </c>
      <c r="CR3" s="50"/>
      <c r="CS3" s="50"/>
      <c r="CT3" s="50"/>
      <c r="CU3" s="50"/>
      <c r="CV3" s="50"/>
      <c r="CW3" s="50"/>
      <c r="CX3" s="50" t="s">
        <v>468</v>
      </c>
      <c r="CY3" s="50"/>
      <c r="CZ3" s="50"/>
      <c r="DA3" s="50"/>
      <c r="DB3" s="50"/>
      <c r="DC3" s="50"/>
      <c r="DD3" s="50"/>
      <c r="DE3" s="50"/>
      <c r="DF3" s="50" t="s">
        <v>470</v>
      </c>
      <c r="DG3" s="50"/>
      <c r="DH3" s="50"/>
      <c r="DI3" s="50"/>
      <c r="DJ3" s="50"/>
      <c r="DK3" s="50"/>
      <c r="DL3" s="50"/>
      <c r="DM3" s="50"/>
      <c r="DN3" s="50" t="s">
        <v>472</v>
      </c>
      <c r="DO3" s="50"/>
      <c r="DP3" s="50"/>
      <c r="DQ3" s="50"/>
      <c r="DR3" s="50"/>
      <c r="DS3" s="50"/>
      <c r="DT3" s="50"/>
      <c r="DU3" s="50"/>
      <c r="DV3" s="50" t="s">
        <v>474</v>
      </c>
      <c r="DW3" s="50"/>
      <c r="DX3" s="50"/>
      <c r="DY3" s="50"/>
      <c r="DZ3" s="50"/>
      <c r="EA3" s="50"/>
      <c r="EB3" s="50"/>
      <c r="EC3" s="50"/>
      <c r="ED3" s="50" t="s">
        <v>476</v>
      </c>
      <c r="EE3" s="50"/>
      <c r="EF3" s="50"/>
      <c r="EG3" s="50"/>
      <c r="EH3" s="50"/>
      <c r="EI3" s="50"/>
      <c r="EJ3" s="50"/>
      <c r="EK3" s="50"/>
      <c r="EL3" s="50" t="s">
        <v>478</v>
      </c>
      <c r="EM3" s="50"/>
      <c r="EN3" s="50"/>
      <c r="EO3" s="50"/>
      <c r="EP3" s="50"/>
      <c r="EQ3" s="50"/>
      <c r="ER3" s="50"/>
      <c r="ES3" s="50"/>
      <c r="ET3" s="50" t="s">
        <v>480</v>
      </c>
      <c r="EU3" s="50"/>
      <c r="EV3" s="50"/>
      <c r="EW3" s="50"/>
      <c r="EX3" s="50"/>
      <c r="EY3" s="50"/>
      <c r="EZ3" s="50"/>
      <c r="FA3" s="50"/>
      <c r="FB3" s="50" t="s">
        <v>482</v>
      </c>
      <c r="FC3" s="50"/>
      <c r="FD3" s="50"/>
      <c r="FE3" s="50"/>
      <c r="FF3" s="50"/>
      <c r="FG3" s="50"/>
      <c r="FH3" s="50"/>
      <c r="FI3" s="50" t="s">
        <v>484</v>
      </c>
      <c r="FJ3" s="50"/>
      <c r="FK3" s="50"/>
      <c r="FL3" s="50"/>
      <c r="FM3" s="50"/>
      <c r="FN3" s="50"/>
      <c r="FO3" s="50"/>
      <c r="FP3" s="13" t="s">
        <v>223</v>
      </c>
      <c r="FQ3" s="13"/>
      <c r="FR3" s="13"/>
      <c r="FS3" s="13"/>
      <c r="FT3" s="13"/>
      <c r="FU3" s="13"/>
      <c r="FV3" s="13"/>
      <c r="FW3" s="13"/>
      <c r="FX3" s="13" t="s">
        <v>225</v>
      </c>
      <c r="FY3" s="13"/>
      <c r="FZ3" s="13"/>
      <c r="GA3" s="13"/>
      <c r="GB3" s="13"/>
      <c r="GC3" s="13"/>
      <c r="GD3" s="13"/>
      <c r="GE3" s="13"/>
      <c r="GF3" s="13" t="s">
        <v>227</v>
      </c>
      <c r="GG3" s="13"/>
      <c r="GH3" s="13"/>
      <c r="GI3" s="13"/>
      <c r="GJ3" s="13"/>
      <c r="GK3" s="13"/>
      <c r="GL3" s="13"/>
      <c r="GM3" s="13"/>
      <c r="GN3" s="13" t="s">
        <v>229</v>
      </c>
      <c r="GO3" s="13"/>
      <c r="GP3" s="13"/>
      <c r="GQ3" s="13"/>
      <c r="GR3" s="13"/>
      <c r="GS3" s="13"/>
      <c r="GT3" s="13"/>
      <c r="GU3" s="13"/>
      <c r="GV3" s="13" t="s">
        <v>231</v>
      </c>
      <c r="GW3" s="13"/>
      <c r="GX3" s="13"/>
      <c r="GY3" s="13"/>
      <c r="GZ3" s="13"/>
      <c r="HA3" s="13"/>
      <c r="HB3" s="13"/>
      <c r="HC3" s="13"/>
      <c r="HD3" s="13" t="s">
        <v>233</v>
      </c>
      <c r="HE3" s="13"/>
      <c r="HF3" s="13"/>
      <c r="HG3" s="13"/>
      <c r="HH3" s="13"/>
      <c r="HI3" s="13"/>
      <c r="HJ3" s="13"/>
      <c r="HK3" s="13"/>
      <c r="HL3" s="13" t="s">
        <v>235</v>
      </c>
      <c r="HM3" s="13"/>
      <c r="HN3" s="13"/>
      <c r="HO3" s="13"/>
      <c r="HP3" s="13"/>
      <c r="HQ3" s="13"/>
      <c r="HR3" s="13"/>
      <c r="HS3" s="13"/>
      <c r="HT3" s="13" t="s">
        <v>237</v>
      </c>
      <c r="HU3" s="13"/>
      <c r="HV3" s="13"/>
      <c r="HW3" s="13"/>
      <c r="HX3" s="13"/>
      <c r="HY3" s="13"/>
      <c r="HZ3" s="13"/>
      <c r="IA3" s="13"/>
      <c r="IB3" s="13" t="s">
        <v>239</v>
      </c>
      <c r="IC3" s="13"/>
      <c r="ID3" s="13"/>
      <c r="IE3" s="13"/>
      <c r="IF3" s="13"/>
      <c r="IG3" s="13"/>
      <c r="IH3" s="13"/>
      <c r="II3" s="13" t="s">
        <v>486</v>
      </c>
      <c r="IJ3" s="13"/>
      <c r="IK3" s="13"/>
      <c r="IL3" s="13"/>
      <c r="IM3" s="36"/>
      <c r="IN3" s="36"/>
      <c r="IO3" s="36"/>
      <c r="IP3" s="13"/>
      <c r="IQ3" s="13" t="s">
        <v>487</v>
      </c>
      <c r="IR3" s="13"/>
      <c r="IS3" s="13"/>
      <c r="IT3" s="13"/>
      <c r="IU3" s="13"/>
      <c r="IV3" s="13"/>
      <c r="IW3" s="13"/>
      <c r="IX3" s="13" t="s">
        <v>489</v>
      </c>
      <c r="IY3" s="13"/>
      <c r="IZ3" s="13"/>
      <c r="JA3" s="13"/>
      <c r="JB3" s="13"/>
      <c r="JC3" s="13"/>
      <c r="JD3" s="13"/>
      <c r="JE3" s="13"/>
      <c r="JF3" s="13"/>
      <c r="JG3" s="13"/>
      <c r="JH3" s="13"/>
      <c r="JI3" s="13"/>
      <c r="JJ3" s="13" t="s">
        <v>491</v>
      </c>
      <c r="JK3" s="13"/>
      <c r="JL3" s="13"/>
      <c r="JM3" s="13"/>
      <c r="JN3" s="13"/>
      <c r="JO3" s="13"/>
      <c r="JP3" s="13"/>
      <c r="JQ3" s="13"/>
      <c r="JR3" s="13"/>
      <c r="JS3" s="13"/>
      <c r="JT3" s="13"/>
      <c r="JU3" s="13"/>
      <c r="JV3" s="13" t="s">
        <v>493</v>
      </c>
      <c r="JW3" s="13"/>
      <c r="JX3" s="13"/>
      <c r="JY3" s="13"/>
      <c r="JZ3" s="13"/>
      <c r="KA3" s="13"/>
      <c r="KB3" s="13"/>
      <c r="KC3" s="13"/>
      <c r="KD3" s="13"/>
      <c r="KE3" s="13"/>
      <c r="KF3" s="13"/>
      <c r="KG3" s="13"/>
      <c r="KH3" s="13" t="s">
        <v>495</v>
      </c>
      <c r="KI3" s="13"/>
      <c r="KJ3" s="13"/>
      <c r="KK3" s="13"/>
      <c r="KL3" s="13"/>
      <c r="KM3" s="13"/>
      <c r="KN3" s="13"/>
      <c r="KO3" s="13"/>
      <c r="KP3" s="13"/>
      <c r="KQ3" s="13"/>
      <c r="KR3" s="13"/>
      <c r="KS3" s="13"/>
      <c r="KT3" s="13" t="s">
        <v>497</v>
      </c>
      <c r="KU3" s="13"/>
      <c r="KV3" s="13"/>
      <c r="KW3" s="13"/>
      <c r="KX3" s="13"/>
      <c r="KY3" s="13"/>
      <c r="KZ3" s="13"/>
      <c r="LA3" s="13"/>
      <c r="LB3" s="13"/>
      <c r="LC3" s="13"/>
      <c r="LD3" s="13"/>
      <c r="LE3" s="13"/>
      <c r="LF3" s="13" t="s">
        <v>499</v>
      </c>
      <c r="LG3" s="13"/>
      <c r="LH3" s="13"/>
      <c r="LI3" s="13"/>
      <c r="LJ3" s="13"/>
      <c r="LK3" s="13"/>
      <c r="LL3" s="13"/>
      <c r="LM3" s="13"/>
      <c r="LN3" s="13"/>
      <c r="LO3" s="13"/>
      <c r="LP3" s="13"/>
      <c r="LQ3" s="13"/>
      <c r="LR3" s="13" t="s">
        <v>501</v>
      </c>
      <c r="LS3" s="13"/>
      <c r="LT3" s="13"/>
      <c r="LU3" s="13"/>
      <c r="LV3" s="13"/>
      <c r="LW3" s="13"/>
      <c r="LX3" s="13"/>
      <c r="LY3" s="13"/>
      <c r="LZ3" s="13"/>
      <c r="MA3" s="13"/>
      <c r="MB3" s="13"/>
      <c r="MC3" s="13" t="s">
        <v>503</v>
      </c>
      <c r="MD3" s="13"/>
      <c r="ME3" s="13"/>
      <c r="MF3" s="13"/>
      <c r="MG3" s="13"/>
      <c r="MH3" s="13"/>
      <c r="MI3" s="13"/>
      <c r="MJ3" s="13"/>
      <c r="MK3" s="13"/>
      <c r="ML3" s="13"/>
      <c r="MM3" s="13" t="s">
        <v>505</v>
      </c>
      <c r="MN3" s="13" t="s">
        <v>507</v>
      </c>
    </row>
    <row r="4" spans="1:353" ht="23.25" customHeight="1" x14ac:dyDescent="0.25">
      <c r="A4" s="45"/>
      <c r="B4" s="45"/>
      <c r="C4" s="13" t="s">
        <v>192</v>
      </c>
      <c r="D4" s="13"/>
      <c r="E4" s="13"/>
      <c r="F4" s="13"/>
      <c r="G4" s="13"/>
      <c r="H4" s="13"/>
      <c r="I4" s="13"/>
      <c r="J4" s="13"/>
      <c r="K4" s="13" t="s">
        <v>541</v>
      </c>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t="s">
        <v>460</v>
      </c>
      <c r="BO4" s="13"/>
      <c r="BP4" s="13"/>
      <c r="BQ4" s="13"/>
      <c r="BR4" s="13"/>
      <c r="BS4" s="13"/>
      <c r="BT4" s="13"/>
      <c r="BU4" s="13"/>
      <c r="BV4" s="13" t="s">
        <v>542</v>
      </c>
      <c r="BW4" s="36"/>
      <c r="BX4" s="13"/>
      <c r="BY4" s="13"/>
      <c r="BZ4" s="13"/>
      <c r="CA4" s="13"/>
      <c r="CB4" s="13" t="s">
        <v>463</v>
      </c>
      <c r="CC4" s="13"/>
      <c r="CD4" s="13"/>
      <c r="CE4" s="13"/>
      <c r="CF4" s="50"/>
      <c r="CG4" s="50"/>
      <c r="CH4" s="50"/>
      <c r="CI4" s="50"/>
      <c r="CJ4" s="50" t="s">
        <v>465</v>
      </c>
      <c r="CK4" s="50"/>
      <c r="CL4" s="50"/>
      <c r="CM4" s="50"/>
      <c r="CN4" s="50"/>
      <c r="CO4" s="50"/>
      <c r="CP4" s="50"/>
      <c r="CQ4" s="50" t="s">
        <v>467</v>
      </c>
      <c r="CR4" s="50"/>
      <c r="CS4" s="50"/>
      <c r="CT4" s="50"/>
      <c r="CU4" s="50"/>
      <c r="CV4" s="50"/>
      <c r="CW4" s="50"/>
      <c r="CX4" s="50" t="s">
        <v>469</v>
      </c>
      <c r="CY4" s="50"/>
      <c r="CZ4" s="50"/>
      <c r="DA4" s="50"/>
      <c r="DB4" s="50"/>
      <c r="DC4" s="50"/>
      <c r="DD4" s="50"/>
      <c r="DE4" s="50"/>
      <c r="DF4" s="50" t="s">
        <v>471</v>
      </c>
      <c r="DG4" s="50"/>
      <c r="DH4" s="50"/>
      <c r="DI4" s="50"/>
      <c r="DJ4" s="50"/>
      <c r="DK4" s="50"/>
      <c r="DL4" s="50"/>
      <c r="DM4" s="50"/>
      <c r="DN4" s="50" t="s">
        <v>473</v>
      </c>
      <c r="DO4" s="50"/>
      <c r="DP4" s="50"/>
      <c r="DQ4" s="50"/>
      <c r="DR4" s="50"/>
      <c r="DS4" s="50"/>
      <c r="DT4" s="50"/>
      <c r="DU4" s="50"/>
      <c r="DV4" s="50" t="s">
        <v>475</v>
      </c>
      <c r="DW4" s="50"/>
      <c r="DX4" s="50"/>
      <c r="DY4" s="50"/>
      <c r="DZ4" s="50"/>
      <c r="EA4" s="50"/>
      <c r="EB4" s="50"/>
      <c r="EC4" s="50"/>
      <c r="ED4" s="50" t="s">
        <v>477</v>
      </c>
      <c r="EE4" s="50"/>
      <c r="EF4" s="50"/>
      <c r="EG4" s="50"/>
      <c r="EH4" s="50"/>
      <c r="EI4" s="50"/>
      <c r="EJ4" s="50"/>
      <c r="EK4" s="50"/>
      <c r="EL4" s="50" t="s">
        <v>479</v>
      </c>
      <c r="EM4" s="50"/>
      <c r="EN4" s="50"/>
      <c r="EO4" s="50"/>
      <c r="EP4" s="50"/>
      <c r="EQ4" s="50"/>
      <c r="ER4" s="50"/>
      <c r="ES4" s="50"/>
      <c r="ET4" s="50" t="s">
        <v>481</v>
      </c>
      <c r="EU4" s="50"/>
      <c r="EV4" s="50"/>
      <c r="EW4" s="50"/>
      <c r="EX4" s="50"/>
      <c r="EY4" s="50"/>
      <c r="EZ4" s="50"/>
      <c r="FA4" s="50"/>
      <c r="FB4" s="50" t="s">
        <v>483</v>
      </c>
      <c r="FC4" s="50"/>
      <c r="FD4" s="50"/>
      <c r="FE4" s="50"/>
      <c r="FF4" s="50"/>
      <c r="FG4" s="50"/>
      <c r="FH4" s="50"/>
      <c r="FI4" s="50" t="s">
        <v>485</v>
      </c>
      <c r="FJ4" s="50"/>
      <c r="FK4" s="50"/>
      <c r="FL4" s="50"/>
      <c r="FM4" s="50"/>
      <c r="FN4" s="50"/>
      <c r="FO4" s="50"/>
      <c r="FP4" s="13" t="s">
        <v>224</v>
      </c>
      <c r="FQ4" s="13"/>
      <c r="FR4" s="13"/>
      <c r="FS4" s="13"/>
      <c r="FT4" s="13"/>
      <c r="FU4" s="13"/>
      <c r="FV4" s="13"/>
      <c r="FW4" s="13"/>
      <c r="FX4" s="13" t="s">
        <v>226</v>
      </c>
      <c r="FY4" s="13"/>
      <c r="FZ4" s="13"/>
      <c r="GA4" s="13"/>
      <c r="GB4" s="13"/>
      <c r="GC4" s="13"/>
      <c r="GD4" s="13"/>
      <c r="GE4" s="13"/>
      <c r="GF4" s="13" t="s">
        <v>228</v>
      </c>
      <c r="GG4" s="13"/>
      <c r="GH4" s="13"/>
      <c r="GI4" s="13"/>
      <c r="GJ4" s="13"/>
      <c r="GK4" s="13"/>
      <c r="GL4" s="13"/>
      <c r="GM4" s="13"/>
      <c r="GN4" s="13" t="s">
        <v>230</v>
      </c>
      <c r="GO4" s="13"/>
      <c r="GP4" s="13"/>
      <c r="GQ4" s="13"/>
      <c r="GR4" s="13"/>
      <c r="GS4" s="13"/>
      <c r="GT4" s="13"/>
      <c r="GU4" s="13"/>
      <c r="GV4" s="13" t="s">
        <v>232</v>
      </c>
      <c r="GW4" s="13"/>
      <c r="GX4" s="13"/>
      <c r="GY4" s="13"/>
      <c r="GZ4" s="13"/>
      <c r="HA4" s="13"/>
      <c r="HB4" s="13"/>
      <c r="HC4" s="13"/>
      <c r="HD4" s="13" t="s">
        <v>234</v>
      </c>
      <c r="HE4" s="13"/>
      <c r="HF4" s="13"/>
      <c r="HG4" s="13"/>
      <c r="HH4" s="13"/>
      <c r="HI4" s="13"/>
      <c r="HJ4" s="13"/>
      <c r="HK4" s="13"/>
      <c r="HL4" s="13" t="s">
        <v>236</v>
      </c>
      <c r="HM4" s="13"/>
      <c r="HN4" s="13"/>
      <c r="HO4" s="13"/>
      <c r="HP4" s="13"/>
      <c r="HQ4" s="13"/>
      <c r="HR4" s="13"/>
      <c r="HS4" s="13"/>
      <c r="HT4" s="13" t="s">
        <v>238</v>
      </c>
      <c r="HU4" s="13"/>
      <c r="HV4" s="13"/>
      <c r="HW4" s="13"/>
      <c r="HX4" s="13"/>
      <c r="HY4" s="13"/>
      <c r="HZ4" s="13"/>
      <c r="IA4" s="13"/>
      <c r="IB4" s="13" t="s">
        <v>240</v>
      </c>
      <c r="IC4" s="13"/>
      <c r="ID4" s="13"/>
      <c r="IE4" s="13"/>
      <c r="IF4" s="13"/>
      <c r="IG4" s="13"/>
      <c r="IH4" s="13"/>
      <c r="II4" s="13" t="s">
        <v>543</v>
      </c>
      <c r="IJ4" s="13"/>
      <c r="IK4" s="13"/>
      <c r="IL4" s="13"/>
      <c r="IM4" s="36"/>
      <c r="IN4" s="36"/>
      <c r="IO4" s="36"/>
      <c r="IP4" s="13"/>
      <c r="IQ4" s="13" t="s">
        <v>488</v>
      </c>
      <c r="IR4" s="13"/>
      <c r="IS4" s="13"/>
      <c r="IT4" s="13"/>
      <c r="IU4" s="13"/>
      <c r="IV4" s="13"/>
      <c r="IW4" s="13"/>
      <c r="IX4" s="13" t="s">
        <v>490</v>
      </c>
      <c r="IY4" s="13"/>
      <c r="IZ4" s="13"/>
      <c r="JA4" s="13"/>
      <c r="JB4" s="13"/>
      <c r="JC4" s="13"/>
      <c r="JD4" s="13"/>
      <c r="JE4" s="13"/>
      <c r="JF4" s="13"/>
      <c r="JG4" s="13"/>
      <c r="JH4" s="13"/>
      <c r="JI4" s="13"/>
      <c r="JJ4" s="13" t="s">
        <v>492</v>
      </c>
      <c r="JK4" s="13"/>
      <c r="JL4" s="13"/>
      <c r="JM4" s="13"/>
      <c r="JN4" s="13"/>
      <c r="JO4" s="13"/>
      <c r="JP4" s="13"/>
      <c r="JQ4" s="13"/>
      <c r="JR4" s="13"/>
      <c r="JS4" s="13"/>
      <c r="JT4" s="13"/>
      <c r="JU4" s="13"/>
      <c r="JV4" s="13" t="s">
        <v>494</v>
      </c>
      <c r="JW4" s="13"/>
      <c r="JX4" s="13"/>
      <c r="JY4" s="13"/>
      <c r="JZ4" s="13"/>
      <c r="KA4" s="13"/>
      <c r="KB4" s="13"/>
      <c r="KC4" s="13"/>
      <c r="KD4" s="13"/>
      <c r="KE4" s="13"/>
      <c r="KF4" s="13"/>
      <c r="KG4" s="13"/>
      <c r="KH4" s="13" t="s">
        <v>496</v>
      </c>
      <c r="KI4" s="13"/>
      <c r="KJ4" s="13"/>
      <c r="KK4" s="13"/>
      <c r="KL4" s="13"/>
      <c r="KM4" s="13"/>
      <c r="KN4" s="13"/>
      <c r="KO4" s="13"/>
      <c r="KP4" s="13"/>
      <c r="KQ4" s="13"/>
      <c r="KR4" s="13"/>
      <c r="KS4" s="13"/>
      <c r="KT4" s="13" t="s">
        <v>498</v>
      </c>
      <c r="KU4" s="13"/>
      <c r="KV4" s="13"/>
      <c r="KW4" s="13"/>
      <c r="KX4" s="13"/>
      <c r="KY4" s="13"/>
      <c r="KZ4" s="13"/>
      <c r="LA4" s="13"/>
      <c r="LB4" s="13"/>
      <c r="LC4" s="13"/>
      <c r="LD4" s="13"/>
      <c r="LE4" s="13"/>
      <c r="LF4" s="13" t="s">
        <v>500</v>
      </c>
      <c r="LG4" s="13"/>
      <c r="LH4" s="13"/>
      <c r="LI4" s="13"/>
      <c r="LJ4" s="13"/>
      <c r="LK4" s="13"/>
      <c r="LL4" s="13"/>
      <c r="LM4" s="13"/>
      <c r="LN4" s="13"/>
      <c r="LO4" s="13"/>
      <c r="LP4" s="13"/>
      <c r="LQ4" s="13"/>
      <c r="LR4" s="13" t="s">
        <v>502</v>
      </c>
      <c r="LS4" s="13"/>
      <c r="LT4" s="13"/>
      <c r="LU4" s="13"/>
      <c r="LV4" s="13"/>
      <c r="LW4" s="13"/>
      <c r="LX4" s="13"/>
      <c r="LY4" s="13"/>
      <c r="LZ4" s="13"/>
      <c r="MA4" s="13"/>
      <c r="MB4" s="13"/>
      <c r="MC4" s="13" t="s">
        <v>504</v>
      </c>
      <c r="MD4" s="13"/>
      <c r="ME4" s="13"/>
      <c r="MF4" s="13"/>
      <c r="MG4" s="13"/>
      <c r="MH4" s="13"/>
      <c r="MI4" s="13"/>
      <c r="MJ4" s="13"/>
      <c r="MK4" s="13"/>
      <c r="ML4" s="13"/>
      <c r="MM4" s="13" t="s">
        <v>506</v>
      </c>
      <c r="MN4" s="13" t="s">
        <v>508</v>
      </c>
    </row>
    <row r="5" spans="1:353" ht="23.25" customHeight="1" x14ac:dyDescent="0.25">
      <c r="A5" s="45" t="s">
        <v>4</v>
      </c>
      <c r="B5" s="45"/>
      <c r="C5" s="13"/>
      <c r="D5" s="13" t="s">
        <v>58</v>
      </c>
      <c r="E5" s="13" t="s">
        <v>58</v>
      </c>
      <c r="F5" s="13" t="s">
        <v>58</v>
      </c>
      <c r="G5" s="13" t="s">
        <v>58</v>
      </c>
      <c r="H5" s="13" t="s">
        <v>58</v>
      </c>
      <c r="I5" s="13" t="s">
        <v>58</v>
      </c>
      <c r="J5" s="13" t="s">
        <v>58</v>
      </c>
      <c r="K5" s="13" t="s">
        <v>58</v>
      </c>
      <c r="L5" s="13" t="s">
        <v>58</v>
      </c>
      <c r="M5" s="13" t="s">
        <v>58</v>
      </c>
      <c r="N5" s="13" t="s">
        <v>58</v>
      </c>
      <c r="O5" s="13" t="s">
        <v>58</v>
      </c>
      <c r="P5" s="13" t="s">
        <v>58</v>
      </c>
      <c r="Q5" s="13" t="s">
        <v>58</v>
      </c>
      <c r="R5" s="13" t="s">
        <v>58</v>
      </c>
      <c r="S5" s="13" t="s">
        <v>58</v>
      </c>
      <c r="T5" s="13" t="s">
        <v>58</v>
      </c>
      <c r="U5" s="13" t="s">
        <v>58</v>
      </c>
      <c r="V5" s="13" t="s">
        <v>58</v>
      </c>
      <c r="W5" s="13" t="s">
        <v>58</v>
      </c>
      <c r="X5" s="13" t="s">
        <v>58</v>
      </c>
      <c r="Y5" s="13" t="s">
        <v>58</v>
      </c>
      <c r="Z5" s="13" t="s">
        <v>58</v>
      </c>
      <c r="AA5" s="13" t="s">
        <v>58</v>
      </c>
      <c r="AB5" s="13" t="s">
        <v>58</v>
      </c>
      <c r="AC5" s="13" t="s">
        <v>58</v>
      </c>
      <c r="AD5" s="13" t="s">
        <v>58</v>
      </c>
      <c r="AE5" s="13" t="s">
        <v>58</v>
      </c>
      <c r="AF5" s="13" t="s">
        <v>58</v>
      </c>
      <c r="AG5" s="13" t="s">
        <v>58</v>
      </c>
      <c r="AH5" s="13" t="s">
        <v>58</v>
      </c>
      <c r="AI5" s="13" t="s">
        <v>58</v>
      </c>
      <c r="AJ5" s="13" t="s">
        <v>58</v>
      </c>
      <c r="AK5" s="13" t="s">
        <v>58</v>
      </c>
      <c r="AL5" s="13" t="s">
        <v>58</v>
      </c>
      <c r="AM5" s="13" t="s">
        <v>58</v>
      </c>
      <c r="AN5" s="13" t="s">
        <v>58</v>
      </c>
      <c r="AO5" s="13" t="s">
        <v>58</v>
      </c>
      <c r="AP5" s="13" t="s">
        <v>58</v>
      </c>
      <c r="AQ5" s="13" t="s">
        <v>58</v>
      </c>
      <c r="AR5" s="13" t="s">
        <v>58</v>
      </c>
      <c r="AS5" s="13" t="s">
        <v>58</v>
      </c>
      <c r="AT5" s="13" t="s">
        <v>58</v>
      </c>
      <c r="AU5" s="13" t="s">
        <v>58</v>
      </c>
      <c r="AV5" s="13" t="s">
        <v>58</v>
      </c>
      <c r="AW5" s="13" t="s">
        <v>58</v>
      </c>
      <c r="AX5" s="13" t="s">
        <v>58</v>
      </c>
      <c r="AY5" s="13" t="s">
        <v>58</v>
      </c>
      <c r="AZ5" s="13" t="s">
        <v>58</v>
      </c>
      <c r="BA5" s="13" t="s">
        <v>58</v>
      </c>
      <c r="BB5" s="13" t="s">
        <v>58</v>
      </c>
      <c r="BC5" s="13" t="s">
        <v>58</v>
      </c>
      <c r="BD5" s="13" t="s">
        <v>58</v>
      </c>
      <c r="BE5" s="13" t="s">
        <v>58</v>
      </c>
      <c r="BF5" s="13" t="s">
        <v>58</v>
      </c>
      <c r="BG5" s="13" t="s">
        <v>58</v>
      </c>
      <c r="BH5" s="13" t="s">
        <v>58</v>
      </c>
      <c r="BI5" s="13" t="s">
        <v>58</v>
      </c>
      <c r="BJ5" s="13" t="s">
        <v>58</v>
      </c>
      <c r="BK5" s="13" t="s">
        <v>58</v>
      </c>
      <c r="BL5" s="13" t="s">
        <v>58</v>
      </c>
      <c r="BM5" s="13" t="s">
        <v>58</v>
      </c>
      <c r="BN5" s="13" t="s">
        <v>58</v>
      </c>
      <c r="BO5" s="13" t="s">
        <v>58</v>
      </c>
      <c r="BP5" s="13" t="s">
        <v>58</v>
      </c>
      <c r="BQ5" s="13" t="s">
        <v>58</v>
      </c>
      <c r="BR5" s="13" t="s">
        <v>58</v>
      </c>
      <c r="BS5" s="13" t="s">
        <v>58</v>
      </c>
      <c r="BT5" s="13" t="s">
        <v>58</v>
      </c>
      <c r="BU5" s="13" t="s">
        <v>58</v>
      </c>
      <c r="BV5" s="13" t="s">
        <v>58</v>
      </c>
      <c r="BW5" s="36" t="s">
        <v>58</v>
      </c>
      <c r="BX5" s="13" t="s">
        <v>58</v>
      </c>
      <c r="BY5" s="13" t="s">
        <v>58</v>
      </c>
      <c r="BZ5" s="13" t="s">
        <v>58</v>
      </c>
      <c r="CA5" s="13" t="s">
        <v>58</v>
      </c>
      <c r="CB5" s="13" t="s">
        <v>58</v>
      </c>
      <c r="CC5" s="13" t="s">
        <v>58</v>
      </c>
      <c r="CD5" s="13" t="s">
        <v>58</v>
      </c>
      <c r="CE5" s="13" t="s">
        <v>58</v>
      </c>
      <c r="CF5" s="50" t="s">
        <v>58</v>
      </c>
      <c r="CG5" s="50" t="s">
        <v>58</v>
      </c>
      <c r="CH5" s="50" t="s">
        <v>58</v>
      </c>
      <c r="CI5" s="50" t="s">
        <v>58</v>
      </c>
      <c r="CJ5" s="50" t="s">
        <v>58</v>
      </c>
      <c r="CK5" s="50" t="s">
        <v>58</v>
      </c>
      <c r="CL5" s="50" t="s">
        <v>58</v>
      </c>
      <c r="CM5" s="50" t="s">
        <v>58</v>
      </c>
      <c r="CN5" s="50" t="s">
        <v>58</v>
      </c>
      <c r="CO5" s="50" t="s">
        <v>58</v>
      </c>
      <c r="CP5" s="50" t="s">
        <v>58</v>
      </c>
      <c r="CQ5" s="50" t="s">
        <v>58</v>
      </c>
      <c r="CR5" s="50" t="s">
        <v>58</v>
      </c>
      <c r="CS5" s="50" t="s">
        <v>58</v>
      </c>
      <c r="CT5" s="50" t="s">
        <v>58</v>
      </c>
      <c r="CU5" s="50" t="s">
        <v>58</v>
      </c>
      <c r="CV5" s="50" t="s">
        <v>58</v>
      </c>
      <c r="CW5" s="50" t="s">
        <v>58</v>
      </c>
      <c r="CX5" s="50" t="s">
        <v>58</v>
      </c>
      <c r="CY5" s="50" t="s">
        <v>58</v>
      </c>
      <c r="CZ5" s="50" t="s">
        <v>58</v>
      </c>
      <c r="DA5" s="50" t="s">
        <v>58</v>
      </c>
      <c r="DB5" s="50" t="s">
        <v>58</v>
      </c>
      <c r="DC5" s="50" t="s">
        <v>58</v>
      </c>
      <c r="DD5" s="50" t="s">
        <v>58</v>
      </c>
      <c r="DE5" s="50" t="s">
        <v>58</v>
      </c>
      <c r="DF5" s="50" t="s">
        <v>58</v>
      </c>
      <c r="DG5" s="50" t="s">
        <v>58</v>
      </c>
      <c r="DH5" s="50" t="s">
        <v>58</v>
      </c>
      <c r="DI5" s="50" t="s">
        <v>58</v>
      </c>
      <c r="DJ5" s="50" t="s">
        <v>58</v>
      </c>
      <c r="DK5" s="50" t="s">
        <v>58</v>
      </c>
      <c r="DL5" s="50" t="s">
        <v>58</v>
      </c>
      <c r="DM5" s="50" t="s">
        <v>58</v>
      </c>
      <c r="DN5" s="50" t="s">
        <v>58</v>
      </c>
      <c r="DO5" s="50" t="s">
        <v>58</v>
      </c>
      <c r="DP5" s="50" t="s">
        <v>58</v>
      </c>
      <c r="DQ5" s="50" t="s">
        <v>58</v>
      </c>
      <c r="DR5" s="50" t="s">
        <v>58</v>
      </c>
      <c r="DS5" s="50" t="s">
        <v>58</v>
      </c>
      <c r="DT5" s="50" t="s">
        <v>58</v>
      </c>
      <c r="DU5" s="50" t="s">
        <v>58</v>
      </c>
      <c r="DV5" s="50" t="s">
        <v>58</v>
      </c>
      <c r="DW5" s="50" t="s">
        <v>58</v>
      </c>
      <c r="DX5" s="50" t="s">
        <v>58</v>
      </c>
      <c r="DY5" s="50" t="s">
        <v>58</v>
      </c>
      <c r="DZ5" s="50" t="s">
        <v>58</v>
      </c>
      <c r="EA5" s="50" t="s">
        <v>58</v>
      </c>
      <c r="EB5" s="50" t="s">
        <v>58</v>
      </c>
      <c r="EC5" s="50" t="s">
        <v>58</v>
      </c>
      <c r="ED5" s="50" t="s">
        <v>58</v>
      </c>
      <c r="EE5" s="50" t="s">
        <v>58</v>
      </c>
      <c r="EF5" s="50" t="s">
        <v>58</v>
      </c>
      <c r="EG5" s="50" t="s">
        <v>58</v>
      </c>
      <c r="EH5" s="50" t="s">
        <v>58</v>
      </c>
      <c r="EI5" s="50" t="s">
        <v>58</v>
      </c>
      <c r="EJ5" s="50" t="s">
        <v>58</v>
      </c>
      <c r="EK5" s="50" t="s">
        <v>58</v>
      </c>
      <c r="EL5" s="50" t="s">
        <v>58</v>
      </c>
      <c r="EM5" s="50" t="s">
        <v>58</v>
      </c>
      <c r="EN5" s="50" t="s">
        <v>58</v>
      </c>
      <c r="EO5" s="50" t="s">
        <v>58</v>
      </c>
      <c r="EP5" s="50" t="s">
        <v>58</v>
      </c>
      <c r="EQ5" s="50" t="s">
        <v>58</v>
      </c>
      <c r="ER5" s="50" t="s">
        <v>58</v>
      </c>
      <c r="ES5" s="50" t="s">
        <v>58</v>
      </c>
      <c r="ET5" s="50" t="s">
        <v>58</v>
      </c>
      <c r="EU5" s="50" t="s">
        <v>58</v>
      </c>
      <c r="EV5" s="50" t="s">
        <v>58</v>
      </c>
      <c r="EW5" s="50" t="s">
        <v>58</v>
      </c>
      <c r="EX5" s="50" t="s">
        <v>58</v>
      </c>
      <c r="EY5" s="50" t="s">
        <v>58</v>
      </c>
      <c r="EZ5" s="50" t="s">
        <v>58</v>
      </c>
      <c r="FA5" s="50" t="s">
        <v>58</v>
      </c>
      <c r="FB5" s="50" t="s">
        <v>58</v>
      </c>
      <c r="FC5" s="50" t="s">
        <v>58</v>
      </c>
      <c r="FD5" s="50" t="s">
        <v>58</v>
      </c>
      <c r="FE5" s="50" t="s">
        <v>58</v>
      </c>
      <c r="FF5" s="50" t="s">
        <v>58</v>
      </c>
      <c r="FG5" s="50" t="s">
        <v>58</v>
      </c>
      <c r="FH5" s="50" t="s">
        <v>58</v>
      </c>
      <c r="FI5" s="50" t="s">
        <v>58</v>
      </c>
      <c r="FJ5" s="50" t="s">
        <v>58</v>
      </c>
      <c r="FK5" s="50" t="s">
        <v>58</v>
      </c>
      <c r="FL5" s="50" t="s">
        <v>58</v>
      </c>
      <c r="FM5" s="50" t="s">
        <v>58</v>
      </c>
      <c r="FN5" s="50" t="s">
        <v>58</v>
      </c>
      <c r="FO5" s="50" t="s">
        <v>58</v>
      </c>
      <c r="FP5" s="13"/>
      <c r="FQ5" s="13" t="s">
        <v>149</v>
      </c>
      <c r="FR5" s="13" t="s">
        <v>149</v>
      </c>
      <c r="FS5" s="13" t="s">
        <v>149</v>
      </c>
      <c r="FT5" s="13" t="s">
        <v>149</v>
      </c>
      <c r="FU5" s="13" t="s">
        <v>149</v>
      </c>
      <c r="FV5" s="13" t="s">
        <v>149</v>
      </c>
      <c r="FW5" s="13" t="s">
        <v>149</v>
      </c>
      <c r="FX5" s="13" t="s">
        <v>149</v>
      </c>
      <c r="FY5" s="13" t="s">
        <v>149</v>
      </c>
      <c r="FZ5" s="13" t="s">
        <v>149</v>
      </c>
      <c r="GA5" s="13" t="s">
        <v>149</v>
      </c>
      <c r="GB5" s="13" t="s">
        <v>149</v>
      </c>
      <c r="GC5" s="13" t="s">
        <v>149</v>
      </c>
      <c r="GD5" s="13" t="s">
        <v>149</v>
      </c>
      <c r="GE5" s="13" t="s">
        <v>149</v>
      </c>
      <c r="GF5" s="13" t="s">
        <v>149</v>
      </c>
      <c r="GG5" s="13" t="s">
        <v>149</v>
      </c>
      <c r="GH5" s="13" t="s">
        <v>149</v>
      </c>
      <c r="GI5" s="13" t="s">
        <v>149</v>
      </c>
      <c r="GJ5" s="13" t="s">
        <v>149</v>
      </c>
      <c r="GK5" s="13" t="s">
        <v>149</v>
      </c>
      <c r="GL5" s="13" t="s">
        <v>149</v>
      </c>
      <c r="GM5" s="13" t="s">
        <v>149</v>
      </c>
      <c r="GN5" s="13" t="s">
        <v>149</v>
      </c>
      <c r="GO5" s="13" t="s">
        <v>149</v>
      </c>
      <c r="GP5" s="13" t="s">
        <v>149</v>
      </c>
      <c r="GQ5" s="13" t="s">
        <v>149</v>
      </c>
      <c r="GR5" s="13" t="s">
        <v>149</v>
      </c>
      <c r="GS5" s="13" t="s">
        <v>149</v>
      </c>
      <c r="GT5" s="13" t="s">
        <v>149</v>
      </c>
      <c r="GU5" s="13" t="s">
        <v>149</v>
      </c>
      <c r="GV5" s="13" t="s">
        <v>149</v>
      </c>
      <c r="GW5" s="13" t="s">
        <v>149</v>
      </c>
      <c r="GX5" s="13" t="s">
        <v>149</v>
      </c>
      <c r="GY5" s="13" t="s">
        <v>149</v>
      </c>
      <c r="GZ5" s="13" t="s">
        <v>149</v>
      </c>
      <c r="HA5" s="13" t="s">
        <v>149</v>
      </c>
      <c r="HB5" s="13" t="s">
        <v>149</v>
      </c>
      <c r="HC5" s="13" t="s">
        <v>149</v>
      </c>
      <c r="HD5" s="13" t="s">
        <v>149</v>
      </c>
      <c r="HE5" s="13" t="s">
        <v>149</v>
      </c>
      <c r="HF5" s="13" t="s">
        <v>149</v>
      </c>
      <c r="HG5" s="13" t="s">
        <v>149</v>
      </c>
      <c r="HH5" s="13" t="s">
        <v>149</v>
      </c>
      <c r="HI5" s="13" t="s">
        <v>149</v>
      </c>
      <c r="HJ5" s="13" t="s">
        <v>149</v>
      </c>
      <c r="HK5" s="13" t="s">
        <v>149</v>
      </c>
      <c r="HL5" s="13" t="s">
        <v>149</v>
      </c>
      <c r="HM5" s="13" t="s">
        <v>149</v>
      </c>
      <c r="HN5" s="13" t="s">
        <v>149</v>
      </c>
      <c r="HO5" s="13" t="s">
        <v>149</v>
      </c>
      <c r="HP5" s="13" t="s">
        <v>149</v>
      </c>
      <c r="HQ5" s="13" t="s">
        <v>149</v>
      </c>
      <c r="HR5" s="13" t="s">
        <v>149</v>
      </c>
      <c r="HS5" s="13" t="s">
        <v>149</v>
      </c>
      <c r="HT5" s="13" t="s">
        <v>149</v>
      </c>
      <c r="HU5" s="13" t="s">
        <v>149</v>
      </c>
      <c r="HV5" s="13" t="s">
        <v>149</v>
      </c>
      <c r="HW5" s="13" t="s">
        <v>149</v>
      </c>
      <c r="HX5" s="13" t="s">
        <v>149</v>
      </c>
      <c r="HY5" s="13" t="s">
        <v>149</v>
      </c>
      <c r="HZ5" s="13" t="s">
        <v>149</v>
      </c>
      <c r="IA5" s="13" t="s">
        <v>149</v>
      </c>
      <c r="IB5" s="13" t="s">
        <v>149</v>
      </c>
      <c r="IC5" s="13" t="s">
        <v>149</v>
      </c>
      <c r="ID5" s="13" t="s">
        <v>149</v>
      </c>
      <c r="IE5" s="13" t="s">
        <v>149</v>
      </c>
      <c r="IF5" s="13" t="s">
        <v>149</v>
      </c>
      <c r="IG5" s="13" t="s">
        <v>149</v>
      </c>
      <c r="IH5" s="13" t="s">
        <v>149</v>
      </c>
      <c r="II5" s="13"/>
      <c r="IJ5" s="13" t="s">
        <v>172</v>
      </c>
      <c r="IK5" s="13" t="s">
        <v>172</v>
      </c>
      <c r="IL5" s="13" t="s">
        <v>172</v>
      </c>
      <c r="IM5" s="36" t="s">
        <v>172</v>
      </c>
      <c r="IN5" s="36" t="s">
        <v>172</v>
      </c>
      <c r="IO5" s="36" t="s">
        <v>172</v>
      </c>
      <c r="IP5" s="13" t="s">
        <v>172</v>
      </c>
      <c r="IQ5" s="13" t="s">
        <v>172</v>
      </c>
      <c r="IR5" s="13" t="s">
        <v>172</v>
      </c>
      <c r="IS5" s="13" t="s">
        <v>172</v>
      </c>
      <c r="IT5" s="13" t="s">
        <v>172</v>
      </c>
      <c r="IU5" s="13"/>
      <c r="IV5" s="13" t="s">
        <v>172</v>
      </c>
      <c r="IW5" s="13" t="s">
        <v>172</v>
      </c>
      <c r="IX5" s="13" t="s">
        <v>172</v>
      </c>
      <c r="IY5" s="13" t="s">
        <v>172</v>
      </c>
      <c r="IZ5" s="13" t="s">
        <v>172</v>
      </c>
      <c r="JA5" s="13" t="s">
        <v>172</v>
      </c>
      <c r="JB5" s="13" t="s">
        <v>172</v>
      </c>
      <c r="JC5" s="13" t="s">
        <v>172</v>
      </c>
      <c r="JD5" s="13" t="s">
        <v>172</v>
      </c>
      <c r="JE5" s="13" t="s">
        <v>172</v>
      </c>
      <c r="JF5" s="13" t="s">
        <v>172</v>
      </c>
      <c r="JG5" s="13" t="s">
        <v>172</v>
      </c>
      <c r="JH5" s="13" t="s">
        <v>172</v>
      </c>
      <c r="JI5" s="13" t="s">
        <v>172</v>
      </c>
      <c r="JJ5" s="13" t="s">
        <v>172</v>
      </c>
      <c r="JK5" s="13"/>
      <c r="JL5" s="13"/>
      <c r="JM5" s="13" t="s">
        <v>172</v>
      </c>
      <c r="JN5" s="13" t="s">
        <v>172</v>
      </c>
      <c r="JO5" s="13" t="s">
        <v>172</v>
      </c>
      <c r="JP5" s="13" t="s">
        <v>172</v>
      </c>
      <c r="JQ5" s="13" t="s">
        <v>172</v>
      </c>
      <c r="JR5" s="13" t="s">
        <v>172</v>
      </c>
      <c r="JS5" s="13"/>
      <c r="JT5" s="13"/>
      <c r="JU5" s="13" t="s">
        <v>172</v>
      </c>
      <c r="JV5" s="13" t="s">
        <v>172</v>
      </c>
      <c r="JW5" s="13" t="s">
        <v>172</v>
      </c>
      <c r="JX5" s="13" t="s">
        <v>172</v>
      </c>
      <c r="JY5" s="13" t="s">
        <v>172</v>
      </c>
      <c r="JZ5" s="13" t="s">
        <v>172</v>
      </c>
      <c r="KA5" s="13"/>
      <c r="KB5" s="13"/>
      <c r="KC5" s="13" t="s">
        <v>172</v>
      </c>
      <c r="KD5" s="13" t="s">
        <v>172</v>
      </c>
      <c r="KE5" s="13" t="s">
        <v>172</v>
      </c>
      <c r="KF5" s="13" t="s">
        <v>172</v>
      </c>
      <c r="KG5" s="13" t="s">
        <v>172</v>
      </c>
      <c r="KH5" s="13" t="s">
        <v>172</v>
      </c>
      <c r="KI5" s="13"/>
      <c r="KJ5" s="13"/>
      <c r="KK5" s="13" t="s">
        <v>172</v>
      </c>
      <c r="KL5" s="13" t="s">
        <v>172</v>
      </c>
      <c r="KM5" s="13" t="s">
        <v>172</v>
      </c>
      <c r="KN5" s="13" t="s">
        <v>172</v>
      </c>
      <c r="KO5" s="13" t="s">
        <v>172</v>
      </c>
      <c r="KP5" s="13" t="s">
        <v>172</v>
      </c>
      <c r="KQ5" s="13"/>
      <c r="KR5" s="13"/>
      <c r="KS5" s="13" t="s">
        <v>172</v>
      </c>
      <c r="KT5" s="13" t="s">
        <v>172</v>
      </c>
      <c r="KU5" s="13" t="s">
        <v>172</v>
      </c>
      <c r="KV5" s="13" t="s">
        <v>172</v>
      </c>
      <c r="KW5" s="13" t="s">
        <v>172</v>
      </c>
      <c r="KX5" s="13" t="s">
        <v>172</v>
      </c>
      <c r="KY5" s="13"/>
      <c r="KZ5" s="13"/>
      <c r="LA5" s="13" t="s">
        <v>172</v>
      </c>
      <c r="LB5" s="13" t="s">
        <v>172</v>
      </c>
      <c r="LC5" s="13" t="s">
        <v>172</v>
      </c>
      <c r="LD5" s="13" t="s">
        <v>172</v>
      </c>
      <c r="LE5" s="13" t="s">
        <v>172</v>
      </c>
      <c r="LF5" s="13" t="s">
        <v>172</v>
      </c>
      <c r="LG5" s="13"/>
      <c r="LH5" s="13"/>
      <c r="LI5" s="13" t="s">
        <v>172</v>
      </c>
      <c r="LJ5" s="13" t="s">
        <v>172</v>
      </c>
      <c r="LK5" s="13" t="s">
        <v>172</v>
      </c>
      <c r="LL5" s="13" t="s">
        <v>172</v>
      </c>
      <c r="LM5" s="13" t="s">
        <v>172</v>
      </c>
      <c r="LN5" s="13" t="s">
        <v>172</v>
      </c>
      <c r="LO5" s="13"/>
      <c r="LP5" s="13"/>
      <c r="LQ5" s="13" t="s">
        <v>172</v>
      </c>
      <c r="LR5" s="13" t="s">
        <v>172</v>
      </c>
      <c r="LS5" s="13" t="s">
        <v>172</v>
      </c>
      <c r="LT5" s="13" t="s">
        <v>172</v>
      </c>
      <c r="LU5" s="13" t="s">
        <v>172</v>
      </c>
      <c r="LV5" s="13" t="s">
        <v>172</v>
      </c>
      <c r="LW5" s="13"/>
      <c r="LX5" s="13"/>
      <c r="LY5" s="13" t="s">
        <v>172</v>
      </c>
      <c r="LZ5" s="13" t="s">
        <v>172</v>
      </c>
      <c r="MA5" s="13" t="s">
        <v>172</v>
      </c>
      <c r="MB5" s="13" t="s">
        <v>172</v>
      </c>
      <c r="MC5" s="13" t="s">
        <v>172</v>
      </c>
      <c r="MD5" s="13" t="s">
        <v>172</v>
      </c>
      <c r="ME5" s="13"/>
      <c r="MF5" s="13"/>
      <c r="MG5" s="13" t="s">
        <v>172</v>
      </c>
      <c r="MH5" s="13" t="s">
        <v>172</v>
      </c>
      <c r="MI5" s="13" t="s">
        <v>172</v>
      </c>
      <c r="MJ5" s="13" t="s">
        <v>172</v>
      </c>
      <c r="MK5" s="13" t="s">
        <v>172</v>
      </c>
      <c r="ML5" s="13" t="s">
        <v>172</v>
      </c>
      <c r="MM5" s="13"/>
      <c r="MN5" s="13"/>
    </row>
    <row r="6" spans="1:353" ht="23.25" customHeight="1" x14ac:dyDescent="0.25">
      <c r="A6" s="46" t="s">
        <v>6</v>
      </c>
      <c r="B6" s="46"/>
      <c r="C6" s="33"/>
      <c r="D6" s="33" t="s">
        <v>59</v>
      </c>
      <c r="E6" s="33"/>
      <c r="F6" s="33" t="s">
        <v>60</v>
      </c>
      <c r="G6" s="33" t="s">
        <v>61</v>
      </c>
      <c r="H6" s="33" t="s">
        <v>62</v>
      </c>
      <c r="I6" s="33" t="s">
        <v>454</v>
      </c>
      <c r="J6" s="33" t="s">
        <v>63</v>
      </c>
      <c r="K6" s="33" t="s">
        <v>64</v>
      </c>
      <c r="L6" s="33" t="s">
        <v>67</v>
      </c>
      <c r="M6" s="33" t="s">
        <v>66</v>
      </c>
      <c r="N6" s="33" t="s">
        <v>61</v>
      </c>
      <c r="O6" s="33" t="s">
        <v>455</v>
      </c>
      <c r="P6" s="33" t="s">
        <v>65</v>
      </c>
      <c r="Q6" s="33" t="s">
        <v>68</v>
      </c>
      <c r="R6" s="33"/>
      <c r="S6" s="33" t="s">
        <v>60</v>
      </c>
      <c r="T6" s="33" t="s">
        <v>61</v>
      </c>
      <c r="U6" s="33" t="s">
        <v>62</v>
      </c>
      <c r="V6" s="33" t="s">
        <v>454</v>
      </c>
      <c r="W6" s="33" t="s">
        <v>63</v>
      </c>
      <c r="X6" s="33" t="s">
        <v>67</v>
      </c>
      <c r="Y6" s="33" t="s">
        <v>66</v>
      </c>
      <c r="Z6" s="33" t="s">
        <v>61</v>
      </c>
      <c r="AA6" s="33" t="s">
        <v>455</v>
      </c>
      <c r="AB6" s="33" t="s">
        <v>65</v>
      </c>
      <c r="AC6" s="33" t="s">
        <v>68</v>
      </c>
      <c r="AD6" s="33"/>
      <c r="AE6" s="33" t="s">
        <v>60</v>
      </c>
      <c r="AF6" s="33" t="s">
        <v>61</v>
      </c>
      <c r="AG6" s="33" t="s">
        <v>62</v>
      </c>
      <c r="AH6" s="33" t="s">
        <v>454</v>
      </c>
      <c r="AI6" s="33" t="s">
        <v>63</v>
      </c>
      <c r="AJ6" s="33" t="s">
        <v>67</v>
      </c>
      <c r="AK6" s="33" t="s">
        <v>66</v>
      </c>
      <c r="AL6" s="33" t="s">
        <v>61</v>
      </c>
      <c r="AM6" s="33" t="s">
        <v>455</v>
      </c>
      <c r="AN6" s="33" t="s">
        <v>65</v>
      </c>
      <c r="AO6" s="33" t="s">
        <v>68</v>
      </c>
      <c r="AP6" s="33"/>
      <c r="AQ6" s="33" t="s">
        <v>60</v>
      </c>
      <c r="AR6" s="33" t="s">
        <v>61</v>
      </c>
      <c r="AS6" s="33" t="s">
        <v>62</v>
      </c>
      <c r="AT6" s="33" t="s">
        <v>454</v>
      </c>
      <c r="AU6" s="33" t="s">
        <v>63</v>
      </c>
      <c r="AV6" s="33" t="s">
        <v>67</v>
      </c>
      <c r="AW6" s="33" t="s">
        <v>66</v>
      </c>
      <c r="AX6" s="33" t="s">
        <v>61</v>
      </c>
      <c r="AY6" s="33" t="s">
        <v>455</v>
      </c>
      <c r="AZ6" s="33" t="s">
        <v>65</v>
      </c>
      <c r="BA6" s="33" t="s">
        <v>68</v>
      </c>
      <c r="BB6" s="33"/>
      <c r="BC6" s="33" t="s">
        <v>60</v>
      </c>
      <c r="BD6" s="33" t="s">
        <v>61</v>
      </c>
      <c r="BE6" s="33" t="s">
        <v>62</v>
      </c>
      <c r="BF6" s="33" t="s">
        <v>454</v>
      </c>
      <c r="BG6" s="33" t="s">
        <v>63</v>
      </c>
      <c r="BH6" s="33" t="s">
        <v>67</v>
      </c>
      <c r="BI6" s="33" t="s">
        <v>66</v>
      </c>
      <c r="BJ6" s="33" t="s">
        <v>61</v>
      </c>
      <c r="BK6" s="33" t="s">
        <v>455</v>
      </c>
      <c r="BL6" s="33" t="s">
        <v>65</v>
      </c>
      <c r="BM6" s="33" t="s">
        <v>68</v>
      </c>
      <c r="BN6" s="5" t="s">
        <v>69</v>
      </c>
      <c r="BO6" s="5" t="s">
        <v>70</v>
      </c>
      <c r="BP6" s="5" t="s">
        <v>71</v>
      </c>
      <c r="BQ6" s="5" t="s">
        <v>98</v>
      </c>
      <c r="BR6" s="5" t="s">
        <v>99</v>
      </c>
      <c r="BS6" s="5"/>
      <c r="BT6" s="5"/>
      <c r="BU6" s="5"/>
      <c r="BV6" s="5" t="s">
        <v>100</v>
      </c>
      <c r="BW6" s="37"/>
      <c r="BX6" s="5" t="s">
        <v>101</v>
      </c>
      <c r="BY6" s="5"/>
      <c r="BZ6" s="5"/>
      <c r="CA6" s="5"/>
      <c r="CB6" s="5"/>
      <c r="CC6" s="5" t="s">
        <v>102</v>
      </c>
      <c r="CD6" s="5" t="s">
        <v>103</v>
      </c>
      <c r="CE6" s="5" t="s">
        <v>104</v>
      </c>
      <c r="CF6" s="51" t="s">
        <v>105</v>
      </c>
      <c r="CG6" s="52" t="s">
        <v>106</v>
      </c>
      <c r="CH6" s="52" t="s">
        <v>107</v>
      </c>
      <c r="CI6" s="53" t="s">
        <v>108</v>
      </c>
      <c r="CJ6" s="53" t="s">
        <v>109</v>
      </c>
      <c r="CK6" s="53" t="s">
        <v>110</v>
      </c>
      <c r="CL6" s="53" t="s">
        <v>111</v>
      </c>
      <c r="CM6" s="53" t="s">
        <v>112</v>
      </c>
      <c r="CN6" s="53"/>
      <c r="CO6" s="53"/>
      <c r="CP6" s="53"/>
      <c r="CQ6" s="53" t="s">
        <v>113</v>
      </c>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c r="DR6" s="53"/>
      <c r="DS6" s="53"/>
      <c r="DT6" s="53"/>
      <c r="DU6" s="53"/>
      <c r="DV6" s="53"/>
      <c r="DW6" s="53"/>
      <c r="DX6" s="53"/>
      <c r="DY6" s="53"/>
      <c r="DZ6" s="53"/>
      <c r="EA6" s="53"/>
      <c r="EB6" s="53"/>
      <c r="EC6" s="53"/>
      <c r="ED6" s="53"/>
      <c r="EE6" s="53"/>
      <c r="EF6" s="53"/>
      <c r="EG6" s="53"/>
      <c r="EH6" s="53"/>
      <c r="EI6" s="53"/>
      <c r="EJ6" s="53"/>
      <c r="EK6" s="53"/>
      <c r="EL6" s="53"/>
      <c r="EM6" s="53"/>
      <c r="EN6" s="53"/>
      <c r="EO6" s="53"/>
      <c r="EP6" s="53"/>
      <c r="EQ6" s="53"/>
      <c r="ER6" s="53"/>
      <c r="ES6" s="53"/>
      <c r="ET6" s="53"/>
      <c r="EU6" s="53"/>
      <c r="EV6" s="53"/>
      <c r="EW6" s="53"/>
      <c r="EX6" s="53"/>
      <c r="EY6" s="53"/>
      <c r="EZ6" s="53"/>
      <c r="FA6" s="53"/>
      <c r="FB6" s="53"/>
      <c r="FC6" s="53"/>
      <c r="FD6" s="53"/>
      <c r="FE6" s="53"/>
      <c r="FF6" s="53"/>
      <c r="FG6" s="53"/>
      <c r="FH6" s="53"/>
      <c r="FI6" s="53"/>
      <c r="FJ6" s="53"/>
      <c r="FK6" s="53"/>
      <c r="FL6" s="53"/>
      <c r="FM6" s="53"/>
      <c r="FN6" s="53"/>
      <c r="FO6" s="53"/>
      <c r="FP6" s="14"/>
      <c r="FQ6" s="5" t="s">
        <v>150</v>
      </c>
      <c r="FS6" s="5" t="s">
        <v>151</v>
      </c>
      <c r="FT6" s="5"/>
      <c r="FU6" s="5" t="s">
        <v>152</v>
      </c>
      <c r="FV6" s="7"/>
      <c r="FW6" s="7"/>
      <c r="FX6" s="7"/>
      <c r="FY6" s="7"/>
      <c r="FZ6" s="16"/>
      <c r="GA6" s="7"/>
      <c r="GB6" s="7"/>
      <c r="GC6" s="7"/>
      <c r="GD6" s="7"/>
      <c r="GE6" s="7"/>
      <c r="GF6" s="16" t="s">
        <v>153</v>
      </c>
      <c r="GG6" s="7"/>
      <c r="GH6" s="7"/>
      <c r="GI6" s="7"/>
      <c r="GJ6" s="7"/>
      <c r="GK6" s="7"/>
      <c r="GL6" s="16"/>
      <c r="GM6" s="7"/>
      <c r="GN6" s="7"/>
      <c r="GO6" s="7"/>
      <c r="GP6" s="7"/>
      <c r="GQ6" s="7"/>
      <c r="GR6" s="16"/>
      <c r="GS6" s="7"/>
      <c r="GT6" s="7"/>
      <c r="GU6" s="7"/>
      <c r="GV6" s="7"/>
      <c r="GW6" s="7"/>
      <c r="GX6" s="16"/>
      <c r="GY6" s="7"/>
      <c r="GZ6" s="7"/>
      <c r="HA6" s="7"/>
      <c r="HB6" s="7"/>
      <c r="HC6" s="7"/>
      <c r="HD6" s="16"/>
      <c r="HE6" s="7"/>
      <c r="HF6" s="7"/>
      <c r="HG6" s="7"/>
      <c r="HH6" s="7"/>
      <c r="HI6" s="7"/>
      <c r="HJ6" s="16"/>
      <c r="HK6" s="7"/>
      <c r="HL6" s="7"/>
      <c r="HM6" s="7"/>
      <c r="HN6" s="7"/>
      <c r="HO6" s="7"/>
      <c r="HP6" s="16"/>
      <c r="HQ6" s="7"/>
      <c r="HR6" s="7"/>
      <c r="HS6" s="7"/>
      <c r="HT6" s="7"/>
      <c r="HU6" s="7"/>
      <c r="HV6" s="16"/>
      <c r="HW6" s="7"/>
      <c r="HX6" s="7"/>
      <c r="HY6" s="7"/>
      <c r="HZ6" s="7"/>
      <c r="IA6" s="7"/>
      <c r="IB6" s="16"/>
      <c r="IC6" s="7"/>
      <c r="ID6" s="7"/>
      <c r="IE6" s="7"/>
      <c r="IF6" s="7"/>
      <c r="IG6" s="7"/>
      <c r="IH6" s="16"/>
      <c r="II6" s="14"/>
      <c r="IJ6" s="5" t="s">
        <v>173</v>
      </c>
      <c r="IK6" s="5"/>
      <c r="IL6" s="5" t="s">
        <v>175</v>
      </c>
      <c r="IM6" s="37"/>
      <c r="IN6" s="37"/>
      <c r="IO6" s="37" t="s">
        <v>174</v>
      </c>
      <c r="IP6" s="5"/>
      <c r="IQ6" s="29" t="s">
        <v>176</v>
      </c>
      <c r="IR6" s="29"/>
      <c r="IS6" s="29"/>
      <c r="IT6" s="29"/>
      <c r="IU6" s="29"/>
      <c r="IV6" s="29"/>
      <c r="IW6" s="29"/>
      <c r="IX6" s="29"/>
      <c r="IY6" s="29"/>
      <c r="IZ6" s="29"/>
      <c r="JA6" s="29"/>
      <c r="JB6" s="29"/>
      <c r="JC6" s="29"/>
      <c r="JD6" s="29"/>
      <c r="JE6" s="29" t="s">
        <v>177</v>
      </c>
      <c r="JF6" s="29"/>
      <c r="JG6" s="29"/>
      <c r="JH6" s="29"/>
      <c r="JI6" s="29"/>
      <c r="JJ6" s="29"/>
      <c r="JK6" s="29"/>
      <c r="JL6" s="29"/>
      <c r="JM6" s="29"/>
      <c r="JN6" s="29"/>
      <c r="JO6" s="29"/>
      <c r="JP6" s="29"/>
      <c r="JQ6" s="29"/>
      <c r="JR6" s="29"/>
      <c r="JS6" s="29"/>
      <c r="JT6" s="29"/>
      <c r="JU6" s="29"/>
      <c r="JV6" s="29"/>
      <c r="JW6" s="29"/>
      <c r="JX6" s="29"/>
      <c r="JY6" s="29"/>
      <c r="JZ6" s="29"/>
      <c r="KA6" s="29"/>
      <c r="KB6" s="29"/>
      <c r="KC6" s="29"/>
      <c r="KD6" s="29"/>
      <c r="KE6" s="29"/>
      <c r="KF6" s="29"/>
      <c r="KG6" s="29"/>
      <c r="KH6" s="29"/>
      <c r="KI6" s="29"/>
      <c r="KJ6" s="29"/>
      <c r="KK6" s="29"/>
      <c r="KL6" s="29"/>
      <c r="KM6" s="29"/>
      <c r="KN6" s="29"/>
      <c r="KO6" s="29"/>
      <c r="KP6" s="29"/>
      <c r="KQ6" s="29"/>
      <c r="KR6" s="29"/>
      <c r="KS6" s="29"/>
      <c r="KT6" s="29"/>
      <c r="KU6" s="29"/>
      <c r="KV6" s="29"/>
      <c r="KW6" s="29"/>
      <c r="KX6" s="29"/>
      <c r="KY6" s="29"/>
      <c r="KZ6" s="29"/>
      <c r="LA6" s="29"/>
      <c r="LB6" s="29"/>
      <c r="LC6" s="29"/>
      <c r="LD6" s="29"/>
      <c r="LE6" s="29"/>
      <c r="LF6" s="29"/>
      <c r="LG6" s="29"/>
      <c r="LH6" s="29"/>
      <c r="LI6" s="29"/>
      <c r="LJ6" s="29"/>
      <c r="LK6" s="29"/>
      <c r="LL6" s="29"/>
      <c r="LM6" s="29"/>
      <c r="LN6" s="29"/>
      <c r="LO6" s="29"/>
      <c r="LP6" s="29"/>
      <c r="LQ6" s="29"/>
      <c r="LR6" s="29"/>
      <c r="LS6" s="29"/>
      <c r="LT6" s="29"/>
      <c r="LU6" s="29"/>
      <c r="LV6" s="29"/>
      <c r="LW6" s="29"/>
      <c r="LX6" s="29"/>
      <c r="LY6" s="29"/>
      <c r="LZ6" s="29"/>
      <c r="MA6" s="29"/>
      <c r="MB6" s="29"/>
      <c r="MC6" s="3"/>
      <c r="MD6" s="3"/>
      <c r="ME6" s="3"/>
      <c r="MF6" s="3"/>
      <c r="MG6" s="11"/>
      <c r="MH6" s="3"/>
      <c r="MI6" s="3"/>
      <c r="MJ6" s="3"/>
      <c r="MK6" s="3"/>
      <c r="ML6" s="3"/>
      <c r="MM6" s="3"/>
      <c r="MN6" s="3"/>
    </row>
    <row r="7" spans="1:353" ht="23.25" customHeight="1" x14ac:dyDescent="0.25">
      <c r="A7" s="47" t="s">
        <v>17</v>
      </c>
      <c r="B7" s="47"/>
      <c r="C7" s="3" t="s">
        <v>72</v>
      </c>
      <c r="D7" s="3" t="s">
        <v>72</v>
      </c>
      <c r="E7" s="3" t="s">
        <v>72</v>
      </c>
      <c r="F7" s="3" t="s">
        <v>72</v>
      </c>
      <c r="G7" s="3" t="s">
        <v>72</v>
      </c>
      <c r="H7" s="3" t="s">
        <v>72</v>
      </c>
      <c r="I7" s="3" t="s">
        <v>72</v>
      </c>
      <c r="J7" s="3" t="s">
        <v>72</v>
      </c>
      <c r="K7" s="3" t="s">
        <v>72</v>
      </c>
      <c r="L7" s="3" t="s">
        <v>72</v>
      </c>
      <c r="M7" s="3" t="s">
        <v>72</v>
      </c>
      <c r="N7" s="3" t="s">
        <v>72</v>
      </c>
      <c r="O7" s="3" t="s">
        <v>72</v>
      </c>
      <c r="P7" s="3" t="s">
        <v>72</v>
      </c>
      <c r="Q7" s="3" t="s">
        <v>72</v>
      </c>
      <c r="R7" s="3" t="s">
        <v>72</v>
      </c>
      <c r="S7" s="3" t="s">
        <v>72</v>
      </c>
      <c r="T7" s="3" t="s">
        <v>72</v>
      </c>
      <c r="U7" s="3" t="s">
        <v>72</v>
      </c>
      <c r="V7" s="3" t="s">
        <v>72</v>
      </c>
      <c r="W7" s="3" t="s">
        <v>72</v>
      </c>
      <c r="X7" s="3" t="s">
        <v>72</v>
      </c>
      <c r="Y7" s="3" t="s">
        <v>72</v>
      </c>
      <c r="Z7" s="3" t="s">
        <v>72</v>
      </c>
      <c r="AA7" s="3" t="s">
        <v>72</v>
      </c>
      <c r="AB7" s="3" t="s">
        <v>72</v>
      </c>
      <c r="AC7" s="3" t="s">
        <v>72</v>
      </c>
      <c r="AD7" s="3" t="s">
        <v>72</v>
      </c>
      <c r="AE7" s="3" t="s">
        <v>72</v>
      </c>
      <c r="AF7" s="3" t="s">
        <v>72</v>
      </c>
      <c r="AG7" s="3" t="s">
        <v>72</v>
      </c>
      <c r="AH7" s="3" t="s">
        <v>72</v>
      </c>
      <c r="AI7" s="3" t="s">
        <v>72</v>
      </c>
      <c r="AJ7" s="3" t="s">
        <v>72</v>
      </c>
      <c r="AK7" s="3" t="s">
        <v>72</v>
      </c>
      <c r="AL7" s="3" t="s">
        <v>72</v>
      </c>
      <c r="AM7" s="3" t="s">
        <v>72</v>
      </c>
      <c r="AN7" s="3" t="s">
        <v>72</v>
      </c>
      <c r="AO7" s="3" t="s">
        <v>72</v>
      </c>
      <c r="AP7" s="3" t="s">
        <v>72</v>
      </c>
      <c r="AQ7" s="3" t="s">
        <v>72</v>
      </c>
      <c r="AR7" s="3" t="s">
        <v>72</v>
      </c>
      <c r="AS7" s="3" t="s">
        <v>72</v>
      </c>
      <c r="AT7" s="3" t="s">
        <v>72</v>
      </c>
      <c r="AU7" s="3" t="s">
        <v>72</v>
      </c>
      <c r="AV7" s="3" t="s">
        <v>72</v>
      </c>
      <c r="AW7" s="3" t="s">
        <v>72</v>
      </c>
      <c r="AX7" s="3" t="s">
        <v>72</v>
      </c>
      <c r="AY7" s="3" t="s">
        <v>72</v>
      </c>
      <c r="AZ7" s="3" t="s">
        <v>72</v>
      </c>
      <c r="BA7" s="3" t="s">
        <v>72</v>
      </c>
      <c r="BB7" s="3" t="s">
        <v>72</v>
      </c>
      <c r="BC7" s="3" t="s">
        <v>72</v>
      </c>
      <c r="BD7" s="3" t="s">
        <v>72</v>
      </c>
      <c r="BE7" s="3" t="s">
        <v>72</v>
      </c>
      <c r="BF7" s="3" t="s">
        <v>72</v>
      </c>
      <c r="BG7" s="3" t="s">
        <v>72</v>
      </c>
      <c r="BH7" s="3" t="s">
        <v>72</v>
      </c>
      <c r="BI7" s="3" t="s">
        <v>72</v>
      </c>
      <c r="BJ7" s="3" t="s">
        <v>72</v>
      </c>
      <c r="BK7" s="3" t="s">
        <v>72</v>
      </c>
      <c r="BL7" s="3" t="s">
        <v>72</v>
      </c>
      <c r="BM7" s="3" t="s">
        <v>72</v>
      </c>
      <c r="BN7" s="3" t="s">
        <v>72</v>
      </c>
      <c r="BO7" s="3" t="s">
        <v>72</v>
      </c>
      <c r="BP7" s="3" t="s">
        <v>72</v>
      </c>
      <c r="BQ7" s="3" t="s">
        <v>72</v>
      </c>
      <c r="BR7" s="3" t="s">
        <v>72</v>
      </c>
      <c r="BS7" s="3" t="s">
        <v>72</v>
      </c>
      <c r="BT7" s="3" t="s">
        <v>72</v>
      </c>
      <c r="BU7" s="3" t="s">
        <v>72</v>
      </c>
      <c r="BV7" s="3" t="s">
        <v>72</v>
      </c>
      <c r="BW7" s="35" t="s">
        <v>72</v>
      </c>
      <c r="BX7" s="3" t="s">
        <v>72</v>
      </c>
      <c r="BY7" s="3" t="s">
        <v>72</v>
      </c>
      <c r="BZ7" s="3" t="s">
        <v>72</v>
      </c>
      <c r="CA7" s="3" t="s">
        <v>72</v>
      </c>
      <c r="CB7" s="3" t="s">
        <v>72</v>
      </c>
      <c r="CC7" s="3" t="s">
        <v>72</v>
      </c>
      <c r="CD7" s="3" t="s">
        <v>72</v>
      </c>
      <c r="CE7" s="3" t="s">
        <v>72</v>
      </c>
      <c r="CF7" s="54" t="s">
        <v>72</v>
      </c>
      <c r="CG7" s="54" t="s">
        <v>72</v>
      </c>
      <c r="CH7" s="54" t="s">
        <v>72</v>
      </c>
      <c r="CI7" s="54" t="s">
        <v>72</v>
      </c>
      <c r="CJ7" s="54" t="s">
        <v>72</v>
      </c>
      <c r="CK7" s="54" t="s">
        <v>72</v>
      </c>
      <c r="CL7" s="54" t="s">
        <v>72</v>
      </c>
      <c r="CM7" s="54" t="s">
        <v>72</v>
      </c>
      <c r="CN7" s="54" t="s">
        <v>72</v>
      </c>
      <c r="CO7" s="54" t="s">
        <v>72</v>
      </c>
      <c r="CP7" s="54" t="s">
        <v>72</v>
      </c>
      <c r="CQ7" s="54" t="s">
        <v>72</v>
      </c>
      <c r="CR7" s="54" t="s">
        <v>72</v>
      </c>
      <c r="CS7" s="54" t="s">
        <v>72</v>
      </c>
      <c r="CT7" s="54" t="s">
        <v>72</v>
      </c>
      <c r="CU7" s="54" t="s">
        <v>72</v>
      </c>
      <c r="CV7" s="54" t="s">
        <v>72</v>
      </c>
      <c r="CW7" s="54" t="s">
        <v>72</v>
      </c>
      <c r="CX7" s="54" t="s">
        <v>72</v>
      </c>
      <c r="CY7" s="54" t="s">
        <v>72</v>
      </c>
      <c r="CZ7" s="54" t="s">
        <v>72</v>
      </c>
      <c r="DA7" s="54" t="s">
        <v>72</v>
      </c>
      <c r="DB7" s="54" t="s">
        <v>72</v>
      </c>
      <c r="DC7" s="54" t="s">
        <v>72</v>
      </c>
      <c r="DD7" s="54" t="s">
        <v>72</v>
      </c>
      <c r="DE7" s="54" t="s">
        <v>72</v>
      </c>
      <c r="DF7" s="54" t="s">
        <v>72</v>
      </c>
      <c r="DG7" s="54" t="s">
        <v>72</v>
      </c>
      <c r="DH7" s="54" t="s">
        <v>72</v>
      </c>
      <c r="DI7" s="54" t="s">
        <v>72</v>
      </c>
      <c r="DJ7" s="54" t="s">
        <v>72</v>
      </c>
      <c r="DK7" s="54" t="s">
        <v>72</v>
      </c>
      <c r="DL7" s="54" t="s">
        <v>72</v>
      </c>
      <c r="DM7" s="54" t="s">
        <v>72</v>
      </c>
      <c r="DN7" s="54" t="s">
        <v>72</v>
      </c>
      <c r="DO7" s="54" t="s">
        <v>72</v>
      </c>
      <c r="DP7" s="54" t="s">
        <v>72</v>
      </c>
      <c r="DQ7" s="54" t="s">
        <v>72</v>
      </c>
      <c r="DR7" s="54" t="s">
        <v>72</v>
      </c>
      <c r="DS7" s="54" t="s">
        <v>72</v>
      </c>
      <c r="DT7" s="54" t="s">
        <v>72</v>
      </c>
      <c r="DU7" s="54" t="s">
        <v>72</v>
      </c>
      <c r="DV7" s="54" t="s">
        <v>72</v>
      </c>
      <c r="DW7" s="54" t="s">
        <v>72</v>
      </c>
      <c r="DX7" s="54" t="s">
        <v>72</v>
      </c>
      <c r="DY7" s="54" t="s">
        <v>72</v>
      </c>
      <c r="DZ7" s="54" t="s">
        <v>72</v>
      </c>
      <c r="EA7" s="54" t="s">
        <v>72</v>
      </c>
      <c r="EB7" s="54" t="s">
        <v>72</v>
      </c>
      <c r="EC7" s="54" t="s">
        <v>72</v>
      </c>
      <c r="ED7" s="54" t="s">
        <v>72</v>
      </c>
      <c r="EE7" s="54" t="s">
        <v>72</v>
      </c>
      <c r="EF7" s="54" t="s">
        <v>72</v>
      </c>
      <c r="EG7" s="54" t="s">
        <v>72</v>
      </c>
      <c r="EH7" s="54" t="s">
        <v>72</v>
      </c>
      <c r="EI7" s="54" t="s">
        <v>72</v>
      </c>
      <c r="EJ7" s="54" t="s">
        <v>72</v>
      </c>
      <c r="EK7" s="54" t="s">
        <v>72</v>
      </c>
      <c r="EL7" s="54" t="s">
        <v>72</v>
      </c>
      <c r="EM7" s="54" t="s">
        <v>72</v>
      </c>
      <c r="EN7" s="54" t="s">
        <v>72</v>
      </c>
      <c r="EO7" s="54" t="s">
        <v>72</v>
      </c>
      <c r="EP7" s="54" t="s">
        <v>72</v>
      </c>
      <c r="EQ7" s="54" t="s">
        <v>72</v>
      </c>
      <c r="ER7" s="54" t="s">
        <v>72</v>
      </c>
      <c r="ES7" s="54" t="s">
        <v>72</v>
      </c>
      <c r="ET7" s="54" t="s">
        <v>72</v>
      </c>
      <c r="EU7" s="54" t="s">
        <v>72</v>
      </c>
      <c r="EV7" s="54" t="s">
        <v>72</v>
      </c>
      <c r="EW7" s="54" t="s">
        <v>72</v>
      </c>
      <c r="EX7" s="54" t="s">
        <v>72</v>
      </c>
      <c r="EY7" s="54" t="s">
        <v>72</v>
      </c>
      <c r="EZ7" s="54" t="s">
        <v>72</v>
      </c>
      <c r="FA7" s="54" t="s">
        <v>72</v>
      </c>
      <c r="FB7" s="54" t="s">
        <v>72</v>
      </c>
      <c r="FC7" s="54" t="s">
        <v>72</v>
      </c>
      <c r="FD7" s="54" t="s">
        <v>72</v>
      </c>
      <c r="FE7" s="54" t="s">
        <v>72</v>
      </c>
      <c r="FF7" s="54" t="s">
        <v>72</v>
      </c>
      <c r="FG7" s="54" t="s">
        <v>72</v>
      </c>
      <c r="FH7" s="54" t="s">
        <v>72</v>
      </c>
      <c r="FI7" s="54" t="s">
        <v>72</v>
      </c>
      <c r="FJ7" s="54" t="s">
        <v>72</v>
      </c>
      <c r="FK7" s="54" t="s">
        <v>72</v>
      </c>
      <c r="FL7" s="54" t="s">
        <v>72</v>
      </c>
      <c r="FM7" s="54" t="s">
        <v>72</v>
      </c>
      <c r="FN7" s="54" t="s">
        <v>72</v>
      </c>
      <c r="FO7" s="54" t="s">
        <v>72</v>
      </c>
      <c r="FP7" s="3" t="s">
        <v>154</v>
      </c>
      <c r="FQ7" s="3" t="s">
        <v>154</v>
      </c>
      <c r="FR7" s="3" t="s">
        <v>154</v>
      </c>
      <c r="FS7" s="3" t="s">
        <v>154</v>
      </c>
      <c r="FT7" s="3" t="s">
        <v>154</v>
      </c>
      <c r="FU7" s="3" t="s">
        <v>154</v>
      </c>
      <c r="FV7" s="3" t="s">
        <v>154</v>
      </c>
      <c r="FW7" s="3" t="s">
        <v>154</v>
      </c>
      <c r="FX7" s="3" t="s">
        <v>154</v>
      </c>
      <c r="FY7" s="3" t="s">
        <v>154</v>
      </c>
      <c r="FZ7" s="3" t="s">
        <v>154</v>
      </c>
      <c r="GA7" s="3" t="s">
        <v>154</v>
      </c>
      <c r="GB7" s="3" t="s">
        <v>154</v>
      </c>
      <c r="GC7" s="3" t="s">
        <v>154</v>
      </c>
      <c r="GD7" s="3" t="s">
        <v>154</v>
      </c>
      <c r="GE7" s="3" t="s">
        <v>154</v>
      </c>
      <c r="GF7" s="3" t="s">
        <v>154</v>
      </c>
      <c r="GG7" s="3" t="s">
        <v>154</v>
      </c>
      <c r="GH7" s="3" t="s">
        <v>154</v>
      </c>
      <c r="GI7" s="3" t="s">
        <v>154</v>
      </c>
      <c r="GJ7" s="3" t="s">
        <v>154</v>
      </c>
      <c r="GK7" s="3" t="s">
        <v>154</v>
      </c>
      <c r="GL7" s="3" t="s">
        <v>154</v>
      </c>
      <c r="GM7" s="3" t="s">
        <v>154</v>
      </c>
      <c r="GN7" s="3" t="s">
        <v>154</v>
      </c>
      <c r="GO7" s="3" t="s">
        <v>154</v>
      </c>
      <c r="GP7" s="3" t="s">
        <v>154</v>
      </c>
      <c r="GQ7" s="3" t="s">
        <v>154</v>
      </c>
      <c r="GR7" s="3" t="s">
        <v>154</v>
      </c>
      <c r="GS7" s="3" t="s">
        <v>154</v>
      </c>
      <c r="GT7" s="3" t="s">
        <v>154</v>
      </c>
      <c r="GU7" s="3" t="s">
        <v>154</v>
      </c>
      <c r="GV7" s="3" t="s">
        <v>154</v>
      </c>
      <c r="GW7" s="3" t="s">
        <v>154</v>
      </c>
      <c r="GX7" s="3" t="s">
        <v>154</v>
      </c>
      <c r="GY7" s="3" t="s">
        <v>154</v>
      </c>
      <c r="GZ7" s="3" t="s">
        <v>154</v>
      </c>
      <c r="HA7" s="3" t="s">
        <v>154</v>
      </c>
      <c r="HB7" s="3" t="s">
        <v>154</v>
      </c>
      <c r="HC7" s="3" t="s">
        <v>154</v>
      </c>
      <c r="HD7" s="3" t="s">
        <v>154</v>
      </c>
      <c r="HE7" s="3" t="s">
        <v>154</v>
      </c>
      <c r="HF7" s="3" t="s">
        <v>154</v>
      </c>
      <c r="HG7" s="3" t="s">
        <v>154</v>
      </c>
      <c r="HH7" s="3" t="s">
        <v>154</v>
      </c>
      <c r="HI7" s="3" t="s">
        <v>154</v>
      </c>
      <c r="HJ7" s="3" t="s">
        <v>154</v>
      </c>
      <c r="HK7" s="3" t="s">
        <v>154</v>
      </c>
      <c r="HL7" s="3" t="s">
        <v>154</v>
      </c>
      <c r="HM7" s="3" t="s">
        <v>154</v>
      </c>
      <c r="HN7" s="3" t="s">
        <v>154</v>
      </c>
      <c r="HO7" s="3" t="s">
        <v>154</v>
      </c>
      <c r="HP7" s="3" t="s">
        <v>154</v>
      </c>
      <c r="HQ7" s="3" t="s">
        <v>154</v>
      </c>
      <c r="HR7" s="3" t="s">
        <v>154</v>
      </c>
      <c r="HS7" s="3" t="s">
        <v>154</v>
      </c>
      <c r="HT7" s="3" t="s">
        <v>154</v>
      </c>
      <c r="HU7" s="3" t="s">
        <v>154</v>
      </c>
      <c r="HV7" s="3" t="s">
        <v>154</v>
      </c>
      <c r="HW7" s="3" t="s">
        <v>154</v>
      </c>
      <c r="HX7" s="3" t="s">
        <v>154</v>
      </c>
      <c r="HY7" s="3" t="s">
        <v>154</v>
      </c>
      <c r="HZ7" s="3" t="s">
        <v>154</v>
      </c>
      <c r="IA7" s="3" t="s">
        <v>154</v>
      </c>
      <c r="IB7" s="3" t="s">
        <v>154</v>
      </c>
      <c r="IC7" s="3" t="s">
        <v>154</v>
      </c>
      <c r="ID7" s="3" t="s">
        <v>154</v>
      </c>
      <c r="IE7" s="3" t="s">
        <v>154</v>
      </c>
      <c r="IF7" s="3" t="s">
        <v>154</v>
      </c>
      <c r="IG7" s="3" t="s">
        <v>154</v>
      </c>
      <c r="IH7" s="3" t="s">
        <v>154</v>
      </c>
      <c r="II7" s="3" t="s">
        <v>178</v>
      </c>
      <c r="IJ7" s="3" t="s">
        <v>178</v>
      </c>
      <c r="IK7" s="3" t="s">
        <v>178</v>
      </c>
      <c r="IL7" s="3" t="s">
        <v>178</v>
      </c>
      <c r="IM7" s="35" t="s">
        <v>178</v>
      </c>
      <c r="IN7" s="35" t="s">
        <v>178</v>
      </c>
      <c r="IO7" s="35" t="s">
        <v>178</v>
      </c>
      <c r="IP7" s="3" t="s">
        <v>178</v>
      </c>
      <c r="IQ7" s="3" t="s">
        <v>178</v>
      </c>
      <c r="IR7" s="3" t="s">
        <v>178</v>
      </c>
      <c r="IS7" s="3" t="s">
        <v>178</v>
      </c>
      <c r="IT7" s="3" t="s">
        <v>178</v>
      </c>
      <c r="IU7" s="3" t="s">
        <v>178</v>
      </c>
      <c r="IV7" s="3" t="s">
        <v>178</v>
      </c>
      <c r="IW7" s="3" t="s">
        <v>178</v>
      </c>
      <c r="IX7" s="3" t="s">
        <v>178</v>
      </c>
      <c r="IY7" s="3" t="s">
        <v>178</v>
      </c>
      <c r="IZ7" s="3" t="s">
        <v>178</v>
      </c>
      <c r="JA7" s="3" t="s">
        <v>178</v>
      </c>
      <c r="JB7" s="3" t="s">
        <v>178</v>
      </c>
      <c r="JC7" s="3" t="s">
        <v>178</v>
      </c>
      <c r="JD7" s="3" t="s">
        <v>178</v>
      </c>
      <c r="JE7" s="3" t="s">
        <v>178</v>
      </c>
      <c r="JF7" s="3" t="s">
        <v>178</v>
      </c>
      <c r="JG7" s="3" t="s">
        <v>178</v>
      </c>
      <c r="JH7" s="3" t="s">
        <v>178</v>
      </c>
      <c r="JI7" s="3" t="s">
        <v>178</v>
      </c>
      <c r="JJ7" s="3" t="s">
        <v>178</v>
      </c>
      <c r="JK7" s="3" t="s">
        <v>178</v>
      </c>
      <c r="JL7" s="3" t="s">
        <v>178</v>
      </c>
      <c r="JM7" s="3" t="s">
        <v>178</v>
      </c>
      <c r="JN7" s="3" t="s">
        <v>178</v>
      </c>
      <c r="JO7" s="3" t="s">
        <v>178</v>
      </c>
      <c r="JP7" s="3" t="s">
        <v>178</v>
      </c>
      <c r="JQ7" s="3" t="s">
        <v>178</v>
      </c>
      <c r="JR7" s="3" t="s">
        <v>178</v>
      </c>
      <c r="JS7" s="3" t="s">
        <v>178</v>
      </c>
      <c r="JT7" s="3" t="s">
        <v>178</v>
      </c>
      <c r="JU7" s="3" t="s">
        <v>178</v>
      </c>
      <c r="JV7" s="3" t="s">
        <v>178</v>
      </c>
      <c r="JW7" s="3" t="s">
        <v>178</v>
      </c>
      <c r="JX7" s="3" t="s">
        <v>178</v>
      </c>
      <c r="JY7" s="3" t="s">
        <v>178</v>
      </c>
      <c r="JZ7" s="3" t="s">
        <v>178</v>
      </c>
      <c r="KA7" s="3" t="s">
        <v>178</v>
      </c>
      <c r="KB7" s="3" t="s">
        <v>178</v>
      </c>
      <c r="KC7" s="3" t="s">
        <v>178</v>
      </c>
      <c r="KD7" s="3" t="s">
        <v>178</v>
      </c>
      <c r="KE7" s="3" t="s">
        <v>178</v>
      </c>
      <c r="KF7" s="3" t="s">
        <v>178</v>
      </c>
      <c r="KG7" s="3" t="s">
        <v>178</v>
      </c>
      <c r="KH7" s="3" t="s">
        <v>178</v>
      </c>
      <c r="KI7" s="3" t="s">
        <v>178</v>
      </c>
      <c r="KJ7" s="3" t="s">
        <v>178</v>
      </c>
      <c r="KK7" s="3" t="s">
        <v>178</v>
      </c>
      <c r="KL7" s="3" t="s">
        <v>178</v>
      </c>
      <c r="KM7" s="3" t="s">
        <v>178</v>
      </c>
      <c r="KN7" s="3" t="s">
        <v>178</v>
      </c>
      <c r="KO7" s="3" t="s">
        <v>178</v>
      </c>
      <c r="KP7" s="3" t="s">
        <v>178</v>
      </c>
      <c r="KQ7" s="3" t="s">
        <v>178</v>
      </c>
      <c r="KR7" s="3" t="s">
        <v>178</v>
      </c>
      <c r="KS7" s="3" t="s">
        <v>178</v>
      </c>
      <c r="KT7" s="3" t="s">
        <v>178</v>
      </c>
      <c r="KU7" s="3" t="s">
        <v>178</v>
      </c>
      <c r="KV7" s="3" t="s">
        <v>178</v>
      </c>
      <c r="KW7" s="3" t="s">
        <v>178</v>
      </c>
      <c r="KX7" s="3" t="s">
        <v>178</v>
      </c>
      <c r="KY7" s="3" t="s">
        <v>178</v>
      </c>
      <c r="KZ7" s="3" t="s">
        <v>178</v>
      </c>
      <c r="LA7" s="3" t="s">
        <v>178</v>
      </c>
      <c r="LB7" s="3" t="s">
        <v>178</v>
      </c>
      <c r="LC7" s="3" t="s">
        <v>178</v>
      </c>
      <c r="LD7" s="3" t="s">
        <v>178</v>
      </c>
      <c r="LE7" s="3" t="s">
        <v>178</v>
      </c>
      <c r="LF7" s="3" t="s">
        <v>178</v>
      </c>
      <c r="LG7" s="3" t="s">
        <v>178</v>
      </c>
      <c r="LH7" s="3" t="s">
        <v>178</v>
      </c>
      <c r="LI7" s="3" t="s">
        <v>178</v>
      </c>
      <c r="LJ7" s="3" t="s">
        <v>178</v>
      </c>
      <c r="LK7" s="3" t="s">
        <v>178</v>
      </c>
      <c r="LL7" s="3" t="s">
        <v>178</v>
      </c>
      <c r="LM7" s="3" t="s">
        <v>178</v>
      </c>
      <c r="LN7" s="3" t="s">
        <v>178</v>
      </c>
      <c r="LO7" s="3" t="s">
        <v>178</v>
      </c>
      <c r="LP7" s="3" t="s">
        <v>178</v>
      </c>
      <c r="LQ7" s="3" t="s">
        <v>178</v>
      </c>
      <c r="LR7" s="3" t="s">
        <v>178</v>
      </c>
      <c r="LS7" s="3" t="s">
        <v>178</v>
      </c>
      <c r="LT7" s="3" t="s">
        <v>178</v>
      </c>
      <c r="LU7" s="3" t="s">
        <v>178</v>
      </c>
      <c r="LV7" s="3" t="s">
        <v>178</v>
      </c>
      <c r="LW7" s="3" t="s">
        <v>178</v>
      </c>
      <c r="LX7" s="3" t="s">
        <v>178</v>
      </c>
      <c r="LY7" s="3" t="s">
        <v>178</v>
      </c>
      <c r="LZ7" s="3" t="s">
        <v>178</v>
      </c>
      <c r="MA7" s="3" t="s">
        <v>178</v>
      </c>
      <c r="MB7" s="3" t="s">
        <v>178</v>
      </c>
      <c r="MC7" s="3" t="s">
        <v>178</v>
      </c>
      <c r="MD7" s="3" t="s">
        <v>178</v>
      </c>
      <c r="ME7" s="3" t="s">
        <v>178</v>
      </c>
      <c r="MF7" s="3" t="s">
        <v>178</v>
      </c>
      <c r="MG7" s="3" t="s">
        <v>178</v>
      </c>
      <c r="MH7" s="3" t="s">
        <v>178</v>
      </c>
      <c r="MI7" s="3" t="s">
        <v>178</v>
      </c>
      <c r="MJ7" s="3" t="s">
        <v>178</v>
      </c>
      <c r="MK7" s="3" t="s">
        <v>178</v>
      </c>
      <c r="ML7" s="3" t="s">
        <v>178</v>
      </c>
      <c r="MM7" s="3" t="s">
        <v>178</v>
      </c>
      <c r="MN7" s="3" t="s">
        <v>178</v>
      </c>
    </row>
    <row r="8" spans="1:353" ht="23.25" customHeight="1" x14ac:dyDescent="0.25">
      <c r="A8" s="43" t="s">
        <v>0</v>
      </c>
      <c r="B8" s="43"/>
      <c r="C8" s="16"/>
      <c r="D8" s="16" t="s">
        <v>73</v>
      </c>
      <c r="E8" s="16" t="s">
        <v>74</v>
      </c>
      <c r="F8" s="16" t="s">
        <v>75</v>
      </c>
      <c r="G8" s="16" t="s">
        <v>76</v>
      </c>
      <c r="H8" s="16" t="s">
        <v>77</v>
      </c>
      <c r="I8" s="16" t="s">
        <v>77</v>
      </c>
      <c r="J8" s="16" t="s">
        <v>78</v>
      </c>
      <c r="K8" s="16" t="s">
        <v>79</v>
      </c>
      <c r="L8" s="16" t="s">
        <v>75</v>
      </c>
      <c r="M8" s="16" t="s">
        <v>75</v>
      </c>
      <c r="N8" s="16" t="s">
        <v>456</v>
      </c>
      <c r="O8" s="16" t="s">
        <v>77</v>
      </c>
      <c r="P8" s="16" t="s">
        <v>77</v>
      </c>
      <c r="Q8" s="16" t="s">
        <v>80</v>
      </c>
      <c r="R8" s="16" t="s">
        <v>74</v>
      </c>
      <c r="S8" s="16" t="s">
        <v>75</v>
      </c>
      <c r="T8" s="16" t="s">
        <v>76</v>
      </c>
      <c r="U8" s="16" t="s">
        <v>77</v>
      </c>
      <c r="V8" s="16" t="s">
        <v>77</v>
      </c>
      <c r="W8" s="16" t="s">
        <v>78</v>
      </c>
      <c r="X8" s="16" t="s">
        <v>75</v>
      </c>
      <c r="Y8" s="16" t="s">
        <v>75</v>
      </c>
      <c r="Z8" s="16" t="s">
        <v>456</v>
      </c>
      <c r="AA8" s="16" t="s">
        <v>77</v>
      </c>
      <c r="AB8" s="16" t="s">
        <v>77</v>
      </c>
      <c r="AC8" s="16" t="s">
        <v>80</v>
      </c>
      <c r="AD8" s="16" t="s">
        <v>74</v>
      </c>
      <c r="AE8" s="16" t="s">
        <v>75</v>
      </c>
      <c r="AF8" s="16" t="s">
        <v>76</v>
      </c>
      <c r="AG8" s="16" t="s">
        <v>77</v>
      </c>
      <c r="AH8" s="16" t="s">
        <v>77</v>
      </c>
      <c r="AI8" s="16" t="s">
        <v>78</v>
      </c>
      <c r="AJ8" s="16" t="s">
        <v>75</v>
      </c>
      <c r="AK8" s="16" t="s">
        <v>75</v>
      </c>
      <c r="AL8" s="16" t="s">
        <v>456</v>
      </c>
      <c r="AM8" s="16" t="s">
        <v>77</v>
      </c>
      <c r="AN8" s="16" t="s">
        <v>77</v>
      </c>
      <c r="AO8" s="16" t="s">
        <v>80</v>
      </c>
      <c r="AP8" s="16" t="s">
        <v>74</v>
      </c>
      <c r="AQ8" s="16" t="s">
        <v>75</v>
      </c>
      <c r="AR8" s="16" t="s">
        <v>76</v>
      </c>
      <c r="AS8" s="16" t="s">
        <v>77</v>
      </c>
      <c r="AT8" s="16" t="s">
        <v>77</v>
      </c>
      <c r="AU8" s="16" t="s">
        <v>78</v>
      </c>
      <c r="AV8" s="16" t="s">
        <v>75</v>
      </c>
      <c r="AW8" s="16" t="s">
        <v>75</v>
      </c>
      <c r="AX8" s="16" t="s">
        <v>456</v>
      </c>
      <c r="AY8" s="16" t="s">
        <v>77</v>
      </c>
      <c r="AZ8" s="16" t="s">
        <v>77</v>
      </c>
      <c r="BA8" s="16" t="s">
        <v>80</v>
      </c>
      <c r="BB8" s="16" t="s">
        <v>74</v>
      </c>
      <c r="BC8" s="16" t="s">
        <v>75</v>
      </c>
      <c r="BD8" s="16" t="s">
        <v>76</v>
      </c>
      <c r="BE8" s="16" t="s">
        <v>77</v>
      </c>
      <c r="BF8" s="16" t="s">
        <v>77</v>
      </c>
      <c r="BG8" s="16" t="s">
        <v>78</v>
      </c>
      <c r="BH8" s="16" t="s">
        <v>75</v>
      </c>
      <c r="BI8" s="16" t="s">
        <v>75</v>
      </c>
      <c r="BJ8" s="16" t="s">
        <v>456</v>
      </c>
      <c r="BK8" s="16" t="s">
        <v>77</v>
      </c>
      <c r="BL8" s="16" t="s">
        <v>77</v>
      </c>
      <c r="BM8" s="16" t="s">
        <v>80</v>
      </c>
      <c r="BN8" s="7" t="s">
        <v>81</v>
      </c>
      <c r="BO8" s="7" t="s">
        <v>81</v>
      </c>
      <c r="BP8" s="7" t="s">
        <v>81</v>
      </c>
      <c r="BQ8" s="16" t="s">
        <v>114</v>
      </c>
      <c r="BR8" s="16" t="s">
        <v>115</v>
      </c>
      <c r="BS8" s="16" t="s">
        <v>116</v>
      </c>
      <c r="BT8" s="16" t="s">
        <v>117</v>
      </c>
      <c r="BU8" s="16" t="s">
        <v>117</v>
      </c>
      <c r="BV8" s="16"/>
      <c r="BW8" s="38"/>
      <c r="BX8" s="7" t="s">
        <v>118</v>
      </c>
      <c r="BY8" s="7"/>
      <c r="BZ8" s="7"/>
      <c r="CA8" s="7" t="s">
        <v>119</v>
      </c>
      <c r="CB8" s="7"/>
      <c r="CC8" s="7"/>
      <c r="CD8" s="7"/>
      <c r="CE8" s="7"/>
      <c r="CF8" s="55" t="s">
        <v>120</v>
      </c>
      <c r="CG8" s="55" t="s">
        <v>121</v>
      </c>
      <c r="CH8" s="55" t="s">
        <v>122</v>
      </c>
      <c r="CI8" s="55" t="s">
        <v>124</v>
      </c>
      <c r="CJ8" s="55" t="s">
        <v>123</v>
      </c>
      <c r="CL8" s="55" t="s">
        <v>123</v>
      </c>
      <c r="CM8" s="55" t="s">
        <v>123</v>
      </c>
      <c r="CN8" s="55" t="s">
        <v>120</v>
      </c>
      <c r="CO8" s="55" t="s">
        <v>121</v>
      </c>
      <c r="CP8" s="55" t="s">
        <v>122</v>
      </c>
      <c r="CQ8" s="55" t="s">
        <v>123</v>
      </c>
      <c r="CR8" s="55" t="s">
        <v>123</v>
      </c>
      <c r="CS8" s="55" t="s">
        <v>124</v>
      </c>
      <c r="CT8" s="55" t="s">
        <v>123</v>
      </c>
      <c r="CU8" s="55" t="s">
        <v>123</v>
      </c>
      <c r="CV8" s="55" t="s">
        <v>120</v>
      </c>
      <c r="CW8" s="55" t="s">
        <v>121</v>
      </c>
      <c r="CX8" s="55" t="s">
        <v>122</v>
      </c>
      <c r="CY8" s="55" t="s">
        <v>123</v>
      </c>
      <c r="CZ8" s="55" t="s">
        <v>123</v>
      </c>
      <c r="DA8" s="55" t="s">
        <v>124</v>
      </c>
      <c r="DB8" s="55" t="s">
        <v>123</v>
      </c>
      <c r="DC8" s="55" t="s">
        <v>123</v>
      </c>
      <c r="DD8" s="55" t="s">
        <v>120</v>
      </c>
      <c r="DE8" s="55" t="s">
        <v>121</v>
      </c>
      <c r="DF8" s="55" t="s">
        <v>122</v>
      </c>
      <c r="DG8" s="55" t="s">
        <v>123</v>
      </c>
      <c r="DH8" s="55" t="s">
        <v>123</v>
      </c>
      <c r="DI8" s="55" t="s">
        <v>124</v>
      </c>
      <c r="DJ8" s="55" t="s">
        <v>123</v>
      </c>
      <c r="DK8" s="55" t="s">
        <v>123</v>
      </c>
      <c r="DL8" s="55" t="s">
        <v>120</v>
      </c>
      <c r="DM8" s="55" t="s">
        <v>121</v>
      </c>
      <c r="DN8" s="55" t="s">
        <v>122</v>
      </c>
      <c r="DO8" s="55" t="s">
        <v>123</v>
      </c>
      <c r="DP8" s="55" t="s">
        <v>123</v>
      </c>
      <c r="DQ8" s="55" t="s">
        <v>124</v>
      </c>
      <c r="DR8" s="55" t="s">
        <v>123</v>
      </c>
      <c r="DS8" s="55" t="s">
        <v>123</v>
      </c>
      <c r="DT8" s="55" t="s">
        <v>120</v>
      </c>
      <c r="DU8" s="55" t="s">
        <v>121</v>
      </c>
      <c r="DV8" s="55" t="s">
        <v>122</v>
      </c>
      <c r="DW8" s="55" t="s">
        <v>123</v>
      </c>
      <c r="DX8" s="55" t="s">
        <v>123</v>
      </c>
      <c r="DY8" s="55" t="s">
        <v>124</v>
      </c>
      <c r="DZ8" s="55" t="s">
        <v>123</v>
      </c>
      <c r="EA8" s="55" t="s">
        <v>123</v>
      </c>
      <c r="EB8" s="55" t="s">
        <v>120</v>
      </c>
      <c r="EC8" s="55" t="s">
        <v>121</v>
      </c>
      <c r="ED8" s="55" t="s">
        <v>122</v>
      </c>
      <c r="EE8" s="55" t="s">
        <v>123</v>
      </c>
      <c r="EF8" s="55" t="s">
        <v>123</v>
      </c>
      <c r="EG8" s="55" t="s">
        <v>124</v>
      </c>
      <c r="EH8" s="55" t="s">
        <v>123</v>
      </c>
      <c r="EI8" s="55" t="s">
        <v>123</v>
      </c>
      <c r="EJ8" s="55" t="s">
        <v>120</v>
      </c>
      <c r="EK8" s="55" t="s">
        <v>121</v>
      </c>
      <c r="EL8" s="55" t="s">
        <v>122</v>
      </c>
      <c r="EM8" s="55" t="s">
        <v>123</v>
      </c>
      <c r="EN8" s="55" t="s">
        <v>123</v>
      </c>
      <c r="EO8" s="55" t="s">
        <v>124</v>
      </c>
      <c r="EP8" s="55" t="s">
        <v>123</v>
      </c>
      <c r="EQ8" s="55" t="s">
        <v>123</v>
      </c>
      <c r="ER8" s="55" t="s">
        <v>120</v>
      </c>
      <c r="ES8" s="55" t="s">
        <v>121</v>
      </c>
      <c r="ET8" s="55" t="s">
        <v>122</v>
      </c>
      <c r="EU8" s="55" t="s">
        <v>123</v>
      </c>
      <c r="EV8" s="55" t="s">
        <v>123</v>
      </c>
      <c r="EW8" s="55" t="s">
        <v>124</v>
      </c>
      <c r="EX8" s="55" t="s">
        <v>123</v>
      </c>
      <c r="EY8" s="55" t="s">
        <v>123</v>
      </c>
      <c r="EZ8" s="55" t="s">
        <v>120</v>
      </c>
      <c r="FA8" s="55" t="s">
        <v>121</v>
      </c>
      <c r="FB8" s="55" t="s">
        <v>122</v>
      </c>
      <c r="FC8" s="55" t="s">
        <v>123</v>
      </c>
      <c r="FD8" s="55" t="s">
        <v>123</v>
      </c>
      <c r="FE8" s="55" t="s">
        <v>124</v>
      </c>
      <c r="FF8" s="55" t="s">
        <v>123</v>
      </c>
      <c r="FG8" s="55" t="s">
        <v>123</v>
      </c>
      <c r="FH8" s="55" t="s">
        <v>120</v>
      </c>
      <c r="FI8" s="55" t="s">
        <v>121</v>
      </c>
      <c r="FJ8" s="55" t="s">
        <v>122</v>
      </c>
      <c r="FK8" s="55" t="s">
        <v>123</v>
      </c>
      <c r="FL8" s="55" t="s">
        <v>123</v>
      </c>
      <c r="FM8" s="53" t="s">
        <v>155</v>
      </c>
      <c r="FN8" s="55" t="s">
        <v>123</v>
      </c>
      <c r="FO8" s="55" t="s">
        <v>123</v>
      </c>
      <c r="FP8" s="15"/>
      <c r="FQ8" s="14" t="s">
        <v>156</v>
      </c>
      <c r="FR8" s="14" t="s">
        <v>157</v>
      </c>
      <c r="FS8" s="14" t="s">
        <v>158</v>
      </c>
      <c r="FT8" s="14" t="s">
        <v>159</v>
      </c>
      <c r="FU8" s="16" t="s">
        <v>160</v>
      </c>
      <c r="FV8" s="16" t="s">
        <v>161</v>
      </c>
      <c r="FW8" s="16" t="s">
        <v>162</v>
      </c>
      <c r="FX8" s="16" t="s">
        <v>163</v>
      </c>
      <c r="FY8" s="16" t="s">
        <v>124</v>
      </c>
      <c r="FZ8" s="16" t="s">
        <v>163</v>
      </c>
      <c r="GA8" s="16" t="s">
        <v>160</v>
      </c>
      <c r="GB8" s="16" t="s">
        <v>161</v>
      </c>
      <c r="GC8" s="16" t="s">
        <v>162</v>
      </c>
      <c r="GD8" s="16" t="s">
        <v>163</v>
      </c>
      <c r="GE8" s="16" t="s">
        <v>124</v>
      </c>
      <c r="GF8" s="16" t="s">
        <v>163</v>
      </c>
      <c r="GG8" s="16" t="s">
        <v>160</v>
      </c>
      <c r="GH8" s="16" t="s">
        <v>161</v>
      </c>
      <c r="GI8" s="16" t="s">
        <v>162</v>
      </c>
      <c r="GJ8" s="16" t="s">
        <v>163</v>
      </c>
      <c r="GK8" s="16" t="s">
        <v>124</v>
      </c>
      <c r="GL8" s="16" t="s">
        <v>163</v>
      </c>
      <c r="GM8" s="16" t="s">
        <v>160</v>
      </c>
      <c r="GN8" s="16" t="s">
        <v>161</v>
      </c>
      <c r="GO8" s="16" t="s">
        <v>162</v>
      </c>
      <c r="GP8" s="16" t="s">
        <v>163</v>
      </c>
      <c r="GQ8" s="16" t="s">
        <v>124</v>
      </c>
      <c r="GR8" s="16" t="s">
        <v>163</v>
      </c>
      <c r="GS8" s="16" t="s">
        <v>160</v>
      </c>
      <c r="GT8" s="16" t="s">
        <v>161</v>
      </c>
      <c r="GU8" s="16" t="s">
        <v>162</v>
      </c>
      <c r="GV8" s="16" t="s">
        <v>163</v>
      </c>
      <c r="GW8" s="16" t="s">
        <v>124</v>
      </c>
      <c r="GX8" s="16" t="s">
        <v>163</v>
      </c>
      <c r="GY8" s="16" t="s">
        <v>160</v>
      </c>
      <c r="GZ8" s="16" t="s">
        <v>161</v>
      </c>
      <c r="HA8" s="16" t="s">
        <v>162</v>
      </c>
      <c r="HB8" s="16" t="s">
        <v>163</v>
      </c>
      <c r="HC8" s="16" t="s">
        <v>124</v>
      </c>
      <c r="HD8" s="16" t="s">
        <v>163</v>
      </c>
      <c r="HE8" s="16" t="s">
        <v>160</v>
      </c>
      <c r="HF8" s="16" t="s">
        <v>161</v>
      </c>
      <c r="HG8" s="16" t="s">
        <v>162</v>
      </c>
      <c r="HH8" s="16" t="s">
        <v>163</v>
      </c>
      <c r="HI8" s="16" t="s">
        <v>124</v>
      </c>
      <c r="HJ8" s="16" t="s">
        <v>163</v>
      </c>
      <c r="HK8" s="16" t="s">
        <v>160</v>
      </c>
      <c r="HL8" s="16" t="s">
        <v>161</v>
      </c>
      <c r="HM8" s="16" t="s">
        <v>162</v>
      </c>
      <c r="HN8" s="16" t="s">
        <v>163</v>
      </c>
      <c r="HO8" s="16" t="s">
        <v>124</v>
      </c>
      <c r="HP8" s="16" t="s">
        <v>163</v>
      </c>
      <c r="HQ8" s="16" t="s">
        <v>160</v>
      </c>
      <c r="HR8" s="16" t="s">
        <v>161</v>
      </c>
      <c r="HS8" s="16" t="s">
        <v>162</v>
      </c>
      <c r="HT8" s="16" t="s">
        <v>163</v>
      </c>
      <c r="HU8" s="16" t="s">
        <v>124</v>
      </c>
      <c r="HV8" s="16" t="s">
        <v>163</v>
      </c>
      <c r="HW8" s="16" t="s">
        <v>160</v>
      </c>
      <c r="HX8" s="16" t="s">
        <v>161</v>
      </c>
      <c r="HY8" s="16" t="s">
        <v>162</v>
      </c>
      <c r="HZ8" s="16" t="s">
        <v>163</v>
      </c>
      <c r="IA8" s="16" t="s">
        <v>124</v>
      </c>
      <c r="IB8" s="16" t="s">
        <v>163</v>
      </c>
      <c r="IC8" s="16" t="s">
        <v>160</v>
      </c>
      <c r="ID8" s="16" t="s">
        <v>161</v>
      </c>
      <c r="IE8" s="16" t="s">
        <v>162</v>
      </c>
      <c r="IF8" s="16" t="s">
        <v>163</v>
      </c>
      <c r="IG8" s="16" t="s">
        <v>124</v>
      </c>
      <c r="IH8" s="16" t="s">
        <v>163</v>
      </c>
      <c r="II8" s="15"/>
      <c r="IJ8" s="14" t="s">
        <v>73</v>
      </c>
      <c r="IK8" s="16" t="s">
        <v>75</v>
      </c>
      <c r="IL8" s="16" t="s">
        <v>75</v>
      </c>
      <c r="IM8" s="37" t="s">
        <v>76</v>
      </c>
      <c r="IN8" s="38" t="s">
        <v>77</v>
      </c>
      <c r="IO8" s="38" t="s">
        <v>77</v>
      </c>
      <c r="IP8" s="16" t="s">
        <v>78</v>
      </c>
      <c r="IQ8" s="16" t="s">
        <v>160</v>
      </c>
      <c r="IR8" s="16" t="s">
        <v>161</v>
      </c>
      <c r="IS8" s="16" t="s">
        <v>162</v>
      </c>
      <c r="IT8" s="16" t="s">
        <v>179</v>
      </c>
      <c r="IU8" s="16" t="s">
        <v>180</v>
      </c>
      <c r="IV8" s="16" t="s">
        <v>119</v>
      </c>
      <c r="IW8" s="16" t="s">
        <v>181</v>
      </c>
      <c r="IX8" s="16" t="s">
        <v>73</v>
      </c>
      <c r="IY8" s="16" t="s">
        <v>75</v>
      </c>
      <c r="IZ8" s="16" t="s">
        <v>182</v>
      </c>
      <c r="JA8" s="16" t="s">
        <v>182</v>
      </c>
      <c r="JB8" s="16" t="s">
        <v>81</v>
      </c>
      <c r="JC8" s="16" t="s">
        <v>81</v>
      </c>
      <c r="JD8" s="16" t="s">
        <v>183</v>
      </c>
      <c r="JE8" s="16" t="s">
        <v>160</v>
      </c>
      <c r="JF8" s="16" t="s">
        <v>161</v>
      </c>
      <c r="JG8" s="16" t="s">
        <v>162</v>
      </c>
      <c r="JH8" s="16" t="s">
        <v>184</v>
      </c>
      <c r="JI8" s="16" t="s">
        <v>184</v>
      </c>
      <c r="JJ8" s="16" t="s">
        <v>124</v>
      </c>
      <c r="JK8" s="16" t="s">
        <v>180</v>
      </c>
      <c r="JL8" s="16" t="s">
        <v>180</v>
      </c>
      <c r="JM8" s="16" t="s">
        <v>160</v>
      </c>
      <c r="JN8" s="16" t="s">
        <v>161</v>
      </c>
      <c r="JO8" s="16" t="s">
        <v>162</v>
      </c>
      <c r="JP8" s="16" t="s">
        <v>184</v>
      </c>
      <c r="JQ8" s="16" t="s">
        <v>184</v>
      </c>
      <c r="JR8" s="16" t="s">
        <v>124</v>
      </c>
      <c r="JS8" s="16" t="s">
        <v>180</v>
      </c>
      <c r="JT8" s="16" t="s">
        <v>180</v>
      </c>
      <c r="JU8" s="16" t="s">
        <v>160</v>
      </c>
      <c r="JV8" s="16" t="s">
        <v>161</v>
      </c>
      <c r="JW8" s="16" t="s">
        <v>162</v>
      </c>
      <c r="JX8" s="16" t="s">
        <v>184</v>
      </c>
      <c r="JY8" s="16" t="s">
        <v>184</v>
      </c>
      <c r="JZ8" s="16" t="s">
        <v>124</v>
      </c>
      <c r="KA8" s="16" t="s">
        <v>180</v>
      </c>
      <c r="KB8" s="16" t="s">
        <v>180</v>
      </c>
      <c r="KC8" s="16" t="s">
        <v>160</v>
      </c>
      <c r="KD8" s="16" t="s">
        <v>161</v>
      </c>
      <c r="KE8" s="16" t="s">
        <v>162</v>
      </c>
      <c r="KF8" s="16" t="s">
        <v>184</v>
      </c>
      <c r="KG8" s="16" t="s">
        <v>184</v>
      </c>
      <c r="KH8" s="16" t="s">
        <v>124</v>
      </c>
      <c r="KI8" s="16" t="s">
        <v>180</v>
      </c>
      <c r="KJ8" s="16" t="s">
        <v>180</v>
      </c>
      <c r="KK8" s="16" t="s">
        <v>160</v>
      </c>
      <c r="KL8" s="16" t="s">
        <v>161</v>
      </c>
      <c r="KM8" s="16" t="s">
        <v>162</v>
      </c>
      <c r="KN8" s="16" t="s">
        <v>184</v>
      </c>
      <c r="KO8" s="16" t="s">
        <v>184</v>
      </c>
      <c r="KP8" s="16" t="s">
        <v>124</v>
      </c>
      <c r="KQ8" s="16" t="s">
        <v>180</v>
      </c>
      <c r="KR8" s="16" t="s">
        <v>180</v>
      </c>
      <c r="KS8" s="16" t="s">
        <v>160</v>
      </c>
      <c r="KT8" s="16" t="s">
        <v>161</v>
      </c>
      <c r="KU8" s="16" t="s">
        <v>162</v>
      </c>
      <c r="KV8" s="16" t="s">
        <v>184</v>
      </c>
      <c r="KW8" s="16" t="s">
        <v>184</v>
      </c>
      <c r="KX8" s="16" t="s">
        <v>124</v>
      </c>
      <c r="KY8" s="16" t="s">
        <v>180</v>
      </c>
      <c r="KZ8" s="16" t="s">
        <v>180</v>
      </c>
      <c r="LA8" s="16" t="s">
        <v>160</v>
      </c>
      <c r="LB8" s="16" t="s">
        <v>161</v>
      </c>
      <c r="LC8" s="16" t="s">
        <v>162</v>
      </c>
      <c r="LD8" s="16" t="s">
        <v>184</v>
      </c>
      <c r="LE8" s="16" t="s">
        <v>184</v>
      </c>
      <c r="LF8" s="16" t="s">
        <v>124</v>
      </c>
      <c r="LG8" s="16" t="s">
        <v>180</v>
      </c>
      <c r="LH8" s="16" t="s">
        <v>180</v>
      </c>
      <c r="LI8" s="16" t="s">
        <v>160</v>
      </c>
      <c r="LJ8" s="16" t="s">
        <v>161</v>
      </c>
      <c r="LK8" s="16" t="s">
        <v>162</v>
      </c>
      <c r="LL8" s="16" t="s">
        <v>184</v>
      </c>
      <c r="LM8" s="16" t="s">
        <v>184</v>
      </c>
      <c r="LN8" s="16" t="s">
        <v>124</v>
      </c>
      <c r="LO8" s="16" t="s">
        <v>180</v>
      </c>
      <c r="LP8" s="16" t="s">
        <v>180</v>
      </c>
      <c r="LQ8" s="16" t="s">
        <v>160</v>
      </c>
      <c r="LR8" s="16" t="s">
        <v>161</v>
      </c>
      <c r="LS8" s="16" t="s">
        <v>162</v>
      </c>
      <c r="LT8" s="16" t="s">
        <v>184</v>
      </c>
      <c r="LU8" s="16" t="s">
        <v>184</v>
      </c>
      <c r="LV8" s="16" t="s">
        <v>124</v>
      </c>
      <c r="LW8" s="16" t="s">
        <v>180</v>
      </c>
      <c r="LX8" s="16" t="s">
        <v>180</v>
      </c>
      <c r="LY8" s="16" t="s">
        <v>160</v>
      </c>
      <c r="LZ8" s="16" t="s">
        <v>161</v>
      </c>
      <c r="MA8" s="16" t="s">
        <v>162</v>
      </c>
      <c r="MB8" s="16" t="s">
        <v>184</v>
      </c>
      <c r="MC8" s="16" t="s">
        <v>184</v>
      </c>
      <c r="MD8" s="16" t="s">
        <v>124</v>
      </c>
      <c r="ME8" s="16" t="s">
        <v>180</v>
      </c>
      <c r="MF8" s="16" t="s">
        <v>180</v>
      </c>
      <c r="MG8" s="16" t="s">
        <v>190</v>
      </c>
      <c r="MH8" s="16" t="s">
        <v>121</v>
      </c>
      <c r="MI8" s="16" t="s">
        <v>122</v>
      </c>
      <c r="MJ8" s="16" t="s">
        <v>123</v>
      </c>
      <c r="MK8" s="16" t="s">
        <v>123</v>
      </c>
      <c r="ML8" s="16" t="s">
        <v>155</v>
      </c>
      <c r="MM8" s="16" t="s">
        <v>191</v>
      </c>
      <c r="MN8" s="16" t="s">
        <v>191</v>
      </c>
    </row>
    <row r="9" spans="1:353" ht="23.25" customHeight="1" x14ac:dyDescent="0.25">
      <c r="A9" s="44" t="s">
        <v>11</v>
      </c>
      <c r="B9" s="44"/>
      <c r="C9" s="16">
        <v>10</v>
      </c>
      <c r="D9" s="16">
        <v>10</v>
      </c>
      <c r="E9" s="16">
        <f t="shared" ref="E9:BT9" si="0">D9+10</f>
        <v>20</v>
      </c>
      <c r="F9" s="16">
        <f t="shared" si="0"/>
        <v>30</v>
      </c>
      <c r="G9" s="16">
        <f t="shared" si="0"/>
        <v>40</v>
      </c>
      <c r="H9" s="16">
        <f t="shared" si="0"/>
        <v>50</v>
      </c>
      <c r="I9" s="16">
        <f t="shared" si="0"/>
        <v>60</v>
      </c>
      <c r="J9" s="16">
        <f t="shared" si="0"/>
        <v>70</v>
      </c>
      <c r="K9" s="16">
        <f t="shared" si="0"/>
        <v>80</v>
      </c>
      <c r="L9" s="16">
        <f t="shared" ref="L9" si="1">K9+10</f>
        <v>90</v>
      </c>
      <c r="M9" s="16">
        <f t="shared" ref="M9" si="2">L9+10</f>
        <v>100</v>
      </c>
      <c r="N9" s="16">
        <f t="shared" ref="N9" si="3">M9+10</f>
        <v>110</v>
      </c>
      <c r="O9" s="16">
        <f t="shared" ref="O9" si="4">N9+10</f>
        <v>120</v>
      </c>
      <c r="P9" s="16">
        <f t="shared" ref="P9" si="5">O9+10</f>
        <v>130</v>
      </c>
      <c r="Q9" s="16">
        <f t="shared" ref="Q9" si="6">P9+10</f>
        <v>140</v>
      </c>
      <c r="R9" s="16">
        <f t="shared" ref="R9" si="7">Q9+10</f>
        <v>150</v>
      </c>
      <c r="S9" s="16">
        <f t="shared" ref="S9" si="8">R9+10</f>
        <v>160</v>
      </c>
      <c r="T9" s="16">
        <f t="shared" ref="T9" si="9">S9+10</f>
        <v>170</v>
      </c>
      <c r="U9" s="16">
        <f t="shared" ref="U9" si="10">T9+10</f>
        <v>180</v>
      </c>
      <c r="V9" s="16">
        <f t="shared" ref="V9" si="11">U9+10</f>
        <v>190</v>
      </c>
      <c r="W9" s="16">
        <f t="shared" ref="W9" si="12">V9+10</f>
        <v>200</v>
      </c>
      <c r="X9" s="16">
        <f t="shared" ref="X9" si="13">W9+10</f>
        <v>210</v>
      </c>
      <c r="Y9" s="16">
        <f t="shared" ref="Y9" si="14">X9+10</f>
        <v>220</v>
      </c>
      <c r="Z9" s="16">
        <f t="shared" ref="Z9" si="15">Y9+10</f>
        <v>230</v>
      </c>
      <c r="AA9" s="16">
        <f t="shared" ref="AA9" si="16">Z9+10</f>
        <v>240</v>
      </c>
      <c r="AB9" s="16">
        <f t="shared" ref="AB9" si="17">AA9+10</f>
        <v>250</v>
      </c>
      <c r="AC9" s="16">
        <f t="shared" ref="AC9" si="18">AB9+10</f>
        <v>260</v>
      </c>
      <c r="AD9" s="16">
        <f t="shared" ref="AD9" si="19">AC9+10</f>
        <v>270</v>
      </c>
      <c r="AE9" s="16">
        <f t="shared" ref="AE9" si="20">AD9+10</f>
        <v>280</v>
      </c>
      <c r="AF9" s="16">
        <f t="shared" ref="AF9" si="21">AE9+10</f>
        <v>290</v>
      </c>
      <c r="AG9" s="16">
        <f t="shared" ref="AG9" si="22">AF9+10</f>
        <v>300</v>
      </c>
      <c r="AH9" s="16">
        <f t="shared" ref="AH9" si="23">AG9+10</f>
        <v>310</v>
      </c>
      <c r="AI9" s="16">
        <f t="shared" ref="AI9" si="24">AH9+10</f>
        <v>320</v>
      </c>
      <c r="AJ9" s="16">
        <f t="shared" ref="AJ9" si="25">AI9+10</f>
        <v>330</v>
      </c>
      <c r="AK9" s="16">
        <f t="shared" ref="AK9" si="26">AJ9+10</f>
        <v>340</v>
      </c>
      <c r="AL9" s="16">
        <f t="shared" ref="AL9" si="27">AK9+10</f>
        <v>350</v>
      </c>
      <c r="AM9" s="16">
        <f t="shared" ref="AM9" si="28">AL9+10</f>
        <v>360</v>
      </c>
      <c r="AN9" s="16">
        <f t="shared" ref="AN9" si="29">AM9+10</f>
        <v>370</v>
      </c>
      <c r="AO9" s="16">
        <f t="shared" ref="AO9" si="30">AN9+10</f>
        <v>380</v>
      </c>
      <c r="AP9" s="16">
        <f t="shared" ref="AP9" si="31">AO9+10</f>
        <v>390</v>
      </c>
      <c r="AQ9" s="16">
        <f t="shared" ref="AQ9" si="32">AP9+10</f>
        <v>400</v>
      </c>
      <c r="AR9" s="16">
        <f t="shared" ref="AR9" si="33">AQ9+10</f>
        <v>410</v>
      </c>
      <c r="AS9" s="16">
        <f t="shared" ref="AS9" si="34">AR9+10</f>
        <v>420</v>
      </c>
      <c r="AT9" s="16">
        <f t="shared" ref="AT9" si="35">AS9+10</f>
        <v>430</v>
      </c>
      <c r="AU9" s="16">
        <f t="shared" ref="AU9" si="36">AT9+10</f>
        <v>440</v>
      </c>
      <c r="AV9" s="16">
        <f t="shared" ref="AV9" si="37">AU9+10</f>
        <v>450</v>
      </c>
      <c r="AW9" s="16">
        <f t="shared" ref="AW9" si="38">AV9+10</f>
        <v>460</v>
      </c>
      <c r="AX9" s="16">
        <f t="shared" ref="AX9" si="39">AW9+10</f>
        <v>470</v>
      </c>
      <c r="AY9" s="16">
        <f t="shared" ref="AY9" si="40">AX9+10</f>
        <v>480</v>
      </c>
      <c r="AZ9" s="16">
        <f t="shared" ref="AZ9" si="41">AY9+10</f>
        <v>490</v>
      </c>
      <c r="BA9" s="16">
        <f t="shared" ref="BA9" si="42">AZ9+10</f>
        <v>500</v>
      </c>
      <c r="BB9" s="16">
        <f t="shared" ref="BB9" si="43">BA9+10</f>
        <v>510</v>
      </c>
      <c r="BC9" s="16">
        <f t="shared" ref="BC9" si="44">BB9+10</f>
        <v>520</v>
      </c>
      <c r="BD9" s="16">
        <f t="shared" ref="BD9" si="45">BC9+10</f>
        <v>530</v>
      </c>
      <c r="BE9" s="16">
        <f t="shared" ref="BE9" si="46">BD9+10</f>
        <v>540</v>
      </c>
      <c r="BF9" s="16">
        <f t="shared" ref="BF9" si="47">BE9+10</f>
        <v>550</v>
      </c>
      <c r="BG9" s="16">
        <f t="shared" ref="BG9" si="48">BF9+10</f>
        <v>560</v>
      </c>
      <c r="BH9" s="16">
        <f t="shared" ref="BH9" si="49">BG9+10</f>
        <v>570</v>
      </c>
      <c r="BI9" s="16">
        <f t="shared" ref="BI9" si="50">BH9+10</f>
        <v>580</v>
      </c>
      <c r="BJ9" s="16">
        <f t="shared" ref="BJ9" si="51">BI9+10</f>
        <v>590</v>
      </c>
      <c r="BK9" s="16">
        <f t="shared" ref="BK9" si="52">BJ9+10</f>
        <v>600</v>
      </c>
      <c r="BL9" s="16">
        <f t="shared" ref="BL9" si="53">BK9+10</f>
        <v>610</v>
      </c>
      <c r="BM9" s="16">
        <f t="shared" ref="BM9" si="54">BL9+10</f>
        <v>620</v>
      </c>
      <c r="BN9" s="16">
        <f t="shared" ref="BN9" si="55">BM9+10</f>
        <v>630</v>
      </c>
      <c r="BO9" s="16">
        <f t="shared" si="0"/>
        <v>640</v>
      </c>
      <c r="BP9" s="16">
        <f t="shared" si="0"/>
        <v>650</v>
      </c>
      <c r="BQ9" s="16">
        <f>BP9+10</f>
        <v>660</v>
      </c>
      <c r="BR9" s="16">
        <f t="shared" si="0"/>
        <v>670</v>
      </c>
      <c r="BS9" s="16">
        <f t="shared" si="0"/>
        <v>680</v>
      </c>
      <c r="BT9" s="16">
        <f t="shared" si="0"/>
        <v>690</v>
      </c>
      <c r="BU9" s="16">
        <f>BT9+40</f>
        <v>730</v>
      </c>
      <c r="BV9" s="10">
        <f>BT9+50</f>
        <v>740</v>
      </c>
      <c r="BW9" s="35">
        <f t="shared" ref="BW9:CH9" si="56">BV9+10</f>
        <v>750</v>
      </c>
      <c r="BX9" s="3">
        <f t="shared" si="56"/>
        <v>760</v>
      </c>
      <c r="BY9" s="3">
        <f t="shared" si="56"/>
        <v>770</v>
      </c>
      <c r="BZ9" s="3">
        <f>BY9+20</f>
        <v>790</v>
      </c>
      <c r="CA9" s="3">
        <f t="shared" si="56"/>
        <v>800</v>
      </c>
      <c r="CB9" s="3">
        <f t="shared" si="56"/>
        <v>810</v>
      </c>
      <c r="CC9" s="3">
        <f t="shared" si="56"/>
        <v>820</v>
      </c>
      <c r="CD9" s="3">
        <f t="shared" si="56"/>
        <v>830</v>
      </c>
      <c r="CE9" s="3">
        <f t="shared" si="56"/>
        <v>840</v>
      </c>
      <c r="CF9" s="54">
        <f t="shared" si="56"/>
        <v>850</v>
      </c>
      <c r="CG9" s="54">
        <f t="shared" si="56"/>
        <v>860</v>
      </c>
      <c r="CH9" s="54">
        <f t="shared" si="56"/>
        <v>870</v>
      </c>
      <c r="CI9" s="54">
        <f>CH9+60</f>
        <v>930</v>
      </c>
      <c r="CJ9" s="56">
        <f>CI9+50</f>
        <v>980</v>
      </c>
      <c r="CK9" s="54">
        <f>CJ9+10</f>
        <v>990</v>
      </c>
      <c r="CL9" s="54">
        <f>CK9+10</f>
        <v>1000</v>
      </c>
      <c r="CM9" s="54">
        <f>CL9+50</f>
        <v>1050</v>
      </c>
      <c r="CN9" s="54">
        <f>CM9+10</f>
        <v>1060</v>
      </c>
      <c r="CO9" s="54">
        <f>CN9+10</f>
        <v>1070</v>
      </c>
      <c r="CP9" s="54">
        <f>CO9+10</f>
        <v>1080</v>
      </c>
      <c r="CQ9" s="54">
        <f>CP9+10</f>
        <v>1090</v>
      </c>
      <c r="CR9" s="56">
        <f>CQ9+50</f>
        <v>1140</v>
      </c>
      <c r="CS9" s="54">
        <f>CR9+10</f>
        <v>1150</v>
      </c>
      <c r="CT9" s="54">
        <f>CS9+10</f>
        <v>1160</v>
      </c>
      <c r="CU9" s="54">
        <f>CT9+50</f>
        <v>1210</v>
      </c>
      <c r="CV9" s="54">
        <f>CU9+10</f>
        <v>1220</v>
      </c>
      <c r="CW9" s="54">
        <f>CV9+10</f>
        <v>1230</v>
      </c>
      <c r="CX9" s="54">
        <f>CW9+10</f>
        <v>1240</v>
      </c>
      <c r="CY9" s="54">
        <f>CX9+10</f>
        <v>1250</v>
      </c>
      <c r="CZ9" s="56">
        <f>CY9+50</f>
        <v>1300</v>
      </c>
      <c r="DA9" s="54">
        <f>CZ9+10</f>
        <v>1310</v>
      </c>
      <c r="DB9" s="54">
        <f>DA9+10</f>
        <v>1320</v>
      </c>
      <c r="DC9" s="54">
        <f>DB9+50</f>
        <v>1370</v>
      </c>
      <c r="DD9" s="54">
        <f>DC9+10</f>
        <v>1380</v>
      </c>
      <c r="DE9" s="54">
        <f>DD9+10</f>
        <v>1390</v>
      </c>
      <c r="DF9" s="54">
        <f>DE9+10</f>
        <v>1400</v>
      </c>
      <c r="DG9" s="54">
        <f>DF9+10</f>
        <v>1410</v>
      </c>
      <c r="DH9" s="56">
        <f>DG9+50</f>
        <v>1460</v>
      </c>
      <c r="DI9" s="54">
        <f>DH9+10</f>
        <v>1470</v>
      </c>
      <c r="DJ9" s="54">
        <f>DI9+10</f>
        <v>1480</v>
      </c>
      <c r="DK9" s="54">
        <f>DJ9+50</f>
        <v>1530</v>
      </c>
      <c r="DL9" s="54">
        <f>DK9+10</f>
        <v>1540</v>
      </c>
      <c r="DM9" s="54">
        <f>DL9+10</f>
        <v>1550</v>
      </c>
      <c r="DN9" s="54">
        <f>DM9+10</f>
        <v>1560</v>
      </c>
      <c r="DO9" s="54">
        <f>DN9+10</f>
        <v>1570</v>
      </c>
      <c r="DP9" s="56">
        <f>DO9+50</f>
        <v>1620</v>
      </c>
      <c r="DQ9" s="54">
        <f>DP9+10</f>
        <v>1630</v>
      </c>
      <c r="DR9" s="54">
        <f>DQ9+10</f>
        <v>1640</v>
      </c>
      <c r="DS9" s="54">
        <f>DR9+50</f>
        <v>1690</v>
      </c>
      <c r="DT9" s="54">
        <f>DS9+10</f>
        <v>1700</v>
      </c>
      <c r="DU9" s="54">
        <f>DT9+10</f>
        <v>1710</v>
      </c>
      <c r="DV9" s="54">
        <f>DU9+10</f>
        <v>1720</v>
      </c>
      <c r="DW9" s="54">
        <f>DV9+10</f>
        <v>1730</v>
      </c>
      <c r="DX9" s="56">
        <f>DW9+50</f>
        <v>1780</v>
      </c>
      <c r="DY9" s="54">
        <f>DX9+10</f>
        <v>1790</v>
      </c>
      <c r="DZ9" s="54">
        <f>DY9+10</f>
        <v>1800</v>
      </c>
      <c r="EA9" s="54">
        <f>DZ9+50</f>
        <v>1850</v>
      </c>
      <c r="EB9" s="54">
        <f>EA9+10</f>
        <v>1860</v>
      </c>
      <c r="EC9" s="54">
        <f>EB9+10</f>
        <v>1870</v>
      </c>
      <c r="ED9" s="54">
        <f>EC9+10</f>
        <v>1880</v>
      </c>
      <c r="EE9" s="54">
        <f>ED9+10</f>
        <v>1890</v>
      </c>
      <c r="EF9" s="56">
        <f>EE9+50</f>
        <v>1940</v>
      </c>
      <c r="EG9" s="54">
        <f>EF9+10</f>
        <v>1950</v>
      </c>
      <c r="EH9" s="54">
        <f>EG9+10</f>
        <v>1960</v>
      </c>
      <c r="EI9" s="54">
        <f>EH9+50</f>
        <v>2010</v>
      </c>
      <c r="EJ9" s="54">
        <f>EI9+10</f>
        <v>2020</v>
      </c>
      <c r="EK9" s="54">
        <f>EJ9+10</f>
        <v>2030</v>
      </c>
      <c r="EL9" s="54">
        <f>EK9+10</f>
        <v>2040</v>
      </c>
      <c r="EM9" s="54">
        <f>EL9+10</f>
        <v>2050</v>
      </c>
      <c r="EN9" s="56">
        <f>EM9+50</f>
        <v>2100</v>
      </c>
      <c r="EO9" s="54">
        <f>EN9+10</f>
        <v>2110</v>
      </c>
      <c r="EP9" s="54">
        <f>EO9+10</f>
        <v>2120</v>
      </c>
      <c r="EQ9" s="54">
        <f>EP9+50</f>
        <v>2170</v>
      </c>
      <c r="ER9" s="54">
        <f>EQ9+10</f>
        <v>2180</v>
      </c>
      <c r="ES9" s="54">
        <f>ER9+10</f>
        <v>2190</v>
      </c>
      <c r="ET9" s="54">
        <f>ES9+10</f>
        <v>2200</v>
      </c>
      <c r="EU9" s="54">
        <f>ET9+10</f>
        <v>2210</v>
      </c>
      <c r="EV9" s="56">
        <f>EU9+50</f>
        <v>2260</v>
      </c>
      <c r="EW9" s="54">
        <f>EV9+10</f>
        <v>2270</v>
      </c>
      <c r="EX9" s="54">
        <f>EW9+10</f>
        <v>2280</v>
      </c>
      <c r="EY9" s="54">
        <f>EX9+50</f>
        <v>2330</v>
      </c>
      <c r="EZ9" s="54">
        <f>EY9+10</f>
        <v>2340</v>
      </c>
      <c r="FA9" s="54">
        <f>EZ9+10</f>
        <v>2350</v>
      </c>
      <c r="FB9" s="54">
        <f>FA9+10</f>
        <v>2360</v>
      </c>
      <c r="FC9" s="54">
        <f>FB9+10</f>
        <v>2370</v>
      </c>
      <c r="FD9" s="56">
        <f>FC9+50</f>
        <v>2420</v>
      </c>
      <c r="FE9" s="54">
        <f>FD9+10</f>
        <v>2430</v>
      </c>
      <c r="FF9" s="54">
        <f>FE9+10</f>
        <v>2440</v>
      </c>
      <c r="FG9" s="54">
        <f>FF9+50</f>
        <v>2490</v>
      </c>
      <c r="FH9" s="54">
        <f>FG9+10</f>
        <v>2500</v>
      </c>
      <c r="FI9" s="54">
        <f>FH9+10</f>
        <v>2510</v>
      </c>
      <c r="FJ9" s="54">
        <f>FI9+10</f>
        <v>2520</v>
      </c>
      <c r="FK9" s="54">
        <f>FJ9+10</f>
        <v>2530</v>
      </c>
      <c r="FL9" s="56">
        <f>FK9+50</f>
        <v>2580</v>
      </c>
      <c r="FM9" s="54">
        <f>FL9+10</f>
        <v>2590</v>
      </c>
      <c r="FN9" s="54">
        <f>FM9+10</f>
        <v>2600</v>
      </c>
      <c r="FO9" s="54">
        <f>FN9+50</f>
        <v>2650</v>
      </c>
      <c r="FP9" s="3">
        <v>10</v>
      </c>
      <c r="FQ9" s="3">
        <v>10</v>
      </c>
      <c r="FR9" s="3">
        <f t="shared" ref="FR9:IC9" si="57">FQ9+10</f>
        <v>20</v>
      </c>
      <c r="FS9" s="3">
        <f t="shared" si="57"/>
        <v>30</v>
      </c>
      <c r="FT9" s="3">
        <f t="shared" si="57"/>
        <v>40</v>
      </c>
      <c r="FU9" s="3">
        <f t="shared" si="57"/>
        <v>50</v>
      </c>
      <c r="FV9" s="3">
        <f t="shared" si="57"/>
        <v>60</v>
      </c>
      <c r="FW9" s="3">
        <f t="shared" si="57"/>
        <v>70</v>
      </c>
      <c r="FX9" s="3">
        <f t="shared" si="57"/>
        <v>80</v>
      </c>
      <c r="FY9" s="3">
        <f t="shared" si="57"/>
        <v>90</v>
      </c>
      <c r="FZ9" s="3">
        <f t="shared" si="57"/>
        <v>100</v>
      </c>
      <c r="GA9" s="3">
        <f t="shared" si="57"/>
        <v>110</v>
      </c>
      <c r="GB9" s="3">
        <f t="shared" si="57"/>
        <v>120</v>
      </c>
      <c r="GC9" s="3">
        <f t="shared" si="57"/>
        <v>130</v>
      </c>
      <c r="GD9" s="3">
        <f t="shared" si="57"/>
        <v>140</v>
      </c>
      <c r="GE9" s="3">
        <f t="shared" si="57"/>
        <v>150</v>
      </c>
      <c r="GF9" s="3">
        <f t="shared" si="57"/>
        <v>160</v>
      </c>
      <c r="GG9" s="3">
        <f t="shared" si="57"/>
        <v>170</v>
      </c>
      <c r="GH9" s="3">
        <f t="shared" si="57"/>
        <v>180</v>
      </c>
      <c r="GI9" s="3">
        <f t="shared" si="57"/>
        <v>190</v>
      </c>
      <c r="GJ9" s="3">
        <f t="shared" si="57"/>
        <v>200</v>
      </c>
      <c r="GK9" s="3">
        <f t="shared" si="57"/>
        <v>210</v>
      </c>
      <c r="GL9" s="3">
        <f t="shared" si="57"/>
        <v>220</v>
      </c>
      <c r="GM9" s="3">
        <f t="shared" si="57"/>
        <v>230</v>
      </c>
      <c r="GN9" s="3">
        <f t="shared" si="57"/>
        <v>240</v>
      </c>
      <c r="GO9" s="3">
        <f t="shared" si="57"/>
        <v>250</v>
      </c>
      <c r="GP9" s="3">
        <f t="shared" si="57"/>
        <v>260</v>
      </c>
      <c r="GQ9" s="3">
        <f t="shared" si="57"/>
        <v>270</v>
      </c>
      <c r="GR9" s="3">
        <f t="shared" si="57"/>
        <v>280</v>
      </c>
      <c r="GS9" s="3">
        <f t="shared" si="57"/>
        <v>290</v>
      </c>
      <c r="GT9" s="3">
        <f t="shared" si="57"/>
        <v>300</v>
      </c>
      <c r="GU9" s="3">
        <f t="shared" si="57"/>
        <v>310</v>
      </c>
      <c r="GV9" s="3">
        <f t="shared" si="57"/>
        <v>320</v>
      </c>
      <c r="GW9" s="3">
        <f t="shared" si="57"/>
        <v>330</v>
      </c>
      <c r="GX9" s="3">
        <f t="shared" si="57"/>
        <v>340</v>
      </c>
      <c r="GY9" s="3">
        <f t="shared" si="57"/>
        <v>350</v>
      </c>
      <c r="GZ9" s="3">
        <f t="shared" si="57"/>
        <v>360</v>
      </c>
      <c r="HA9" s="3">
        <f t="shared" si="57"/>
        <v>370</v>
      </c>
      <c r="HB9" s="3">
        <f t="shared" si="57"/>
        <v>380</v>
      </c>
      <c r="HC9" s="3">
        <f t="shared" si="57"/>
        <v>390</v>
      </c>
      <c r="HD9" s="3">
        <f t="shared" si="57"/>
        <v>400</v>
      </c>
      <c r="HE9" s="3">
        <f t="shared" si="57"/>
        <v>410</v>
      </c>
      <c r="HF9" s="3">
        <f t="shared" si="57"/>
        <v>420</v>
      </c>
      <c r="HG9" s="3">
        <f t="shared" si="57"/>
        <v>430</v>
      </c>
      <c r="HH9" s="3">
        <f t="shared" si="57"/>
        <v>440</v>
      </c>
      <c r="HI9" s="3">
        <f t="shared" si="57"/>
        <v>450</v>
      </c>
      <c r="HJ9" s="3">
        <f t="shared" si="57"/>
        <v>460</v>
      </c>
      <c r="HK9" s="3">
        <f t="shared" si="57"/>
        <v>470</v>
      </c>
      <c r="HL9" s="3">
        <f t="shared" si="57"/>
        <v>480</v>
      </c>
      <c r="HM9" s="3">
        <f t="shared" si="57"/>
        <v>490</v>
      </c>
      <c r="HN9" s="3">
        <f t="shared" si="57"/>
        <v>500</v>
      </c>
      <c r="HO9" s="3">
        <f t="shared" si="57"/>
        <v>510</v>
      </c>
      <c r="HP9" s="3">
        <f t="shared" si="57"/>
        <v>520</v>
      </c>
      <c r="HQ9" s="3">
        <f t="shared" si="57"/>
        <v>530</v>
      </c>
      <c r="HR9" s="3">
        <f t="shared" si="57"/>
        <v>540</v>
      </c>
      <c r="HS9" s="3">
        <f t="shared" si="57"/>
        <v>550</v>
      </c>
      <c r="HT9" s="3">
        <f t="shared" si="57"/>
        <v>560</v>
      </c>
      <c r="HU9" s="3">
        <f t="shared" si="57"/>
        <v>570</v>
      </c>
      <c r="HV9" s="3">
        <f t="shared" si="57"/>
        <v>580</v>
      </c>
      <c r="HW9" s="3">
        <f t="shared" si="57"/>
        <v>590</v>
      </c>
      <c r="HX9" s="3">
        <f t="shared" si="57"/>
        <v>600</v>
      </c>
      <c r="HY9" s="3">
        <f t="shared" si="57"/>
        <v>610</v>
      </c>
      <c r="HZ9" s="3">
        <f t="shared" si="57"/>
        <v>620</v>
      </c>
      <c r="IA9" s="3">
        <f t="shared" si="57"/>
        <v>630</v>
      </c>
      <c r="IB9" s="3">
        <f t="shared" si="57"/>
        <v>640</v>
      </c>
      <c r="IC9" s="3">
        <f t="shared" si="57"/>
        <v>650</v>
      </c>
      <c r="ID9" s="3">
        <f t="shared" ref="ID9:IH9" si="58">IC9+10</f>
        <v>660</v>
      </c>
      <c r="IE9" s="3">
        <f t="shared" si="58"/>
        <v>670</v>
      </c>
      <c r="IF9" s="3">
        <f t="shared" si="58"/>
        <v>680</v>
      </c>
      <c r="IG9" s="3">
        <f t="shared" si="58"/>
        <v>690</v>
      </c>
      <c r="IH9" s="3">
        <f t="shared" si="58"/>
        <v>700</v>
      </c>
      <c r="II9" s="3">
        <v>10</v>
      </c>
      <c r="IJ9" s="16">
        <v>10</v>
      </c>
      <c r="IK9" s="16">
        <f>IJ9+10</f>
        <v>20</v>
      </c>
      <c r="IL9" s="16">
        <f>IK9+50</f>
        <v>70</v>
      </c>
      <c r="IM9" s="38">
        <f>IL9+40</f>
        <v>110</v>
      </c>
      <c r="IN9" s="38">
        <f>IM9+10</f>
        <v>120</v>
      </c>
      <c r="IO9" s="38">
        <f>IN9+80</f>
        <v>200</v>
      </c>
      <c r="IP9" s="16">
        <f>IO9+10</f>
        <v>210</v>
      </c>
      <c r="IQ9" s="16">
        <f>IP9+10</f>
        <v>220</v>
      </c>
      <c r="IR9" s="16">
        <f>IQ9+10</f>
        <v>230</v>
      </c>
      <c r="IS9" s="16">
        <f>IR9+10</f>
        <v>240</v>
      </c>
      <c r="IT9" s="16">
        <f>IS9+10</f>
        <v>250</v>
      </c>
      <c r="IU9" s="16">
        <f>IT9+490</f>
        <v>740</v>
      </c>
      <c r="IV9" s="16">
        <f>IU9+10</f>
        <v>750</v>
      </c>
      <c r="IW9" s="16">
        <f>IV9+10</f>
        <v>760</v>
      </c>
      <c r="IX9" s="16">
        <f>IW9+10</f>
        <v>770</v>
      </c>
      <c r="IY9" s="16">
        <f>IX9+20</f>
        <v>790</v>
      </c>
      <c r="IZ9" s="16">
        <f>IX9+30</f>
        <v>800</v>
      </c>
      <c r="JA9" s="16">
        <f>IZ9+20</f>
        <v>820</v>
      </c>
      <c r="JB9" s="16">
        <f>IZ9+30</f>
        <v>830</v>
      </c>
      <c r="JC9" s="16">
        <f>JB9+30</f>
        <v>860</v>
      </c>
      <c r="JD9" s="16">
        <f>JB9+40</f>
        <v>870</v>
      </c>
      <c r="JE9" s="16">
        <f>JD9+10</f>
        <v>880</v>
      </c>
      <c r="JF9" s="16">
        <f>JE9+10</f>
        <v>890</v>
      </c>
      <c r="JG9" s="16">
        <f>JF9+10</f>
        <v>900</v>
      </c>
      <c r="JH9" s="16">
        <f>JG9+10</f>
        <v>910</v>
      </c>
      <c r="JI9" s="16">
        <f>JH9+490</f>
        <v>1400</v>
      </c>
      <c r="JJ9" s="16">
        <f>JI9+10</f>
        <v>1410</v>
      </c>
      <c r="JK9" s="16">
        <f>JJ9+10</f>
        <v>1420</v>
      </c>
      <c r="JL9" s="16">
        <f>JK9+490</f>
        <v>1910</v>
      </c>
      <c r="JM9" s="16">
        <f>JL9+10</f>
        <v>1920</v>
      </c>
      <c r="JN9" s="16">
        <f>JM9+10</f>
        <v>1930</v>
      </c>
      <c r="JO9" s="16">
        <f>JN9+10</f>
        <v>1940</v>
      </c>
      <c r="JP9" s="16">
        <f>JO9+10</f>
        <v>1950</v>
      </c>
      <c r="JQ9" s="16">
        <f>JP9+490</f>
        <v>2440</v>
      </c>
      <c r="JR9" s="16">
        <f>JQ9+10</f>
        <v>2450</v>
      </c>
      <c r="JS9" s="16">
        <f>JR9+10</f>
        <v>2460</v>
      </c>
      <c r="JT9" s="16">
        <f>JS9+490</f>
        <v>2950</v>
      </c>
      <c r="JU9" s="16">
        <f>JT9+10</f>
        <v>2960</v>
      </c>
      <c r="JV9" s="16">
        <f>JU9+10</f>
        <v>2970</v>
      </c>
      <c r="JW9" s="16">
        <f>JV9+10</f>
        <v>2980</v>
      </c>
      <c r="JX9" s="16">
        <f>JW9+10</f>
        <v>2990</v>
      </c>
      <c r="JY9" s="16">
        <f>JX9+490</f>
        <v>3480</v>
      </c>
      <c r="JZ9" s="16">
        <f>JY9+10</f>
        <v>3490</v>
      </c>
      <c r="KA9" s="16">
        <f>JZ9+10</f>
        <v>3500</v>
      </c>
      <c r="KB9" s="16">
        <f>KA9+490</f>
        <v>3990</v>
      </c>
      <c r="KC9" s="16">
        <f>KB9+10</f>
        <v>4000</v>
      </c>
      <c r="KD9" s="16">
        <f>KC9+10</f>
        <v>4010</v>
      </c>
      <c r="KE9" s="16">
        <f>KD9+10</f>
        <v>4020</v>
      </c>
      <c r="KF9" s="16">
        <f>KE9+10</f>
        <v>4030</v>
      </c>
      <c r="KG9" s="16">
        <f>KF9+490</f>
        <v>4520</v>
      </c>
      <c r="KH9" s="16">
        <f>KG9+10</f>
        <v>4530</v>
      </c>
      <c r="KI9" s="16">
        <f>KH9+10</f>
        <v>4540</v>
      </c>
      <c r="KJ9" s="16">
        <f>KI9+490</f>
        <v>5030</v>
      </c>
      <c r="KK9" s="16">
        <f>KJ9+10</f>
        <v>5040</v>
      </c>
      <c r="KL9" s="16">
        <f>KK9+10</f>
        <v>5050</v>
      </c>
      <c r="KM9" s="16">
        <f>KL9+10</f>
        <v>5060</v>
      </c>
      <c r="KN9" s="16">
        <f>KM9+10</f>
        <v>5070</v>
      </c>
      <c r="KO9" s="16">
        <f>KN9+490</f>
        <v>5560</v>
      </c>
      <c r="KP9" s="16">
        <f>KO9+10</f>
        <v>5570</v>
      </c>
      <c r="KQ9" s="16">
        <f>KP9+10</f>
        <v>5580</v>
      </c>
      <c r="KR9" s="16">
        <f>KQ9+490</f>
        <v>6070</v>
      </c>
      <c r="KS9" s="16">
        <f>KR9+10</f>
        <v>6080</v>
      </c>
      <c r="KT9" s="16">
        <f>KS9+10</f>
        <v>6090</v>
      </c>
      <c r="KU9" s="16">
        <f>KT9+10</f>
        <v>6100</v>
      </c>
      <c r="KV9" s="16">
        <f>KU9+10</f>
        <v>6110</v>
      </c>
      <c r="KW9" s="16">
        <f>KV9+490</f>
        <v>6600</v>
      </c>
      <c r="KX9" s="16">
        <f>KW9+10</f>
        <v>6610</v>
      </c>
      <c r="KY9" s="16">
        <f>KX9+10</f>
        <v>6620</v>
      </c>
      <c r="KZ9" s="16">
        <f>KY9+490</f>
        <v>7110</v>
      </c>
      <c r="LA9" s="16">
        <f>KZ9+10</f>
        <v>7120</v>
      </c>
      <c r="LB9" s="16">
        <f>LA9+10</f>
        <v>7130</v>
      </c>
      <c r="LC9" s="16">
        <f>LB9+10</f>
        <v>7140</v>
      </c>
      <c r="LD9" s="16">
        <f>LC9+10</f>
        <v>7150</v>
      </c>
      <c r="LE9" s="16">
        <f>LD9+490</f>
        <v>7640</v>
      </c>
      <c r="LF9" s="16">
        <f>LE9+10</f>
        <v>7650</v>
      </c>
      <c r="LG9" s="16">
        <f>LF9+10</f>
        <v>7660</v>
      </c>
      <c r="LH9" s="16">
        <f>LG9+490</f>
        <v>8150</v>
      </c>
      <c r="LI9" s="16">
        <f>LH9+10</f>
        <v>8160</v>
      </c>
      <c r="LJ9" s="16">
        <f>LI9+10</f>
        <v>8170</v>
      </c>
      <c r="LK9" s="16">
        <f>LJ9+10</f>
        <v>8180</v>
      </c>
      <c r="LL9" s="16">
        <f>LK9+10</f>
        <v>8190</v>
      </c>
      <c r="LM9" s="16">
        <f>LL9+490</f>
        <v>8680</v>
      </c>
      <c r="LN9" s="16">
        <f>LM9+10</f>
        <v>8690</v>
      </c>
      <c r="LO9" s="16">
        <f>LN9+10</f>
        <v>8700</v>
      </c>
      <c r="LP9" s="16">
        <f>LO9+490</f>
        <v>9190</v>
      </c>
      <c r="LQ9" s="16">
        <f>LP9+10</f>
        <v>9200</v>
      </c>
      <c r="LR9" s="16">
        <f>LQ9+10</f>
        <v>9210</v>
      </c>
      <c r="LS9" s="16">
        <f>LR9+10</f>
        <v>9220</v>
      </c>
      <c r="LT9" s="16">
        <f>LS9+10</f>
        <v>9230</v>
      </c>
      <c r="LU9" s="16">
        <f>LT9+490</f>
        <v>9720</v>
      </c>
      <c r="LV9" s="16">
        <f>LU9+10</f>
        <v>9730</v>
      </c>
      <c r="LW9" s="16">
        <f>LV9+10</f>
        <v>9740</v>
      </c>
      <c r="LX9" s="16">
        <f>LW9+490</f>
        <v>10230</v>
      </c>
      <c r="LY9" s="16">
        <f>LX9+10</f>
        <v>10240</v>
      </c>
      <c r="LZ9" s="16">
        <f>LY9+10</f>
        <v>10250</v>
      </c>
      <c r="MA9" s="16">
        <f>LZ9+10</f>
        <v>10260</v>
      </c>
      <c r="MB9" s="16">
        <f>MA9+10</f>
        <v>10270</v>
      </c>
      <c r="MC9" s="3">
        <f>MB9+490</f>
        <v>10760</v>
      </c>
      <c r="MD9" s="3">
        <f>MC9+10</f>
        <v>10770</v>
      </c>
      <c r="ME9" s="3">
        <f>MD9+10</f>
        <v>10780</v>
      </c>
      <c r="MF9" s="3">
        <f>ME9+490</f>
        <v>11270</v>
      </c>
      <c r="MG9" s="3">
        <f>MF9+10</f>
        <v>11280</v>
      </c>
      <c r="MH9" s="3">
        <f>MG9+10</f>
        <v>11290</v>
      </c>
      <c r="MI9" s="3">
        <f>MH9+10</f>
        <v>11300</v>
      </c>
      <c r="MJ9" s="3">
        <f>MI9+10</f>
        <v>11310</v>
      </c>
      <c r="MK9" s="3">
        <f>MJ9+490</f>
        <v>11800</v>
      </c>
      <c r="ML9" s="3">
        <f>MK9+10</f>
        <v>11810</v>
      </c>
      <c r="MM9" s="3">
        <f t="shared" ref="MM9:MO9" si="59">ML9+10</f>
        <v>11820</v>
      </c>
      <c r="MN9" s="3">
        <f t="shared" si="59"/>
        <v>11830</v>
      </c>
      <c r="MO9" s="3">
        <f t="shared" si="59"/>
        <v>11840</v>
      </c>
    </row>
    <row r="10" spans="1:353" ht="23.25" customHeight="1" x14ac:dyDescent="0.25">
      <c r="A10" s="6" t="s">
        <v>1</v>
      </c>
      <c r="B10" s="3" t="s">
        <v>18</v>
      </c>
      <c r="C10" s="34">
        <v>10</v>
      </c>
      <c r="D10" s="34">
        <v>10</v>
      </c>
      <c r="E10" s="34">
        <v>10</v>
      </c>
      <c r="F10" s="34">
        <v>10</v>
      </c>
      <c r="G10" s="34">
        <v>10</v>
      </c>
      <c r="H10" s="34">
        <v>10</v>
      </c>
      <c r="I10" s="34">
        <v>10</v>
      </c>
      <c r="J10" s="34">
        <v>10</v>
      </c>
      <c r="K10" s="34">
        <v>10</v>
      </c>
      <c r="L10" s="34">
        <v>10</v>
      </c>
      <c r="M10" s="34">
        <v>10</v>
      </c>
      <c r="N10" s="34">
        <v>10</v>
      </c>
      <c r="O10" s="34">
        <v>10</v>
      </c>
      <c r="P10" s="34">
        <v>10</v>
      </c>
      <c r="Q10" s="34">
        <v>10</v>
      </c>
      <c r="R10" s="34">
        <v>10</v>
      </c>
      <c r="S10" s="34">
        <v>10</v>
      </c>
      <c r="T10" s="34">
        <v>10</v>
      </c>
      <c r="U10" s="34">
        <v>10</v>
      </c>
      <c r="V10" s="34">
        <v>10</v>
      </c>
      <c r="W10" s="34">
        <v>10</v>
      </c>
      <c r="X10" s="34">
        <v>10</v>
      </c>
      <c r="Y10" s="34">
        <v>10</v>
      </c>
      <c r="Z10" s="34">
        <v>10</v>
      </c>
      <c r="AA10" s="34">
        <v>10</v>
      </c>
      <c r="AB10" s="34">
        <v>10</v>
      </c>
      <c r="AC10" s="34">
        <v>10</v>
      </c>
      <c r="AD10" s="34">
        <v>10</v>
      </c>
      <c r="AE10" s="34">
        <v>10</v>
      </c>
      <c r="AF10" s="34">
        <v>10</v>
      </c>
      <c r="AG10" s="34">
        <v>10</v>
      </c>
      <c r="AH10" s="34">
        <v>10</v>
      </c>
      <c r="AI10" s="34">
        <v>10</v>
      </c>
      <c r="AJ10" s="34">
        <v>10</v>
      </c>
      <c r="AK10" s="34">
        <v>10</v>
      </c>
      <c r="AL10" s="34">
        <v>10</v>
      </c>
      <c r="AM10" s="34">
        <v>10</v>
      </c>
      <c r="AN10" s="34">
        <v>10</v>
      </c>
      <c r="AO10" s="34">
        <v>10</v>
      </c>
      <c r="AP10" s="34">
        <v>10</v>
      </c>
      <c r="AQ10" s="34">
        <v>10</v>
      </c>
      <c r="AR10" s="34">
        <v>10</v>
      </c>
      <c r="AS10" s="34">
        <v>10</v>
      </c>
      <c r="AT10" s="34">
        <v>10</v>
      </c>
      <c r="AU10" s="34">
        <v>10</v>
      </c>
      <c r="AV10" s="34">
        <v>10</v>
      </c>
      <c r="AW10" s="34">
        <v>10</v>
      </c>
      <c r="AX10" s="34">
        <v>10</v>
      </c>
      <c r="AY10" s="34">
        <v>10</v>
      </c>
      <c r="AZ10" s="34">
        <v>10</v>
      </c>
      <c r="BA10" s="34">
        <v>10</v>
      </c>
      <c r="BB10" s="34">
        <v>10</v>
      </c>
      <c r="BC10" s="34">
        <v>10</v>
      </c>
      <c r="BD10" s="34">
        <v>10</v>
      </c>
      <c r="BE10" s="34">
        <v>10</v>
      </c>
      <c r="BF10" s="34">
        <v>10</v>
      </c>
      <c r="BG10" s="34">
        <v>10</v>
      </c>
      <c r="BH10" s="34">
        <v>10</v>
      </c>
      <c r="BI10" s="34">
        <v>10</v>
      </c>
      <c r="BJ10" s="34">
        <v>10</v>
      </c>
      <c r="BK10" s="34">
        <v>10</v>
      </c>
      <c r="BL10" s="34">
        <v>10</v>
      </c>
      <c r="BM10" s="34">
        <v>10</v>
      </c>
      <c r="BN10" s="10">
        <v>10</v>
      </c>
      <c r="BO10" s="10">
        <v>10</v>
      </c>
      <c r="BP10" s="10">
        <v>10</v>
      </c>
      <c r="BQ10" s="10">
        <v>10</v>
      </c>
      <c r="BR10" s="10">
        <v>10</v>
      </c>
      <c r="BS10" s="10">
        <v>10</v>
      </c>
      <c r="BT10" s="10">
        <v>10</v>
      </c>
      <c r="BU10" s="10">
        <v>10</v>
      </c>
      <c r="BV10" s="10">
        <v>10</v>
      </c>
      <c r="BW10" s="35">
        <v>10</v>
      </c>
      <c r="BX10" s="10">
        <v>10</v>
      </c>
      <c r="BY10" s="10">
        <v>10</v>
      </c>
      <c r="BZ10" s="10">
        <v>10</v>
      </c>
      <c r="CA10" s="10">
        <v>10</v>
      </c>
      <c r="CB10" s="10">
        <v>10</v>
      </c>
      <c r="CC10" s="10">
        <v>10</v>
      </c>
      <c r="CD10" s="10">
        <v>10</v>
      </c>
      <c r="CE10" s="10">
        <v>10</v>
      </c>
      <c r="CF10" s="56">
        <v>10</v>
      </c>
      <c r="CG10" s="56">
        <v>10</v>
      </c>
      <c r="CH10" s="56">
        <v>10</v>
      </c>
      <c r="CI10" s="56">
        <v>10</v>
      </c>
      <c r="CJ10" s="56">
        <v>10</v>
      </c>
      <c r="CK10" s="56">
        <v>10</v>
      </c>
      <c r="CL10" s="56">
        <v>10</v>
      </c>
      <c r="CM10" s="56">
        <v>10</v>
      </c>
      <c r="CN10" s="56">
        <v>10</v>
      </c>
      <c r="CO10" s="56">
        <v>10</v>
      </c>
      <c r="CP10" s="56">
        <v>10</v>
      </c>
      <c r="CQ10" s="56">
        <v>10</v>
      </c>
      <c r="CR10" s="56">
        <v>10</v>
      </c>
      <c r="CS10" s="56">
        <v>10</v>
      </c>
      <c r="CT10" s="56">
        <v>10</v>
      </c>
      <c r="CU10" s="56">
        <v>10</v>
      </c>
      <c r="CV10" s="56">
        <v>10</v>
      </c>
      <c r="CW10" s="56">
        <v>10</v>
      </c>
      <c r="CX10" s="56">
        <v>10</v>
      </c>
      <c r="CY10" s="56">
        <v>10</v>
      </c>
      <c r="CZ10" s="56">
        <v>10</v>
      </c>
      <c r="DA10" s="56">
        <v>10</v>
      </c>
      <c r="DB10" s="56">
        <v>10</v>
      </c>
      <c r="DC10" s="56">
        <v>10</v>
      </c>
      <c r="DD10" s="56">
        <v>10</v>
      </c>
      <c r="DE10" s="56">
        <v>10</v>
      </c>
      <c r="DF10" s="56">
        <v>10</v>
      </c>
      <c r="DG10" s="56">
        <v>10</v>
      </c>
      <c r="DH10" s="56">
        <v>10</v>
      </c>
      <c r="DI10" s="56">
        <v>10</v>
      </c>
      <c r="DJ10" s="56">
        <v>10</v>
      </c>
      <c r="DK10" s="56">
        <v>10</v>
      </c>
      <c r="DL10" s="56">
        <v>10</v>
      </c>
      <c r="DM10" s="56">
        <v>10</v>
      </c>
      <c r="DN10" s="56">
        <v>10</v>
      </c>
      <c r="DO10" s="56">
        <v>10</v>
      </c>
      <c r="DP10" s="56">
        <v>10</v>
      </c>
      <c r="DQ10" s="56">
        <v>10</v>
      </c>
      <c r="DR10" s="56">
        <v>10</v>
      </c>
      <c r="DS10" s="56">
        <v>10</v>
      </c>
      <c r="DT10" s="56">
        <v>10</v>
      </c>
      <c r="DU10" s="56">
        <v>10</v>
      </c>
      <c r="DV10" s="56">
        <v>10</v>
      </c>
      <c r="DW10" s="56">
        <v>10</v>
      </c>
      <c r="DX10" s="56">
        <v>10</v>
      </c>
      <c r="DY10" s="56">
        <v>10</v>
      </c>
      <c r="DZ10" s="56">
        <v>10</v>
      </c>
      <c r="EA10" s="56">
        <v>10</v>
      </c>
      <c r="EB10" s="56">
        <v>10</v>
      </c>
      <c r="EC10" s="56">
        <v>10</v>
      </c>
      <c r="ED10" s="56">
        <v>10</v>
      </c>
      <c r="EE10" s="56">
        <v>10</v>
      </c>
      <c r="EF10" s="56">
        <v>10</v>
      </c>
      <c r="EG10" s="56">
        <v>10</v>
      </c>
      <c r="EH10" s="56">
        <v>10</v>
      </c>
      <c r="EI10" s="56">
        <v>10</v>
      </c>
      <c r="EJ10" s="56">
        <v>10</v>
      </c>
      <c r="EK10" s="56">
        <v>10</v>
      </c>
      <c r="EL10" s="56">
        <v>10</v>
      </c>
      <c r="EM10" s="56">
        <v>10</v>
      </c>
      <c r="EN10" s="56">
        <v>10</v>
      </c>
      <c r="EO10" s="56">
        <v>10</v>
      </c>
      <c r="EP10" s="56">
        <v>10</v>
      </c>
      <c r="EQ10" s="56">
        <v>10</v>
      </c>
      <c r="ER10" s="56">
        <v>10</v>
      </c>
      <c r="ES10" s="56">
        <v>10</v>
      </c>
      <c r="ET10" s="56">
        <v>10</v>
      </c>
      <c r="EU10" s="56">
        <v>10</v>
      </c>
      <c r="EV10" s="56">
        <v>10</v>
      </c>
      <c r="EW10" s="56">
        <v>10</v>
      </c>
      <c r="EX10" s="56">
        <v>10</v>
      </c>
      <c r="EY10" s="56">
        <v>10</v>
      </c>
      <c r="EZ10" s="56">
        <v>10</v>
      </c>
      <c r="FA10" s="56">
        <v>10</v>
      </c>
      <c r="FB10" s="56">
        <v>10</v>
      </c>
      <c r="FC10" s="56">
        <v>10</v>
      </c>
      <c r="FD10" s="56">
        <v>10</v>
      </c>
      <c r="FE10" s="56">
        <v>10</v>
      </c>
      <c r="FF10" s="56">
        <v>10</v>
      </c>
      <c r="FG10" s="56">
        <v>10</v>
      </c>
      <c r="FH10" s="56">
        <v>10</v>
      </c>
      <c r="FI10" s="56">
        <v>10</v>
      </c>
      <c r="FJ10" s="56">
        <v>10</v>
      </c>
      <c r="FK10" s="56">
        <v>10</v>
      </c>
      <c r="FL10" s="56">
        <v>10</v>
      </c>
      <c r="FM10" s="56">
        <v>10</v>
      </c>
      <c r="FN10" s="56">
        <v>10</v>
      </c>
      <c r="FO10" s="56">
        <v>10</v>
      </c>
      <c r="FP10" s="14">
        <v>10</v>
      </c>
      <c r="FQ10" s="3">
        <v>0</v>
      </c>
      <c r="FR10" s="3">
        <v>0</v>
      </c>
      <c r="FS10" s="3">
        <v>0</v>
      </c>
      <c r="FT10" s="3">
        <v>0</v>
      </c>
      <c r="FU10" s="16">
        <v>0</v>
      </c>
      <c r="FV10" s="16">
        <v>0</v>
      </c>
      <c r="FW10" s="16">
        <v>0</v>
      </c>
      <c r="FX10" s="16">
        <v>0</v>
      </c>
      <c r="FY10" s="16">
        <v>0</v>
      </c>
      <c r="FZ10" s="16">
        <v>0</v>
      </c>
      <c r="GA10" s="16">
        <v>0</v>
      </c>
      <c r="GB10" s="16">
        <v>0</v>
      </c>
      <c r="GC10" s="16">
        <v>0</v>
      </c>
      <c r="GD10" s="16">
        <v>0</v>
      </c>
      <c r="GE10" s="16">
        <v>0</v>
      </c>
      <c r="GF10" s="16">
        <v>0</v>
      </c>
      <c r="GG10" s="16">
        <v>0</v>
      </c>
      <c r="GH10" s="16">
        <v>0</v>
      </c>
      <c r="GI10" s="16">
        <v>0</v>
      </c>
      <c r="GJ10" s="16">
        <v>0</v>
      </c>
      <c r="GK10" s="16">
        <v>0</v>
      </c>
      <c r="GL10" s="16">
        <v>0</v>
      </c>
      <c r="GM10" s="16">
        <v>0</v>
      </c>
      <c r="GN10" s="16">
        <v>0</v>
      </c>
      <c r="GO10" s="16">
        <v>0</v>
      </c>
      <c r="GP10" s="16">
        <v>0</v>
      </c>
      <c r="GQ10" s="16">
        <v>0</v>
      </c>
      <c r="GR10" s="16">
        <v>0</v>
      </c>
      <c r="GS10" s="16">
        <v>0</v>
      </c>
      <c r="GT10" s="16">
        <v>0</v>
      </c>
      <c r="GU10" s="16">
        <v>0</v>
      </c>
      <c r="GV10" s="16">
        <v>0</v>
      </c>
      <c r="GW10" s="16">
        <v>0</v>
      </c>
      <c r="GX10" s="16">
        <v>0</v>
      </c>
      <c r="GY10" s="16">
        <v>0</v>
      </c>
      <c r="GZ10" s="16">
        <v>0</v>
      </c>
      <c r="HA10" s="16">
        <v>0</v>
      </c>
      <c r="HB10" s="16">
        <v>0</v>
      </c>
      <c r="HC10" s="16">
        <v>0</v>
      </c>
      <c r="HD10" s="16">
        <v>0</v>
      </c>
      <c r="HE10" s="16">
        <v>0</v>
      </c>
      <c r="HF10" s="16">
        <v>0</v>
      </c>
      <c r="HG10" s="16">
        <v>0</v>
      </c>
      <c r="HH10" s="16">
        <v>0</v>
      </c>
      <c r="HI10" s="16">
        <v>0</v>
      </c>
      <c r="HJ10" s="16">
        <v>0</v>
      </c>
      <c r="HK10" s="16">
        <v>0</v>
      </c>
      <c r="HL10" s="16">
        <v>0</v>
      </c>
      <c r="HM10" s="16">
        <v>0</v>
      </c>
      <c r="HN10" s="16">
        <v>0</v>
      </c>
      <c r="HO10" s="16">
        <v>0</v>
      </c>
      <c r="HP10" s="16">
        <v>0</v>
      </c>
      <c r="HQ10" s="16">
        <v>0</v>
      </c>
      <c r="HR10" s="16">
        <v>0</v>
      </c>
      <c r="HS10" s="16">
        <v>0</v>
      </c>
      <c r="HT10" s="16">
        <v>0</v>
      </c>
      <c r="HU10" s="16">
        <v>0</v>
      </c>
      <c r="HV10" s="16">
        <v>0</v>
      </c>
      <c r="HW10" s="16">
        <v>0</v>
      </c>
      <c r="HX10" s="16">
        <v>0</v>
      </c>
      <c r="HY10" s="16">
        <v>0</v>
      </c>
      <c r="HZ10" s="16">
        <v>0</v>
      </c>
      <c r="IA10" s="16">
        <v>0</v>
      </c>
      <c r="IB10" s="16">
        <v>0</v>
      </c>
      <c r="IC10" s="16">
        <v>0</v>
      </c>
      <c r="ID10" s="16">
        <v>0</v>
      </c>
      <c r="IE10" s="16">
        <v>0</v>
      </c>
      <c r="IF10" s="16">
        <v>0</v>
      </c>
      <c r="IG10" s="16">
        <v>0</v>
      </c>
      <c r="IH10" s="16">
        <v>0</v>
      </c>
      <c r="II10" s="3">
        <v>100</v>
      </c>
      <c r="IJ10" s="3">
        <v>100</v>
      </c>
      <c r="IK10" s="3">
        <v>100</v>
      </c>
      <c r="IL10" s="3">
        <v>100</v>
      </c>
      <c r="IM10" s="35">
        <v>100</v>
      </c>
      <c r="IN10" s="35">
        <v>100</v>
      </c>
      <c r="IO10" s="35">
        <v>100</v>
      </c>
      <c r="IP10" s="3">
        <v>100</v>
      </c>
      <c r="IQ10" s="3">
        <v>100</v>
      </c>
      <c r="IR10" s="3">
        <v>100</v>
      </c>
      <c r="IS10" s="3">
        <v>100</v>
      </c>
      <c r="IT10" s="3">
        <v>100</v>
      </c>
      <c r="IU10" s="3">
        <v>100</v>
      </c>
      <c r="IV10" s="3">
        <v>100</v>
      </c>
      <c r="IW10" s="3">
        <v>100</v>
      </c>
      <c r="IX10" s="3">
        <v>100</v>
      </c>
      <c r="IY10" s="3">
        <v>100</v>
      </c>
      <c r="IZ10" s="3">
        <v>100</v>
      </c>
      <c r="JA10" s="3">
        <v>100</v>
      </c>
      <c r="JB10" s="3">
        <v>100</v>
      </c>
      <c r="JC10" s="3">
        <v>100</v>
      </c>
      <c r="JD10" s="3">
        <v>100</v>
      </c>
      <c r="JE10" s="3">
        <v>100</v>
      </c>
      <c r="JF10" s="3">
        <v>100</v>
      </c>
      <c r="JG10" s="3">
        <v>100</v>
      </c>
      <c r="JH10" s="3">
        <v>100</v>
      </c>
      <c r="JI10" s="3">
        <v>100</v>
      </c>
      <c r="JJ10" s="3">
        <v>100</v>
      </c>
      <c r="JK10" s="3">
        <v>100</v>
      </c>
      <c r="JL10" s="3">
        <v>100</v>
      </c>
      <c r="JM10" s="3">
        <v>100</v>
      </c>
      <c r="JN10" s="3">
        <v>100</v>
      </c>
      <c r="JO10" s="3">
        <v>100</v>
      </c>
      <c r="JP10" s="3">
        <v>100</v>
      </c>
      <c r="JQ10" s="3">
        <v>100</v>
      </c>
      <c r="JR10" s="3">
        <v>100</v>
      </c>
      <c r="JS10" s="3">
        <v>100</v>
      </c>
      <c r="JT10" s="3">
        <v>100</v>
      </c>
      <c r="JU10" s="3">
        <v>100</v>
      </c>
      <c r="JV10" s="3">
        <v>100</v>
      </c>
      <c r="JW10" s="3">
        <v>100</v>
      </c>
      <c r="JX10" s="3">
        <v>100</v>
      </c>
      <c r="JY10" s="3">
        <v>100</v>
      </c>
      <c r="JZ10" s="3">
        <v>100</v>
      </c>
      <c r="KA10" s="3">
        <v>100</v>
      </c>
      <c r="KB10" s="3">
        <v>100</v>
      </c>
      <c r="KC10" s="3">
        <v>100</v>
      </c>
      <c r="KD10" s="3">
        <v>100</v>
      </c>
      <c r="KE10" s="3">
        <v>100</v>
      </c>
      <c r="KF10" s="3">
        <v>100</v>
      </c>
      <c r="KG10" s="3">
        <v>100</v>
      </c>
      <c r="KH10" s="3">
        <v>100</v>
      </c>
      <c r="KI10" s="3">
        <v>100</v>
      </c>
      <c r="KJ10" s="3">
        <v>100</v>
      </c>
      <c r="KK10" s="3">
        <v>100</v>
      </c>
      <c r="KL10" s="3">
        <v>100</v>
      </c>
      <c r="KM10" s="3">
        <v>100</v>
      </c>
      <c r="KN10" s="3">
        <v>100</v>
      </c>
      <c r="KO10" s="3">
        <v>100</v>
      </c>
      <c r="KP10" s="3">
        <v>100</v>
      </c>
      <c r="KQ10" s="3">
        <v>100</v>
      </c>
      <c r="KR10" s="3">
        <v>100</v>
      </c>
      <c r="KS10" s="3">
        <v>100</v>
      </c>
      <c r="KT10" s="3">
        <v>100</v>
      </c>
      <c r="KU10" s="3">
        <v>100</v>
      </c>
      <c r="KV10" s="3">
        <v>100</v>
      </c>
      <c r="KW10" s="3">
        <v>100</v>
      </c>
      <c r="KX10" s="3">
        <v>100</v>
      </c>
      <c r="KY10" s="3">
        <v>100</v>
      </c>
      <c r="KZ10" s="3">
        <v>100</v>
      </c>
      <c r="LA10" s="3">
        <v>100</v>
      </c>
      <c r="LB10" s="3">
        <v>100</v>
      </c>
      <c r="LC10" s="3">
        <v>100</v>
      </c>
      <c r="LD10" s="3">
        <v>100</v>
      </c>
      <c r="LE10" s="3">
        <v>100</v>
      </c>
      <c r="LF10" s="3">
        <v>100</v>
      </c>
      <c r="LG10" s="3">
        <v>100</v>
      </c>
      <c r="LH10" s="3">
        <v>100</v>
      </c>
      <c r="LI10" s="3">
        <v>100</v>
      </c>
      <c r="LJ10" s="3">
        <v>100</v>
      </c>
      <c r="LK10" s="3">
        <v>100</v>
      </c>
      <c r="LL10" s="3">
        <v>100</v>
      </c>
      <c r="LM10" s="3">
        <v>100</v>
      </c>
      <c r="LN10" s="3">
        <v>100</v>
      </c>
      <c r="LO10" s="3">
        <v>100</v>
      </c>
      <c r="LP10" s="3">
        <v>100</v>
      </c>
      <c r="LQ10" s="3">
        <v>100</v>
      </c>
      <c r="LR10" s="3">
        <v>100</v>
      </c>
      <c r="LS10" s="3">
        <v>100</v>
      </c>
      <c r="LT10" s="3">
        <v>100</v>
      </c>
      <c r="LU10" s="3">
        <v>100</v>
      </c>
      <c r="LV10" s="3">
        <v>100</v>
      </c>
      <c r="LW10" s="3">
        <v>100</v>
      </c>
      <c r="LX10" s="3">
        <v>100</v>
      </c>
      <c r="LY10" s="3">
        <v>100</v>
      </c>
      <c r="LZ10" s="3">
        <v>100</v>
      </c>
      <c r="MA10" s="3">
        <v>100</v>
      </c>
      <c r="MB10" s="3">
        <v>100</v>
      </c>
      <c r="MC10" s="3">
        <v>100</v>
      </c>
      <c r="MD10" s="3">
        <v>100</v>
      </c>
      <c r="ME10" s="3">
        <v>100</v>
      </c>
      <c r="MF10" s="3">
        <v>100</v>
      </c>
      <c r="MG10" s="3">
        <v>100</v>
      </c>
      <c r="MH10" s="3">
        <v>100</v>
      </c>
      <c r="MI10" s="3">
        <v>100</v>
      </c>
      <c r="MJ10" s="3">
        <v>100</v>
      </c>
      <c r="MK10" s="3">
        <v>100</v>
      </c>
      <c r="ML10" s="3">
        <v>100</v>
      </c>
      <c r="MM10" s="3"/>
      <c r="MN10" s="3"/>
    </row>
    <row r="11" spans="1:353" ht="23.25" customHeight="1" x14ac:dyDescent="0.25">
      <c r="A11" s="6" t="s">
        <v>1</v>
      </c>
      <c r="B11" s="3" t="s">
        <v>19</v>
      </c>
      <c r="C11" s="34">
        <v>30</v>
      </c>
      <c r="D11" s="34">
        <v>30</v>
      </c>
      <c r="E11" s="34">
        <v>30</v>
      </c>
      <c r="F11" s="34">
        <v>30</v>
      </c>
      <c r="G11" s="34">
        <v>30</v>
      </c>
      <c r="H11" s="34">
        <v>30</v>
      </c>
      <c r="I11" s="34">
        <v>30</v>
      </c>
      <c r="J11" s="34">
        <v>30</v>
      </c>
      <c r="K11" s="34">
        <v>30</v>
      </c>
      <c r="L11" s="34">
        <v>30</v>
      </c>
      <c r="M11" s="34">
        <v>30</v>
      </c>
      <c r="N11" s="34">
        <v>30</v>
      </c>
      <c r="O11" s="34">
        <v>30</v>
      </c>
      <c r="P11" s="34">
        <v>30</v>
      </c>
      <c r="Q11" s="34">
        <v>30</v>
      </c>
      <c r="R11" s="34">
        <v>30</v>
      </c>
      <c r="S11" s="34">
        <v>30</v>
      </c>
      <c r="T11" s="34">
        <v>30</v>
      </c>
      <c r="U11" s="34">
        <v>30</v>
      </c>
      <c r="V11" s="34">
        <v>30</v>
      </c>
      <c r="W11" s="34">
        <v>30</v>
      </c>
      <c r="X11" s="34">
        <v>30</v>
      </c>
      <c r="Y11" s="34">
        <v>30</v>
      </c>
      <c r="Z11" s="34">
        <v>30</v>
      </c>
      <c r="AA11" s="34">
        <v>30</v>
      </c>
      <c r="AB11" s="34">
        <v>30</v>
      </c>
      <c r="AC11" s="34">
        <v>30</v>
      </c>
      <c r="AD11" s="34">
        <v>30</v>
      </c>
      <c r="AE11" s="34">
        <v>30</v>
      </c>
      <c r="AF11" s="34">
        <v>30</v>
      </c>
      <c r="AG11" s="34">
        <v>30</v>
      </c>
      <c r="AH11" s="34">
        <v>30</v>
      </c>
      <c r="AI11" s="34">
        <v>30</v>
      </c>
      <c r="AJ11" s="34">
        <v>30</v>
      </c>
      <c r="AK11" s="34">
        <v>30</v>
      </c>
      <c r="AL11" s="34">
        <v>30</v>
      </c>
      <c r="AM11" s="34">
        <v>30</v>
      </c>
      <c r="AN11" s="34">
        <v>30</v>
      </c>
      <c r="AO11" s="34">
        <v>30</v>
      </c>
      <c r="AP11" s="34">
        <v>30</v>
      </c>
      <c r="AQ11" s="34">
        <v>30</v>
      </c>
      <c r="AR11" s="34">
        <v>30</v>
      </c>
      <c r="AS11" s="34">
        <v>30</v>
      </c>
      <c r="AT11" s="34">
        <v>30</v>
      </c>
      <c r="AU11" s="34">
        <v>30</v>
      </c>
      <c r="AV11" s="34">
        <v>30</v>
      </c>
      <c r="AW11" s="34">
        <v>30</v>
      </c>
      <c r="AX11" s="34">
        <v>30</v>
      </c>
      <c r="AY11" s="34">
        <v>30</v>
      </c>
      <c r="AZ11" s="34">
        <v>30</v>
      </c>
      <c r="BA11" s="34">
        <v>30</v>
      </c>
      <c r="BB11" s="34">
        <v>30</v>
      </c>
      <c r="BC11" s="34">
        <v>30</v>
      </c>
      <c r="BD11" s="34">
        <v>30</v>
      </c>
      <c r="BE11" s="34">
        <v>30</v>
      </c>
      <c r="BF11" s="34">
        <v>30</v>
      </c>
      <c r="BG11" s="34">
        <v>30</v>
      </c>
      <c r="BH11" s="34">
        <v>30</v>
      </c>
      <c r="BI11" s="34">
        <v>30</v>
      </c>
      <c r="BJ11" s="34">
        <v>30</v>
      </c>
      <c r="BK11" s="34">
        <v>30</v>
      </c>
      <c r="BL11" s="34">
        <v>30</v>
      </c>
      <c r="BM11" s="34">
        <v>30</v>
      </c>
      <c r="BN11" s="10">
        <v>30</v>
      </c>
      <c r="BO11" s="10">
        <v>30</v>
      </c>
      <c r="BP11" s="10">
        <v>30</v>
      </c>
      <c r="BQ11" s="10">
        <v>30</v>
      </c>
      <c r="BR11" s="10">
        <v>30</v>
      </c>
      <c r="BS11" s="10">
        <v>30</v>
      </c>
      <c r="BT11" s="10">
        <v>30</v>
      </c>
      <c r="BU11" s="10">
        <v>30</v>
      </c>
      <c r="BV11" s="10">
        <v>30</v>
      </c>
      <c r="BW11" s="35">
        <v>30</v>
      </c>
      <c r="BX11" s="10">
        <v>30</v>
      </c>
      <c r="BY11" s="10">
        <v>30</v>
      </c>
      <c r="BZ11" s="10">
        <v>30</v>
      </c>
      <c r="CA11" s="10">
        <v>30</v>
      </c>
      <c r="CB11" s="10">
        <v>30</v>
      </c>
      <c r="CC11" s="10">
        <v>30</v>
      </c>
      <c r="CD11" s="10">
        <v>30</v>
      </c>
      <c r="CE11" s="10">
        <v>30</v>
      </c>
      <c r="CF11" s="56">
        <v>30</v>
      </c>
      <c r="CG11" s="56">
        <v>30</v>
      </c>
      <c r="CH11" s="56">
        <v>30</v>
      </c>
      <c r="CI11" s="56">
        <v>30</v>
      </c>
      <c r="CJ11" s="56">
        <v>30</v>
      </c>
      <c r="CK11" s="56">
        <v>30</v>
      </c>
      <c r="CL11" s="56">
        <v>30</v>
      </c>
      <c r="CM11" s="56">
        <v>30</v>
      </c>
      <c r="CN11" s="56">
        <v>30</v>
      </c>
      <c r="CO11" s="56">
        <v>30</v>
      </c>
      <c r="CP11" s="56">
        <v>30</v>
      </c>
      <c r="CQ11" s="56">
        <v>30</v>
      </c>
      <c r="CR11" s="56">
        <v>30</v>
      </c>
      <c r="CS11" s="56">
        <v>30</v>
      </c>
      <c r="CT11" s="56">
        <v>30</v>
      </c>
      <c r="CU11" s="56">
        <v>30</v>
      </c>
      <c r="CV11" s="56">
        <v>30</v>
      </c>
      <c r="CW11" s="56">
        <v>30</v>
      </c>
      <c r="CX11" s="56">
        <v>30</v>
      </c>
      <c r="CY11" s="56">
        <v>30</v>
      </c>
      <c r="CZ11" s="56">
        <v>30</v>
      </c>
      <c r="DA11" s="56">
        <v>30</v>
      </c>
      <c r="DB11" s="56">
        <v>30</v>
      </c>
      <c r="DC11" s="56">
        <v>30</v>
      </c>
      <c r="DD11" s="56">
        <v>30</v>
      </c>
      <c r="DE11" s="56">
        <v>30</v>
      </c>
      <c r="DF11" s="56">
        <v>30</v>
      </c>
      <c r="DG11" s="56">
        <v>30</v>
      </c>
      <c r="DH11" s="56">
        <v>30</v>
      </c>
      <c r="DI11" s="56">
        <v>30</v>
      </c>
      <c r="DJ11" s="56">
        <v>30</v>
      </c>
      <c r="DK11" s="56">
        <v>30</v>
      </c>
      <c r="DL11" s="56">
        <v>30</v>
      </c>
      <c r="DM11" s="56">
        <v>30</v>
      </c>
      <c r="DN11" s="56">
        <v>30</v>
      </c>
      <c r="DO11" s="56">
        <v>30</v>
      </c>
      <c r="DP11" s="56">
        <v>30</v>
      </c>
      <c r="DQ11" s="56">
        <v>30</v>
      </c>
      <c r="DR11" s="56">
        <v>30</v>
      </c>
      <c r="DS11" s="56">
        <v>30</v>
      </c>
      <c r="DT11" s="56">
        <v>30</v>
      </c>
      <c r="DU11" s="56">
        <v>30</v>
      </c>
      <c r="DV11" s="56">
        <v>30</v>
      </c>
      <c r="DW11" s="56">
        <v>30</v>
      </c>
      <c r="DX11" s="56">
        <v>30</v>
      </c>
      <c r="DY11" s="56">
        <v>30</v>
      </c>
      <c r="DZ11" s="56">
        <v>30</v>
      </c>
      <c r="EA11" s="56">
        <v>30</v>
      </c>
      <c r="EB11" s="56">
        <v>30</v>
      </c>
      <c r="EC11" s="56">
        <v>30</v>
      </c>
      <c r="ED11" s="56">
        <v>30</v>
      </c>
      <c r="EE11" s="56">
        <v>30</v>
      </c>
      <c r="EF11" s="56">
        <v>30</v>
      </c>
      <c r="EG11" s="56">
        <v>30</v>
      </c>
      <c r="EH11" s="56">
        <v>30</v>
      </c>
      <c r="EI11" s="56">
        <v>30</v>
      </c>
      <c r="EJ11" s="56">
        <v>30</v>
      </c>
      <c r="EK11" s="56">
        <v>30</v>
      </c>
      <c r="EL11" s="56">
        <v>30</v>
      </c>
      <c r="EM11" s="56">
        <v>30</v>
      </c>
      <c r="EN11" s="56">
        <v>30</v>
      </c>
      <c r="EO11" s="56">
        <v>30</v>
      </c>
      <c r="EP11" s="56">
        <v>30</v>
      </c>
      <c r="EQ11" s="56">
        <v>30</v>
      </c>
      <c r="ER11" s="56">
        <v>30</v>
      </c>
      <c r="ES11" s="56">
        <v>30</v>
      </c>
      <c r="ET11" s="56">
        <v>30</v>
      </c>
      <c r="EU11" s="56">
        <v>30</v>
      </c>
      <c r="EV11" s="56">
        <v>30</v>
      </c>
      <c r="EW11" s="56">
        <v>30</v>
      </c>
      <c r="EX11" s="56">
        <v>30</v>
      </c>
      <c r="EY11" s="56">
        <v>30</v>
      </c>
      <c r="EZ11" s="56">
        <v>30</v>
      </c>
      <c r="FA11" s="56">
        <v>30</v>
      </c>
      <c r="FB11" s="56">
        <v>30</v>
      </c>
      <c r="FC11" s="56">
        <v>30</v>
      </c>
      <c r="FD11" s="56">
        <v>30</v>
      </c>
      <c r="FE11" s="56">
        <v>30</v>
      </c>
      <c r="FF11" s="56">
        <v>30</v>
      </c>
      <c r="FG11" s="56">
        <v>30</v>
      </c>
      <c r="FH11" s="56">
        <v>30</v>
      </c>
      <c r="FI11" s="56">
        <v>30</v>
      </c>
      <c r="FJ11" s="56">
        <v>30</v>
      </c>
      <c r="FK11" s="56">
        <v>30</v>
      </c>
      <c r="FL11" s="56">
        <v>30</v>
      </c>
      <c r="FM11" s="56">
        <v>30</v>
      </c>
      <c r="FN11" s="56">
        <v>30</v>
      </c>
      <c r="FO11" s="56">
        <v>30</v>
      </c>
      <c r="FP11" s="14">
        <v>30</v>
      </c>
      <c r="FQ11" s="3">
        <v>0</v>
      </c>
      <c r="FR11" s="3">
        <v>0</v>
      </c>
      <c r="FS11" s="3">
        <v>0</v>
      </c>
      <c r="FT11" s="3">
        <v>0</v>
      </c>
      <c r="FU11" s="16">
        <v>0</v>
      </c>
      <c r="FV11" s="16">
        <v>0</v>
      </c>
      <c r="FW11" s="16">
        <v>0</v>
      </c>
      <c r="FX11" s="16">
        <v>0</v>
      </c>
      <c r="FY11" s="16">
        <v>0</v>
      </c>
      <c r="FZ11" s="16">
        <v>0</v>
      </c>
      <c r="GA11" s="16">
        <v>0</v>
      </c>
      <c r="GB11" s="16">
        <v>0</v>
      </c>
      <c r="GC11" s="16">
        <v>0</v>
      </c>
      <c r="GD11" s="16">
        <v>0</v>
      </c>
      <c r="GE11" s="16">
        <v>0</v>
      </c>
      <c r="GF11" s="16">
        <v>0</v>
      </c>
      <c r="GG11" s="16">
        <v>0</v>
      </c>
      <c r="GH11" s="16">
        <v>0</v>
      </c>
      <c r="GI11" s="16">
        <v>0</v>
      </c>
      <c r="GJ11" s="16">
        <v>0</v>
      </c>
      <c r="GK11" s="16">
        <v>0</v>
      </c>
      <c r="GL11" s="16">
        <v>0</v>
      </c>
      <c r="GM11" s="16">
        <v>0</v>
      </c>
      <c r="GN11" s="16">
        <v>0</v>
      </c>
      <c r="GO11" s="16">
        <v>0</v>
      </c>
      <c r="GP11" s="16">
        <v>0</v>
      </c>
      <c r="GQ11" s="16">
        <v>0</v>
      </c>
      <c r="GR11" s="16">
        <v>0</v>
      </c>
      <c r="GS11" s="16">
        <v>0</v>
      </c>
      <c r="GT11" s="16">
        <v>0</v>
      </c>
      <c r="GU11" s="16">
        <v>0</v>
      </c>
      <c r="GV11" s="16">
        <v>0</v>
      </c>
      <c r="GW11" s="16">
        <v>0</v>
      </c>
      <c r="GX11" s="16">
        <v>0</v>
      </c>
      <c r="GY11" s="16">
        <v>0</v>
      </c>
      <c r="GZ11" s="16">
        <v>0</v>
      </c>
      <c r="HA11" s="16">
        <v>0</v>
      </c>
      <c r="HB11" s="16">
        <v>0</v>
      </c>
      <c r="HC11" s="16">
        <v>0</v>
      </c>
      <c r="HD11" s="16">
        <v>0</v>
      </c>
      <c r="HE11" s="16">
        <v>0</v>
      </c>
      <c r="HF11" s="16">
        <v>0</v>
      </c>
      <c r="HG11" s="16">
        <v>0</v>
      </c>
      <c r="HH11" s="16">
        <v>0</v>
      </c>
      <c r="HI11" s="16">
        <v>0</v>
      </c>
      <c r="HJ11" s="16">
        <v>0</v>
      </c>
      <c r="HK11" s="16">
        <v>0</v>
      </c>
      <c r="HL11" s="16">
        <v>0</v>
      </c>
      <c r="HM11" s="16">
        <v>0</v>
      </c>
      <c r="HN11" s="16">
        <v>0</v>
      </c>
      <c r="HO11" s="16">
        <v>0</v>
      </c>
      <c r="HP11" s="16">
        <v>0</v>
      </c>
      <c r="HQ11" s="16">
        <v>0</v>
      </c>
      <c r="HR11" s="16">
        <v>0</v>
      </c>
      <c r="HS11" s="16">
        <v>0</v>
      </c>
      <c r="HT11" s="16">
        <v>0</v>
      </c>
      <c r="HU11" s="16">
        <v>0</v>
      </c>
      <c r="HV11" s="16">
        <v>0</v>
      </c>
      <c r="HW11" s="16">
        <v>0</v>
      </c>
      <c r="HX11" s="16">
        <v>0</v>
      </c>
      <c r="HY11" s="16">
        <v>0</v>
      </c>
      <c r="HZ11" s="16">
        <v>0</v>
      </c>
      <c r="IA11" s="16">
        <v>0</v>
      </c>
      <c r="IB11" s="16">
        <v>0</v>
      </c>
      <c r="IC11" s="16">
        <v>0</v>
      </c>
      <c r="ID11" s="16">
        <v>0</v>
      </c>
      <c r="IE11" s="16">
        <v>0</v>
      </c>
      <c r="IF11" s="16">
        <v>0</v>
      </c>
      <c r="IG11" s="16">
        <v>0</v>
      </c>
      <c r="IH11" s="16">
        <v>0</v>
      </c>
      <c r="II11" s="3">
        <v>1000</v>
      </c>
      <c r="IJ11" s="3">
        <v>1000</v>
      </c>
      <c r="IK11" s="3">
        <v>1000</v>
      </c>
      <c r="IL11" s="3">
        <v>1000</v>
      </c>
      <c r="IM11" s="35">
        <v>1000</v>
      </c>
      <c r="IN11" s="35">
        <v>1000</v>
      </c>
      <c r="IO11" s="35">
        <v>1000</v>
      </c>
      <c r="IP11" s="3">
        <v>1000</v>
      </c>
      <c r="IQ11" s="3">
        <v>1000</v>
      </c>
      <c r="IR11" s="3">
        <v>1000</v>
      </c>
      <c r="IS11" s="3">
        <v>1000</v>
      </c>
      <c r="IT11" s="3">
        <v>1000</v>
      </c>
      <c r="IU11" s="3">
        <v>1000</v>
      </c>
      <c r="IV11" s="3">
        <v>1000</v>
      </c>
      <c r="IW11" s="3">
        <v>1000</v>
      </c>
      <c r="IX11" s="3">
        <v>1000</v>
      </c>
      <c r="IY11" s="3">
        <v>1000</v>
      </c>
      <c r="IZ11" s="3">
        <v>1000</v>
      </c>
      <c r="JA11" s="3">
        <v>1000</v>
      </c>
      <c r="JB11" s="3">
        <v>1000</v>
      </c>
      <c r="JC11" s="3">
        <v>1000</v>
      </c>
      <c r="JD11" s="3">
        <v>1000</v>
      </c>
      <c r="JE11" s="3">
        <v>1000</v>
      </c>
      <c r="JF11" s="3">
        <v>1000</v>
      </c>
      <c r="JG11" s="3">
        <v>1000</v>
      </c>
      <c r="JH11" s="3">
        <v>1000</v>
      </c>
      <c r="JI11" s="3">
        <v>1000</v>
      </c>
      <c r="JJ11" s="3">
        <v>1000</v>
      </c>
      <c r="JK11" s="3">
        <v>1000</v>
      </c>
      <c r="JL11" s="3">
        <v>1000</v>
      </c>
      <c r="JM11" s="3">
        <v>1000</v>
      </c>
      <c r="JN11" s="3">
        <v>1000</v>
      </c>
      <c r="JO11" s="3">
        <v>1000</v>
      </c>
      <c r="JP11" s="3">
        <v>1000</v>
      </c>
      <c r="JQ11" s="3">
        <v>1000</v>
      </c>
      <c r="JR11" s="3">
        <v>1000</v>
      </c>
      <c r="JS11" s="3">
        <v>1000</v>
      </c>
      <c r="JT11" s="3">
        <v>1000</v>
      </c>
      <c r="JU11" s="3">
        <v>1000</v>
      </c>
      <c r="JV11" s="3">
        <v>1000</v>
      </c>
      <c r="JW11" s="3">
        <v>1000</v>
      </c>
      <c r="JX11" s="3">
        <v>1000</v>
      </c>
      <c r="JY11" s="3">
        <v>1000</v>
      </c>
      <c r="JZ11" s="3">
        <v>1000</v>
      </c>
      <c r="KA11" s="3">
        <v>1000</v>
      </c>
      <c r="KB11" s="3">
        <v>1000</v>
      </c>
      <c r="KC11" s="3">
        <v>1000</v>
      </c>
      <c r="KD11" s="3">
        <v>1000</v>
      </c>
      <c r="KE11" s="3">
        <v>1000</v>
      </c>
      <c r="KF11" s="3">
        <v>1000</v>
      </c>
      <c r="KG11" s="3">
        <v>1000</v>
      </c>
      <c r="KH11" s="3">
        <v>1000</v>
      </c>
      <c r="KI11" s="3">
        <v>1000</v>
      </c>
      <c r="KJ11" s="3">
        <v>1000</v>
      </c>
      <c r="KK11" s="3">
        <v>1000</v>
      </c>
      <c r="KL11" s="3">
        <v>1000</v>
      </c>
      <c r="KM11" s="3">
        <v>1000</v>
      </c>
      <c r="KN11" s="3">
        <v>1000</v>
      </c>
      <c r="KO11" s="3">
        <v>1000</v>
      </c>
      <c r="KP11" s="3">
        <v>1000</v>
      </c>
      <c r="KQ11" s="3">
        <v>1000</v>
      </c>
      <c r="KR11" s="3">
        <v>1000</v>
      </c>
      <c r="KS11" s="3">
        <v>1000</v>
      </c>
      <c r="KT11" s="3">
        <v>1000</v>
      </c>
      <c r="KU11" s="3">
        <v>1000</v>
      </c>
      <c r="KV11" s="3">
        <v>1000</v>
      </c>
      <c r="KW11" s="3">
        <v>1000</v>
      </c>
      <c r="KX11" s="3">
        <v>1000</v>
      </c>
      <c r="KY11" s="3">
        <v>1000</v>
      </c>
      <c r="KZ11" s="3">
        <v>1000</v>
      </c>
      <c r="LA11" s="3">
        <v>1000</v>
      </c>
      <c r="LB11" s="3">
        <v>1000</v>
      </c>
      <c r="LC11" s="3">
        <v>1000</v>
      </c>
      <c r="LD11" s="3">
        <v>1000</v>
      </c>
      <c r="LE11" s="3">
        <v>1000</v>
      </c>
      <c r="LF11" s="3">
        <v>1000</v>
      </c>
      <c r="LG11" s="3">
        <v>1000</v>
      </c>
      <c r="LH11" s="3">
        <v>1000</v>
      </c>
      <c r="LI11" s="3">
        <v>1000</v>
      </c>
      <c r="LJ11" s="3">
        <v>1000</v>
      </c>
      <c r="LK11" s="3">
        <v>1000</v>
      </c>
      <c r="LL11" s="3">
        <v>1000</v>
      </c>
      <c r="LM11" s="3">
        <v>1000</v>
      </c>
      <c r="LN11" s="3">
        <v>1000</v>
      </c>
      <c r="LO11" s="3">
        <v>1000</v>
      </c>
      <c r="LP11" s="3">
        <v>1000</v>
      </c>
      <c r="LQ11" s="3">
        <v>1000</v>
      </c>
      <c r="LR11" s="3">
        <v>1000</v>
      </c>
      <c r="LS11" s="3">
        <v>1000</v>
      </c>
      <c r="LT11" s="3">
        <v>1000</v>
      </c>
      <c r="LU11" s="3">
        <v>1000</v>
      </c>
      <c r="LV11" s="3">
        <v>1000</v>
      </c>
      <c r="LW11" s="3">
        <v>1000</v>
      </c>
      <c r="LX11" s="3">
        <v>1000</v>
      </c>
      <c r="LY11" s="3">
        <v>1000</v>
      </c>
      <c r="LZ11" s="3">
        <v>1000</v>
      </c>
      <c r="MA11" s="3">
        <v>1000</v>
      </c>
      <c r="MB11" s="3">
        <v>1000</v>
      </c>
      <c r="MC11" s="3">
        <v>1000</v>
      </c>
      <c r="MD11" s="3">
        <v>1000</v>
      </c>
      <c r="ME11" s="3">
        <v>1000</v>
      </c>
      <c r="MF11" s="3">
        <v>1000</v>
      </c>
      <c r="MG11" s="3">
        <v>1000</v>
      </c>
      <c r="MH11" s="3">
        <v>1000</v>
      </c>
      <c r="MI11" s="3">
        <v>1000</v>
      </c>
      <c r="MJ11" s="3">
        <v>1000</v>
      </c>
      <c r="MK11" s="3">
        <v>1000</v>
      </c>
      <c r="ML11" s="3">
        <v>1000</v>
      </c>
      <c r="MM11" s="3"/>
      <c r="MN11" s="3"/>
    </row>
    <row r="12" spans="1:353" ht="23.25" customHeight="1" x14ac:dyDescent="0.25">
      <c r="A12" s="6" t="s">
        <v>1</v>
      </c>
      <c r="B12" s="3" t="s">
        <v>20</v>
      </c>
      <c r="C12" s="14">
        <v>-30</v>
      </c>
      <c r="D12" s="14">
        <v>-30</v>
      </c>
      <c r="E12" s="14">
        <v>-30</v>
      </c>
      <c r="F12" s="14">
        <v>-30</v>
      </c>
      <c r="G12" s="14">
        <v>-30</v>
      </c>
      <c r="H12" s="14">
        <v>-30</v>
      </c>
      <c r="I12" s="14">
        <v>-30</v>
      </c>
      <c r="J12" s="14">
        <v>-30</v>
      </c>
      <c r="K12" s="14">
        <v>-30</v>
      </c>
      <c r="L12" s="14">
        <v>-30</v>
      </c>
      <c r="M12" s="14">
        <v>-30</v>
      </c>
      <c r="N12" s="14">
        <v>-30</v>
      </c>
      <c r="O12" s="14">
        <v>-30</v>
      </c>
      <c r="P12" s="14">
        <v>-30</v>
      </c>
      <c r="Q12" s="14">
        <v>-30</v>
      </c>
      <c r="R12" s="14">
        <v>-30</v>
      </c>
      <c r="S12" s="14">
        <v>-30</v>
      </c>
      <c r="T12" s="14">
        <v>-30</v>
      </c>
      <c r="U12" s="14">
        <v>-30</v>
      </c>
      <c r="V12" s="14">
        <v>-30</v>
      </c>
      <c r="W12" s="14">
        <v>-30</v>
      </c>
      <c r="X12" s="14">
        <v>-30</v>
      </c>
      <c r="Y12" s="14">
        <v>-30</v>
      </c>
      <c r="Z12" s="14">
        <v>-30</v>
      </c>
      <c r="AA12" s="14">
        <v>-30</v>
      </c>
      <c r="AB12" s="14">
        <v>-30</v>
      </c>
      <c r="AC12" s="14">
        <v>-30</v>
      </c>
      <c r="AD12" s="14">
        <v>-30</v>
      </c>
      <c r="AE12" s="14">
        <v>-30</v>
      </c>
      <c r="AF12" s="14">
        <v>-30</v>
      </c>
      <c r="AG12" s="14">
        <v>-30</v>
      </c>
      <c r="AH12" s="14">
        <v>-30</v>
      </c>
      <c r="AI12" s="14">
        <v>-30</v>
      </c>
      <c r="AJ12" s="14">
        <v>-30</v>
      </c>
      <c r="AK12" s="14">
        <v>-30</v>
      </c>
      <c r="AL12" s="14">
        <v>-30</v>
      </c>
      <c r="AM12" s="14">
        <v>-30</v>
      </c>
      <c r="AN12" s="14">
        <v>-30</v>
      </c>
      <c r="AO12" s="14">
        <v>-30</v>
      </c>
      <c r="AP12" s="14">
        <v>-30</v>
      </c>
      <c r="AQ12" s="14">
        <v>-30</v>
      </c>
      <c r="AR12" s="14">
        <v>-30</v>
      </c>
      <c r="AS12" s="14">
        <v>-30</v>
      </c>
      <c r="AT12" s="14">
        <v>-30</v>
      </c>
      <c r="AU12" s="14">
        <v>-30</v>
      </c>
      <c r="AV12" s="14">
        <v>-30</v>
      </c>
      <c r="AW12" s="14">
        <v>-30</v>
      </c>
      <c r="AX12" s="14">
        <v>-30</v>
      </c>
      <c r="AY12" s="14">
        <v>-30</v>
      </c>
      <c r="AZ12" s="14">
        <v>-30</v>
      </c>
      <c r="BA12" s="14">
        <v>-30</v>
      </c>
      <c r="BB12" s="14">
        <v>-30</v>
      </c>
      <c r="BC12" s="14">
        <v>-30</v>
      </c>
      <c r="BD12" s="14">
        <v>-30</v>
      </c>
      <c r="BE12" s="14">
        <v>-30</v>
      </c>
      <c r="BF12" s="14">
        <v>-30</v>
      </c>
      <c r="BG12" s="14">
        <v>-30</v>
      </c>
      <c r="BH12" s="14">
        <v>-30</v>
      </c>
      <c r="BI12" s="14">
        <v>-30</v>
      </c>
      <c r="BJ12" s="14">
        <v>-30</v>
      </c>
      <c r="BK12" s="14">
        <v>-30</v>
      </c>
      <c r="BL12" s="14">
        <v>-30</v>
      </c>
      <c r="BM12" s="14">
        <v>-30</v>
      </c>
      <c r="BN12" s="14">
        <v>-30</v>
      </c>
      <c r="BO12" s="14">
        <v>-30</v>
      </c>
      <c r="BP12" s="14">
        <v>-30</v>
      </c>
      <c r="BQ12" s="14">
        <v>-30</v>
      </c>
      <c r="BR12" s="14">
        <v>-30</v>
      </c>
      <c r="BS12" s="14">
        <v>-30</v>
      </c>
      <c r="BT12" s="14">
        <v>-30</v>
      </c>
      <c r="BU12" s="14">
        <v>-30</v>
      </c>
      <c r="BV12" s="14">
        <v>-30</v>
      </c>
      <c r="BW12" s="37">
        <v>-30</v>
      </c>
      <c r="BX12" s="14">
        <v>-30</v>
      </c>
      <c r="BY12" s="14">
        <v>-30</v>
      </c>
      <c r="BZ12" s="14">
        <v>-30</v>
      </c>
      <c r="CA12" s="14">
        <v>-30</v>
      </c>
      <c r="CB12" s="14">
        <v>-30</v>
      </c>
      <c r="CC12" s="14">
        <v>-30</v>
      </c>
      <c r="CD12" s="14">
        <v>-30</v>
      </c>
      <c r="CE12" s="14">
        <v>-30</v>
      </c>
      <c r="CF12" s="51">
        <v>-30</v>
      </c>
      <c r="CG12" s="51">
        <v>-30</v>
      </c>
      <c r="CH12" s="51">
        <v>-30</v>
      </c>
      <c r="CI12" s="51">
        <v>-30</v>
      </c>
      <c r="CJ12" s="51">
        <v>-30</v>
      </c>
      <c r="CK12" s="51">
        <v>-30</v>
      </c>
      <c r="CL12" s="51">
        <v>-30</v>
      </c>
      <c r="CM12" s="51">
        <v>-30</v>
      </c>
      <c r="CN12" s="51">
        <v>-30</v>
      </c>
      <c r="CO12" s="51">
        <v>-30</v>
      </c>
      <c r="CP12" s="51">
        <v>-30</v>
      </c>
      <c r="CQ12" s="51">
        <v>-30</v>
      </c>
      <c r="CR12" s="51">
        <v>-30</v>
      </c>
      <c r="CS12" s="51">
        <v>-30</v>
      </c>
      <c r="CT12" s="51">
        <v>-30</v>
      </c>
      <c r="CU12" s="51">
        <v>-30</v>
      </c>
      <c r="CV12" s="51">
        <v>-30</v>
      </c>
      <c r="CW12" s="51">
        <v>-30</v>
      </c>
      <c r="CX12" s="51">
        <v>-30</v>
      </c>
      <c r="CY12" s="51">
        <v>-30</v>
      </c>
      <c r="CZ12" s="51">
        <v>-30</v>
      </c>
      <c r="DA12" s="51">
        <v>-30</v>
      </c>
      <c r="DB12" s="51">
        <v>-30</v>
      </c>
      <c r="DC12" s="51">
        <v>-30</v>
      </c>
      <c r="DD12" s="51">
        <v>-30</v>
      </c>
      <c r="DE12" s="51">
        <v>-30</v>
      </c>
      <c r="DF12" s="51">
        <v>-30</v>
      </c>
      <c r="DG12" s="51">
        <v>-30</v>
      </c>
      <c r="DH12" s="51">
        <v>-30</v>
      </c>
      <c r="DI12" s="51">
        <v>-30</v>
      </c>
      <c r="DJ12" s="51">
        <v>-30</v>
      </c>
      <c r="DK12" s="51">
        <v>-30</v>
      </c>
      <c r="DL12" s="51">
        <v>-30</v>
      </c>
      <c r="DM12" s="51">
        <v>-30</v>
      </c>
      <c r="DN12" s="51">
        <v>-30</v>
      </c>
      <c r="DO12" s="51">
        <v>-30</v>
      </c>
      <c r="DP12" s="51">
        <v>-30</v>
      </c>
      <c r="DQ12" s="51">
        <v>-30</v>
      </c>
      <c r="DR12" s="51">
        <v>-30</v>
      </c>
      <c r="DS12" s="51">
        <v>-30</v>
      </c>
      <c r="DT12" s="51">
        <v>-30</v>
      </c>
      <c r="DU12" s="51">
        <v>-30</v>
      </c>
      <c r="DV12" s="51">
        <v>-30</v>
      </c>
      <c r="DW12" s="51">
        <v>-30</v>
      </c>
      <c r="DX12" s="51">
        <v>-30</v>
      </c>
      <c r="DY12" s="51">
        <v>-30</v>
      </c>
      <c r="DZ12" s="51">
        <v>-30</v>
      </c>
      <c r="EA12" s="51">
        <v>-30</v>
      </c>
      <c r="EB12" s="51">
        <v>-30</v>
      </c>
      <c r="EC12" s="51">
        <v>-30</v>
      </c>
      <c r="ED12" s="51">
        <v>-30</v>
      </c>
      <c r="EE12" s="51">
        <v>-30</v>
      </c>
      <c r="EF12" s="51">
        <v>-30</v>
      </c>
      <c r="EG12" s="51">
        <v>-30</v>
      </c>
      <c r="EH12" s="51">
        <v>-30</v>
      </c>
      <c r="EI12" s="51">
        <v>-30</v>
      </c>
      <c r="EJ12" s="51">
        <v>-30</v>
      </c>
      <c r="EK12" s="51">
        <v>-30</v>
      </c>
      <c r="EL12" s="51">
        <v>-30</v>
      </c>
      <c r="EM12" s="51">
        <v>-30</v>
      </c>
      <c r="EN12" s="51">
        <v>-30</v>
      </c>
      <c r="EO12" s="51">
        <v>-30</v>
      </c>
      <c r="EP12" s="51">
        <v>-30</v>
      </c>
      <c r="EQ12" s="51">
        <v>-30</v>
      </c>
      <c r="ER12" s="51">
        <v>-30</v>
      </c>
      <c r="ES12" s="51">
        <v>-30</v>
      </c>
      <c r="ET12" s="51">
        <v>-30</v>
      </c>
      <c r="EU12" s="51">
        <v>-30</v>
      </c>
      <c r="EV12" s="51">
        <v>-30</v>
      </c>
      <c r="EW12" s="51">
        <v>-30</v>
      </c>
      <c r="EX12" s="51">
        <v>-30</v>
      </c>
      <c r="EY12" s="51">
        <v>-30</v>
      </c>
      <c r="EZ12" s="51">
        <v>-30</v>
      </c>
      <c r="FA12" s="51">
        <v>-30</v>
      </c>
      <c r="FB12" s="51">
        <v>-30</v>
      </c>
      <c r="FC12" s="51">
        <v>-30</v>
      </c>
      <c r="FD12" s="51">
        <v>-30</v>
      </c>
      <c r="FE12" s="51">
        <v>-30</v>
      </c>
      <c r="FF12" s="51">
        <v>-30</v>
      </c>
      <c r="FG12" s="51">
        <v>-30</v>
      </c>
      <c r="FH12" s="51">
        <v>-30</v>
      </c>
      <c r="FI12" s="51">
        <v>-30</v>
      </c>
      <c r="FJ12" s="51">
        <v>-30</v>
      </c>
      <c r="FK12" s="51">
        <v>-30</v>
      </c>
      <c r="FL12" s="51">
        <v>-30</v>
      </c>
      <c r="FM12" s="51">
        <v>-30</v>
      </c>
      <c r="FN12" s="51">
        <v>-30</v>
      </c>
      <c r="FO12" s="51">
        <v>-30</v>
      </c>
      <c r="FP12" s="14">
        <v>-30</v>
      </c>
      <c r="FQ12" s="16">
        <v>-500</v>
      </c>
      <c r="FR12" s="16">
        <v>-500</v>
      </c>
      <c r="FS12" s="16">
        <v>-500</v>
      </c>
      <c r="FT12" s="16">
        <v>-500</v>
      </c>
      <c r="FU12" s="16">
        <v>-500</v>
      </c>
      <c r="FV12" s="16">
        <v>-500</v>
      </c>
      <c r="FW12" s="16">
        <v>-500</v>
      </c>
      <c r="FX12" s="16">
        <v>-500</v>
      </c>
      <c r="FY12" s="16">
        <v>-500</v>
      </c>
      <c r="FZ12" s="16">
        <v>-500</v>
      </c>
      <c r="GA12" s="16">
        <v>-500</v>
      </c>
      <c r="GB12" s="16">
        <v>-500</v>
      </c>
      <c r="GC12" s="16">
        <v>-500</v>
      </c>
      <c r="GD12" s="16">
        <v>-500</v>
      </c>
      <c r="GE12" s="16">
        <v>-500</v>
      </c>
      <c r="GF12" s="16">
        <v>-500</v>
      </c>
      <c r="GG12" s="16">
        <v>-500</v>
      </c>
      <c r="GH12" s="16">
        <v>-500</v>
      </c>
      <c r="GI12" s="16">
        <v>-500</v>
      </c>
      <c r="GJ12" s="16">
        <v>-500</v>
      </c>
      <c r="GK12" s="16">
        <v>-500</v>
      </c>
      <c r="GL12" s="16">
        <v>-500</v>
      </c>
      <c r="GM12" s="16">
        <v>-500</v>
      </c>
      <c r="GN12" s="16">
        <v>-500</v>
      </c>
      <c r="GO12" s="16">
        <v>-500</v>
      </c>
      <c r="GP12" s="16">
        <v>-500</v>
      </c>
      <c r="GQ12" s="16">
        <v>-500</v>
      </c>
      <c r="GR12" s="16">
        <v>-500</v>
      </c>
      <c r="GS12" s="16">
        <v>-500</v>
      </c>
      <c r="GT12" s="16">
        <v>-500</v>
      </c>
      <c r="GU12" s="16">
        <v>-500</v>
      </c>
      <c r="GV12" s="16">
        <v>-500</v>
      </c>
      <c r="GW12" s="16">
        <v>-500</v>
      </c>
      <c r="GX12" s="16">
        <v>-500</v>
      </c>
      <c r="GY12" s="16">
        <v>-500</v>
      </c>
      <c r="GZ12" s="16">
        <v>-500</v>
      </c>
      <c r="HA12" s="16">
        <v>-500</v>
      </c>
      <c r="HB12" s="16">
        <v>-500</v>
      </c>
      <c r="HC12" s="16">
        <v>-500</v>
      </c>
      <c r="HD12" s="16">
        <v>-500</v>
      </c>
      <c r="HE12" s="16">
        <v>-500</v>
      </c>
      <c r="HF12" s="16">
        <v>-500</v>
      </c>
      <c r="HG12" s="16">
        <v>-500</v>
      </c>
      <c r="HH12" s="16">
        <v>-500</v>
      </c>
      <c r="HI12" s="16">
        <v>-500</v>
      </c>
      <c r="HJ12" s="16">
        <v>-500</v>
      </c>
      <c r="HK12" s="16">
        <v>-500</v>
      </c>
      <c r="HL12" s="16">
        <v>-500</v>
      </c>
      <c r="HM12" s="16">
        <v>-500</v>
      </c>
      <c r="HN12" s="16">
        <v>-500</v>
      </c>
      <c r="HO12" s="16">
        <v>-500</v>
      </c>
      <c r="HP12" s="16">
        <v>-500</v>
      </c>
      <c r="HQ12" s="16">
        <v>-500</v>
      </c>
      <c r="HR12" s="16">
        <v>-500</v>
      </c>
      <c r="HS12" s="16">
        <v>-500</v>
      </c>
      <c r="HT12" s="16">
        <v>-500</v>
      </c>
      <c r="HU12" s="16">
        <v>-500</v>
      </c>
      <c r="HV12" s="16">
        <v>-500</v>
      </c>
      <c r="HW12" s="16">
        <v>-500</v>
      </c>
      <c r="HX12" s="16">
        <v>-500</v>
      </c>
      <c r="HY12" s="16">
        <v>-500</v>
      </c>
      <c r="HZ12" s="16">
        <v>-500</v>
      </c>
      <c r="IA12" s="16">
        <v>-500</v>
      </c>
      <c r="IB12" s="16">
        <v>-500</v>
      </c>
      <c r="IC12" s="16">
        <v>-500</v>
      </c>
      <c r="ID12" s="16">
        <v>-500</v>
      </c>
      <c r="IE12" s="16">
        <v>-500</v>
      </c>
      <c r="IF12" s="16">
        <v>-500</v>
      </c>
      <c r="IG12" s="16">
        <v>-500</v>
      </c>
      <c r="IH12" s="16">
        <v>-500</v>
      </c>
      <c r="II12" s="16">
        <v>500</v>
      </c>
      <c r="IJ12" s="16">
        <v>500</v>
      </c>
      <c r="IK12" s="16">
        <v>500</v>
      </c>
      <c r="IL12" s="16">
        <v>500</v>
      </c>
      <c r="IM12" s="38">
        <v>500</v>
      </c>
      <c r="IN12" s="38">
        <v>500</v>
      </c>
      <c r="IO12" s="38">
        <v>500</v>
      </c>
      <c r="IP12" s="16">
        <v>500</v>
      </c>
      <c r="IQ12" s="16">
        <v>500</v>
      </c>
      <c r="IR12" s="16">
        <v>500</v>
      </c>
      <c r="IS12" s="16">
        <v>500</v>
      </c>
      <c r="IT12" s="16">
        <v>500</v>
      </c>
      <c r="IU12" s="16">
        <v>500</v>
      </c>
      <c r="IV12" s="16">
        <v>500</v>
      </c>
      <c r="IW12" s="16">
        <v>500</v>
      </c>
      <c r="IX12" s="16">
        <v>500</v>
      </c>
      <c r="IY12" s="16">
        <v>500</v>
      </c>
      <c r="IZ12" s="16">
        <v>500</v>
      </c>
      <c r="JA12" s="16">
        <v>500</v>
      </c>
      <c r="JB12" s="16">
        <v>500</v>
      </c>
      <c r="JC12" s="16">
        <v>500</v>
      </c>
      <c r="JD12" s="16">
        <v>500</v>
      </c>
      <c r="JE12" s="16">
        <v>500</v>
      </c>
      <c r="JF12" s="16">
        <v>500</v>
      </c>
      <c r="JG12" s="16">
        <v>500</v>
      </c>
      <c r="JH12" s="16">
        <v>500</v>
      </c>
      <c r="JI12" s="16">
        <v>500</v>
      </c>
      <c r="JJ12" s="16">
        <v>500</v>
      </c>
      <c r="JK12" s="16">
        <v>500</v>
      </c>
      <c r="JL12" s="16">
        <v>500</v>
      </c>
      <c r="JM12" s="16">
        <v>500</v>
      </c>
      <c r="JN12" s="16">
        <v>500</v>
      </c>
      <c r="JO12" s="16">
        <v>500</v>
      </c>
      <c r="JP12" s="16">
        <v>500</v>
      </c>
      <c r="JQ12" s="16">
        <v>500</v>
      </c>
      <c r="JR12" s="16">
        <v>500</v>
      </c>
      <c r="JS12" s="16">
        <v>500</v>
      </c>
      <c r="JT12" s="16">
        <v>500</v>
      </c>
      <c r="JU12" s="16">
        <v>500</v>
      </c>
      <c r="JV12" s="16">
        <v>500</v>
      </c>
      <c r="JW12" s="16">
        <v>500</v>
      </c>
      <c r="JX12" s="16">
        <v>500</v>
      </c>
      <c r="JY12" s="16">
        <v>500</v>
      </c>
      <c r="JZ12" s="16">
        <v>500</v>
      </c>
      <c r="KA12" s="16">
        <v>500</v>
      </c>
      <c r="KB12" s="16">
        <v>500</v>
      </c>
      <c r="KC12" s="16">
        <v>500</v>
      </c>
      <c r="KD12" s="16">
        <v>500</v>
      </c>
      <c r="KE12" s="16">
        <v>500</v>
      </c>
      <c r="KF12" s="16">
        <v>500</v>
      </c>
      <c r="KG12" s="16">
        <v>500</v>
      </c>
      <c r="KH12" s="16">
        <v>500</v>
      </c>
      <c r="KI12" s="16">
        <v>500</v>
      </c>
      <c r="KJ12" s="16">
        <v>500</v>
      </c>
      <c r="KK12" s="16">
        <v>500</v>
      </c>
      <c r="KL12" s="16">
        <v>500</v>
      </c>
      <c r="KM12" s="16">
        <v>500</v>
      </c>
      <c r="KN12" s="16">
        <v>500</v>
      </c>
      <c r="KO12" s="16">
        <v>500</v>
      </c>
      <c r="KP12" s="16">
        <v>500</v>
      </c>
      <c r="KQ12" s="16">
        <v>500</v>
      </c>
      <c r="KR12" s="16">
        <v>500</v>
      </c>
      <c r="KS12" s="16">
        <v>500</v>
      </c>
      <c r="KT12" s="16">
        <v>500</v>
      </c>
      <c r="KU12" s="16">
        <v>500</v>
      </c>
      <c r="KV12" s="16">
        <v>500</v>
      </c>
      <c r="KW12" s="16">
        <v>500</v>
      </c>
      <c r="KX12" s="16">
        <v>500</v>
      </c>
      <c r="KY12" s="16">
        <v>500</v>
      </c>
      <c r="KZ12" s="16">
        <v>500</v>
      </c>
      <c r="LA12" s="16">
        <v>500</v>
      </c>
      <c r="LB12" s="16">
        <v>500</v>
      </c>
      <c r="LC12" s="16">
        <v>500</v>
      </c>
      <c r="LD12" s="16">
        <v>500</v>
      </c>
      <c r="LE12" s="16">
        <v>500</v>
      </c>
      <c r="LF12" s="16">
        <v>500</v>
      </c>
      <c r="LG12" s="16">
        <v>500</v>
      </c>
      <c r="LH12" s="16">
        <v>500</v>
      </c>
      <c r="LI12" s="16">
        <v>500</v>
      </c>
      <c r="LJ12" s="16">
        <v>500</v>
      </c>
      <c r="LK12" s="16">
        <v>500</v>
      </c>
      <c r="LL12" s="16">
        <v>500</v>
      </c>
      <c r="LM12" s="16">
        <v>500</v>
      </c>
      <c r="LN12" s="16">
        <v>500</v>
      </c>
      <c r="LO12" s="16">
        <v>500</v>
      </c>
      <c r="LP12" s="16">
        <v>500</v>
      </c>
      <c r="LQ12" s="16">
        <v>500</v>
      </c>
      <c r="LR12" s="16">
        <v>500</v>
      </c>
      <c r="LS12" s="16">
        <v>500</v>
      </c>
      <c r="LT12" s="16">
        <v>500</v>
      </c>
      <c r="LU12" s="16">
        <v>500</v>
      </c>
      <c r="LV12" s="16">
        <v>500</v>
      </c>
      <c r="LW12" s="16">
        <v>500</v>
      </c>
      <c r="LX12" s="16">
        <v>500</v>
      </c>
      <c r="LY12" s="16">
        <v>500</v>
      </c>
      <c r="LZ12" s="16">
        <v>500</v>
      </c>
      <c r="MA12" s="16">
        <v>500</v>
      </c>
      <c r="MB12" s="16">
        <v>500</v>
      </c>
      <c r="MC12" s="16">
        <v>500</v>
      </c>
      <c r="MD12" s="16">
        <v>500</v>
      </c>
      <c r="ME12" s="16">
        <v>500</v>
      </c>
      <c r="MF12" s="16">
        <v>500</v>
      </c>
      <c r="MG12" s="16">
        <v>500</v>
      </c>
      <c r="MH12" s="16">
        <v>500</v>
      </c>
      <c r="MI12" s="16">
        <v>500</v>
      </c>
      <c r="MJ12" s="16">
        <v>500</v>
      </c>
      <c r="MK12" s="16">
        <v>500</v>
      </c>
      <c r="ML12" s="16">
        <v>500</v>
      </c>
      <c r="MM12" s="16"/>
      <c r="MN12" s="16"/>
    </row>
    <row r="13" spans="1:353" ht="23.25" customHeight="1" x14ac:dyDescent="0.25">
      <c r="A13" s="6" t="s">
        <v>1</v>
      </c>
      <c r="B13" s="3" t="s">
        <v>21</v>
      </c>
      <c r="C13" s="14">
        <v>6</v>
      </c>
      <c r="D13" s="14">
        <v>6</v>
      </c>
      <c r="E13" s="14">
        <v>6</v>
      </c>
      <c r="F13" s="14">
        <v>6</v>
      </c>
      <c r="G13" s="14">
        <v>6</v>
      </c>
      <c r="H13" s="14">
        <v>6</v>
      </c>
      <c r="I13" s="14">
        <v>6</v>
      </c>
      <c r="J13" s="14">
        <v>6</v>
      </c>
      <c r="K13" s="14">
        <v>6</v>
      </c>
      <c r="L13" s="14">
        <v>6</v>
      </c>
      <c r="M13" s="14">
        <v>6</v>
      </c>
      <c r="N13" s="14">
        <v>6</v>
      </c>
      <c r="O13" s="14">
        <v>6</v>
      </c>
      <c r="P13" s="14">
        <v>6</v>
      </c>
      <c r="Q13" s="14">
        <v>6</v>
      </c>
      <c r="R13" s="14">
        <v>6</v>
      </c>
      <c r="S13" s="14">
        <v>6</v>
      </c>
      <c r="T13" s="14">
        <v>6</v>
      </c>
      <c r="U13" s="14">
        <v>6</v>
      </c>
      <c r="V13" s="14">
        <v>6</v>
      </c>
      <c r="W13" s="14">
        <v>6</v>
      </c>
      <c r="X13" s="14">
        <v>6</v>
      </c>
      <c r="Y13" s="14">
        <v>6</v>
      </c>
      <c r="Z13" s="14">
        <v>6</v>
      </c>
      <c r="AA13" s="14">
        <v>6</v>
      </c>
      <c r="AB13" s="14">
        <v>6</v>
      </c>
      <c r="AC13" s="14">
        <v>6</v>
      </c>
      <c r="AD13" s="14">
        <v>6</v>
      </c>
      <c r="AE13" s="14">
        <v>6</v>
      </c>
      <c r="AF13" s="14">
        <v>6</v>
      </c>
      <c r="AG13" s="14">
        <v>6</v>
      </c>
      <c r="AH13" s="14">
        <v>6</v>
      </c>
      <c r="AI13" s="14">
        <v>6</v>
      </c>
      <c r="AJ13" s="14">
        <v>6</v>
      </c>
      <c r="AK13" s="14">
        <v>6</v>
      </c>
      <c r="AL13" s="14">
        <v>6</v>
      </c>
      <c r="AM13" s="14">
        <v>6</v>
      </c>
      <c r="AN13" s="14">
        <v>6</v>
      </c>
      <c r="AO13" s="14">
        <v>6</v>
      </c>
      <c r="AP13" s="14">
        <v>6</v>
      </c>
      <c r="AQ13" s="14">
        <v>6</v>
      </c>
      <c r="AR13" s="14">
        <v>6</v>
      </c>
      <c r="AS13" s="14">
        <v>6</v>
      </c>
      <c r="AT13" s="14">
        <v>6</v>
      </c>
      <c r="AU13" s="14">
        <v>6</v>
      </c>
      <c r="AV13" s="14">
        <v>6</v>
      </c>
      <c r="AW13" s="14">
        <v>6</v>
      </c>
      <c r="AX13" s="14">
        <v>6</v>
      </c>
      <c r="AY13" s="14">
        <v>6</v>
      </c>
      <c r="AZ13" s="14">
        <v>6</v>
      </c>
      <c r="BA13" s="14">
        <v>6</v>
      </c>
      <c r="BB13" s="14">
        <v>6</v>
      </c>
      <c r="BC13" s="14">
        <v>6</v>
      </c>
      <c r="BD13" s="14">
        <v>6</v>
      </c>
      <c r="BE13" s="14">
        <v>6</v>
      </c>
      <c r="BF13" s="14">
        <v>6</v>
      </c>
      <c r="BG13" s="14">
        <v>6</v>
      </c>
      <c r="BH13" s="14">
        <v>6</v>
      </c>
      <c r="BI13" s="14">
        <v>6</v>
      </c>
      <c r="BJ13" s="14">
        <v>6</v>
      </c>
      <c r="BK13" s="14">
        <v>6</v>
      </c>
      <c r="BL13" s="14">
        <v>6</v>
      </c>
      <c r="BM13" s="14">
        <v>6</v>
      </c>
      <c r="BN13" s="14">
        <v>6</v>
      </c>
      <c r="BO13" s="14">
        <v>6</v>
      </c>
      <c r="BP13" s="14">
        <v>6</v>
      </c>
      <c r="BQ13" s="14">
        <v>6</v>
      </c>
      <c r="BR13" s="14">
        <v>6</v>
      </c>
      <c r="BS13" s="14">
        <v>6</v>
      </c>
      <c r="BT13" s="14">
        <v>6</v>
      </c>
      <c r="BU13" s="14">
        <v>6</v>
      </c>
      <c r="BV13" s="14">
        <v>6</v>
      </c>
      <c r="BW13" s="37">
        <v>6</v>
      </c>
      <c r="BX13" s="14">
        <v>6</v>
      </c>
      <c r="BY13" s="14">
        <v>6</v>
      </c>
      <c r="BZ13" s="14">
        <v>6</v>
      </c>
      <c r="CA13" s="14">
        <v>6</v>
      </c>
      <c r="CB13" s="14">
        <v>6</v>
      </c>
      <c r="CC13" s="14">
        <v>6</v>
      </c>
      <c r="CD13" s="14">
        <v>6</v>
      </c>
      <c r="CE13" s="14">
        <v>6</v>
      </c>
      <c r="CF13" s="51">
        <v>6</v>
      </c>
      <c r="CG13" s="51">
        <v>6</v>
      </c>
      <c r="CH13" s="51">
        <v>6</v>
      </c>
      <c r="CI13" s="51">
        <v>6</v>
      </c>
      <c r="CJ13" s="51">
        <v>6</v>
      </c>
      <c r="CK13" s="51">
        <v>6</v>
      </c>
      <c r="CL13" s="51">
        <v>6</v>
      </c>
      <c r="CM13" s="51">
        <v>6</v>
      </c>
      <c r="CN13" s="51">
        <v>6</v>
      </c>
      <c r="CO13" s="51">
        <v>6</v>
      </c>
      <c r="CP13" s="51">
        <v>6</v>
      </c>
      <c r="CQ13" s="51">
        <v>6</v>
      </c>
      <c r="CR13" s="51">
        <v>6</v>
      </c>
      <c r="CS13" s="51">
        <v>6</v>
      </c>
      <c r="CT13" s="51">
        <v>6</v>
      </c>
      <c r="CU13" s="51">
        <v>6</v>
      </c>
      <c r="CV13" s="51">
        <v>6</v>
      </c>
      <c r="CW13" s="51">
        <v>6</v>
      </c>
      <c r="CX13" s="51">
        <v>6</v>
      </c>
      <c r="CY13" s="51">
        <v>6</v>
      </c>
      <c r="CZ13" s="51">
        <v>6</v>
      </c>
      <c r="DA13" s="51">
        <v>6</v>
      </c>
      <c r="DB13" s="51">
        <v>6</v>
      </c>
      <c r="DC13" s="51">
        <v>6</v>
      </c>
      <c r="DD13" s="51">
        <v>6</v>
      </c>
      <c r="DE13" s="51">
        <v>6</v>
      </c>
      <c r="DF13" s="51">
        <v>6</v>
      </c>
      <c r="DG13" s="51">
        <v>6</v>
      </c>
      <c r="DH13" s="51">
        <v>6</v>
      </c>
      <c r="DI13" s="51">
        <v>6</v>
      </c>
      <c r="DJ13" s="51">
        <v>6</v>
      </c>
      <c r="DK13" s="51">
        <v>6</v>
      </c>
      <c r="DL13" s="51">
        <v>6</v>
      </c>
      <c r="DM13" s="51">
        <v>6</v>
      </c>
      <c r="DN13" s="51">
        <v>6</v>
      </c>
      <c r="DO13" s="51">
        <v>6</v>
      </c>
      <c r="DP13" s="51">
        <v>6</v>
      </c>
      <c r="DQ13" s="51">
        <v>6</v>
      </c>
      <c r="DR13" s="51">
        <v>6</v>
      </c>
      <c r="DS13" s="51">
        <v>6</v>
      </c>
      <c r="DT13" s="51">
        <v>6</v>
      </c>
      <c r="DU13" s="51">
        <v>6</v>
      </c>
      <c r="DV13" s="51">
        <v>6</v>
      </c>
      <c r="DW13" s="51">
        <v>6</v>
      </c>
      <c r="DX13" s="51">
        <v>6</v>
      </c>
      <c r="DY13" s="51">
        <v>6</v>
      </c>
      <c r="DZ13" s="51">
        <v>6</v>
      </c>
      <c r="EA13" s="51">
        <v>6</v>
      </c>
      <c r="EB13" s="51">
        <v>6</v>
      </c>
      <c r="EC13" s="51">
        <v>6</v>
      </c>
      <c r="ED13" s="51">
        <v>6</v>
      </c>
      <c r="EE13" s="51">
        <v>6</v>
      </c>
      <c r="EF13" s="51">
        <v>6</v>
      </c>
      <c r="EG13" s="51">
        <v>6</v>
      </c>
      <c r="EH13" s="51">
        <v>6</v>
      </c>
      <c r="EI13" s="51">
        <v>6</v>
      </c>
      <c r="EJ13" s="51">
        <v>6</v>
      </c>
      <c r="EK13" s="51">
        <v>6</v>
      </c>
      <c r="EL13" s="51">
        <v>6</v>
      </c>
      <c r="EM13" s="51">
        <v>6</v>
      </c>
      <c r="EN13" s="51">
        <v>6</v>
      </c>
      <c r="EO13" s="51">
        <v>6</v>
      </c>
      <c r="EP13" s="51">
        <v>6</v>
      </c>
      <c r="EQ13" s="51">
        <v>6</v>
      </c>
      <c r="ER13" s="51">
        <v>6</v>
      </c>
      <c r="ES13" s="51">
        <v>6</v>
      </c>
      <c r="ET13" s="51">
        <v>6</v>
      </c>
      <c r="EU13" s="51">
        <v>6</v>
      </c>
      <c r="EV13" s="51">
        <v>6</v>
      </c>
      <c r="EW13" s="51">
        <v>6</v>
      </c>
      <c r="EX13" s="51">
        <v>6</v>
      </c>
      <c r="EY13" s="51">
        <v>6</v>
      </c>
      <c r="EZ13" s="51">
        <v>6</v>
      </c>
      <c r="FA13" s="51">
        <v>6</v>
      </c>
      <c r="FB13" s="51">
        <v>6</v>
      </c>
      <c r="FC13" s="51">
        <v>6</v>
      </c>
      <c r="FD13" s="51">
        <v>6</v>
      </c>
      <c r="FE13" s="51">
        <v>6</v>
      </c>
      <c r="FF13" s="51">
        <v>6</v>
      </c>
      <c r="FG13" s="51">
        <v>6</v>
      </c>
      <c r="FH13" s="51">
        <v>6</v>
      </c>
      <c r="FI13" s="51">
        <v>6</v>
      </c>
      <c r="FJ13" s="51">
        <v>6</v>
      </c>
      <c r="FK13" s="51">
        <v>6</v>
      </c>
      <c r="FL13" s="51">
        <v>6</v>
      </c>
      <c r="FM13" s="51">
        <v>6</v>
      </c>
      <c r="FN13" s="51">
        <v>6</v>
      </c>
      <c r="FO13" s="51">
        <v>6</v>
      </c>
      <c r="FP13" s="14">
        <v>6</v>
      </c>
      <c r="FQ13" s="3">
        <v>1</v>
      </c>
      <c r="FR13" s="3">
        <v>1</v>
      </c>
      <c r="FS13" s="3">
        <v>1</v>
      </c>
      <c r="FT13" s="3">
        <v>1</v>
      </c>
      <c r="FU13" s="3">
        <v>1</v>
      </c>
      <c r="FV13" s="3">
        <v>1</v>
      </c>
      <c r="FW13" s="3">
        <v>1</v>
      </c>
      <c r="FX13" s="3">
        <v>1</v>
      </c>
      <c r="FY13" s="3">
        <v>1</v>
      </c>
      <c r="FZ13" s="3">
        <v>1</v>
      </c>
      <c r="GA13" s="3">
        <v>1</v>
      </c>
      <c r="GB13" s="3">
        <v>1</v>
      </c>
      <c r="GC13" s="3">
        <v>1</v>
      </c>
      <c r="GD13" s="3">
        <v>1</v>
      </c>
      <c r="GE13" s="3">
        <v>1</v>
      </c>
      <c r="GF13" s="3">
        <v>1</v>
      </c>
      <c r="GG13" s="3">
        <v>1</v>
      </c>
      <c r="GH13" s="3">
        <v>1</v>
      </c>
      <c r="GI13" s="3">
        <v>1</v>
      </c>
      <c r="GJ13" s="3">
        <v>1</v>
      </c>
      <c r="GK13" s="3">
        <v>1</v>
      </c>
      <c r="GL13" s="3">
        <v>1</v>
      </c>
      <c r="GM13" s="3">
        <v>1</v>
      </c>
      <c r="GN13" s="3">
        <v>1</v>
      </c>
      <c r="GO13" s="3">
        <v>1</v>
      </c>
      <c r="GP13" s="3">
        <v>1</v>
      </c>
      <c r="GQ13" s="3">
        <v>1</v>
      </c>
      <c r="GR13" s="3">
        <v>1</v>
      </c>
      <c r="GS13" s="3">
        <v>1</v>
      </c>
      <c r="GT13" s="3">
        <v>1</v>
      </c>
      <c r="GU13" s="3">
        <v>1</v>
      </c>
      <c r="GV13" s="3">
        <v>1</v>
      </c>
      <c r="GW13" s="3">
        <v>1</v>
      </c>
      <c r="GX13" s="3">
        <v>1</v>
      </c>
      <c r="GY13" s="3">
        <v>1</v>
      </c>
      <c r="GZ13" s="3">
        <v>1</v>
      </c>
      <c r="HA13" s="3">
        <v>1</v>
      </c>
      <c r="HB13" s="3">
        <v>1</v>
      </c>
      <c r="HC13" s="3">
        <v>1</v>
      </c>
      <c r="HD13" s="3">
        <v>1</v>
      </c>
      <c r="HE13" s="3">
        <v>1</v>
      </c>
      <c r="HF13" s="3">
        <v>1</v>
      </c>
      <c r="HG13" s="3">
        <v>1</v>
      </c>
      <c r="HH13" s="3">
        <v>1</v>
      </c>
      <c r="HI13" s="3">
        <v>1</v>
      </c>
      <c r="HJ13" s="3">
        <v>1</v>
      </c>
      <c r="HK13" s="3">
        <v>1</v>
      </c>
      <c r="HL13" s="3">
        <v>1</v>
      </c>
      <c r="HM13" s="3">
        <v>1</v>
      </c>
      <c r="HN13" s="3">
        <v>1</v>
      </c>
      <c r="HO13" s="3">
        <v>1</v>
      </c>
      <c r="HP13" s="3">
        <v>1</v>
      </c>
      <c r="HQ13" s="3">
        <v>1</v>
      </c>
      <c r="HR13" s="3">
        <v>1</v>
      </c>
      <c r="HS13" s="3">
        <v>1</v>
      </c>
      <c r="HT13" s="3">
        <v>1</v>
      </c>
      <c r="HU13" s="3">
        <v>1</v>
      </c>
      <c r="HV13" s="3">
        <v>1</v>
      </c>
      <c r="HW13" s="3">
        <v>1</v>
      </c>
      <c r="HX13" s="3">
        <v>1</v>
      </c>
      <c r="HY13" s="3">
        <v>1</v>
      </c>
      <c r="HZ13" s="3">
        <v>1</v>
      </c>
      <c r="IA13" s="3">
        <v>1</v>
      </c>
      <c r="IB13" s="3">
        <v>1</v>
      </c>
      <c r="IC13" s="3">
        <v>1</v>
      </c>
      <c r="ID13" s="3">
        <v>1</v>
      </c>
      <c r="IE13" s="3">
        <v>1</v>
      </c>
      <c r="IF13" s="3">
        <v>1</v>
      </c>
      <c r="IG13" s="3">
        <v>1</v>
      </c>
      <c r="IH13" s="3">
        <v>1</v>
      </c>
      <c r="II13" s="3">
        <v>50</v>
      </c>
      <c r="IJ13" s="3">
        <v>50</v>
      </c>
      <c r="IK13" s="3">
        <v>50</v>
      </c>
      <c r="IL13" s="3">
        <v>50</v>
      </c>
      <c r="IM13" s="35">
        <v>50</v>
      </c>
      <c r="IN13" s="35">
        <v>50</v>
      </c>
      <c r="IO13" s="35">
        <v>50</v>
      </c>
      <c r="IP13" s="3">
        <v>50</v>
      </c>
      <c r="IQ13" s="3">
        <v>50</v>
      </c>
      <c r="IR13" s="3">
        <v>50</v>
      </c>
      <c r="IS13" s="3">
        <v>50</v>
      </c>
      <c r="IT13" s="3">
        <v>50</v>
      </c>
      <c r="IU13" s="3">
        <v>50</v>
      </c>
      <c r="IV13" s="3">
        <v>50</v>
      </c>
      <c r="IW13" s="3">
        <v>50</v>
      </c>
      <c r="IX13" s="3">
        <v>50</v>
      </c>
      <c r="IY13" s="3">
        <v>50</v>
      </c>
      <c r="IZ13" s="3">
        <v>50</v>
      </c>
      <c r="JA13" s="3">
        <v>50</v>
      </c>
      <c r="JB13" s="3">
        <v>50</v>
      </c>
      <c r="JC13" s="3">
        <v>50</v>
      </c>
      <c r="JD13" s="3">
        <v>50</v>
      </c>
      <c r="JE13" s="3">
        <v>50</v>
      </c>
      <c r="JF13" s="3">
        <v>50</v>
      </c>
      <c r="JG13" s="3">
        <v>50</v>
      </c>
      <c r="JH13" s="3">
        <v>50</v>
      </c>
      <c r="JI13" s="3">
        <v>50</v>
      </c>
      <c r="JJ13" s="3">
        <v>50</v>
      </c>
      <c r="JK13" s="3">
        <v>50</v>
      </c>
      <c r="JL13" s="3">
        <v>50</v>
      </c>
      <c r="JM13" s="3">
        <v>50</v>
      </c>
      <c r="JN13" s="3">
        <v>50</v>
      </c>
      <c r="JO13" s="3">
        <v>50</v>
      </c>
      <c r="JP13" s="3">
        <v>50</v>
      </c>
      <c r="JQ13" s="3">
        <v>50</v>
      </c>
      <c r="JR13" s="3">
        <v>50</v>
      </c>
      <c r="JS13" s="3">
        <v>50</v>
      </c>
      <c r="JT13" s="3">
        <v>50</v>
      </c>
      <c r="JU13" s="3">
        <v>50</v>
      </c>
      <c r="JV13" s="3">
        <v>50</v>
      </c>
      <c r="JW13" s="3">
        <v>50</v>
      </c>
      <c r="JX13" s="3">
        <v>50</v>
      </c>
      <c r="JY13" s="3">
        <v>50</v>
      </c>
      <c r="JZ13" s="3">
        <v>50</v>
      </c>
      <c r="KA13" s="3">
        <v>50</v>
      </c>
      <c r="KB13" s="3">
        <v>50</v>
      </c>
      <c r="KC13" s="3">
        <v>50</v>
      </c>
      <c r="KD13" s="3">
        <v>50</v>
      </c>
      <c r="KE13" s="3">
        <v>50</v>
      </c>
      <c r="KF13" s="3">
        <v>50</v>
      </c>
      <c r="KG13" s="3">
        <v>50</v>
      </c>
      <c r="KH13" s="3">
        <v>50</v>
      </c>
      <c r="KI13" s="3">
        <v>50</v>
      </c>
      <c r="KJ13" s="3">
        <v>50</v>
      </c>
      <c r="KK13" s="3">
        <v>50</v>
      </c>
      <c r="KL13" s="3">
        <v>50</v>
      </c>
      <c r="KM13" s="3">
        <v>50</v>
      </c>
      <c r="KN13" s="3">
        <v>50</v>
      </c>
      <c r="KO13" s="3">
        <v>50</v>
      </c>
      <c r="KP13" s="3">
        <v>50</v>
      </c>
      <c r="KQ13" s="3">
        <v>50</v>
      </c>
      <c r="KR13" s="3">
        <v>50</v>
      </c>
      <c r="KS13" s="3">
        <v>50</v>
      </c>
      <c r="KT13" s="3">
        <v>50</v>
      </c>
      <c r="KU13" s="3">
        <v>50</v>
      </c>
      <c r="KV13" s="3">
        <v>50</v>
      </c>
      <c r="KW13" s="3">
        <v>50</v>
      </c>
      <c r="KX13" s="3">
        <v>50</v>
      </c>
      <c r="KY13" s="3">
        <v>50</v>
      </c>
      <c r="KZ13" s="3">
        <v>50</v>
      </c>
      <c r="LA13" s="3">
        <v>50</v>
      </c>
      <c r="LB13" s="3">
        <v>50</v>
      </c>
      <c r="LC13" s="3">
        <v>50</v>
      </c>
      <c r="LD13" s="3">
        <v>50</v>
      </c>
      <c r="LE13" s="3">
        <v>50</v>
      </c>
      <c r="LF13" s="3">
        <v>50</v>
      </c>
      <c r="LG13" s="3">
        <v>50</v>
      </c>
      <c r="LH13" s="3">
        <v>50</v>
      </c>
      <c r="LI13" s="3">
        <v>50</v>
      </c>
      <c r="LJ13" s="3">
        <v>50</v>
      </c>
      <c r="LK13" s="3">
        <v>50</v>
      </c>
      <c r="LL13" s="3">
        <v>50</v>
      </c>
      <c r="LM13" s="3">
        <v>50</v>
      </c>
      <c r="LN13" s="3">
        <v>50</v>
      </c>
      <c r="LO13" s="3">
        <v>50</v>
      </c>
      <c r="LP13" s="3">
        <v>50</v>
      </c>
      <c r="LQ13" s="3">
        <v>50</v>
      </c>
      <c r="LR13" s="3">
        <v>50</v>
      </c>
      <c r="LS13" s="3">
        <v>50</v>
      </c>
      <c r="LT13" s="3">
        <v>50</v>
      </c>
      <c r="LU13" s="3">
        <v>50</v>
      </c>
      <c r="LV13" s="3">
        <v>50</v>
      </c>
      <c r="LW13" s="3">
        <v>50</v>
      </c>
      <c r="LX13" s="3">
        <v>50</v>
      </c>
      <c r="LY13" s="3">
        <v>50</v>
      </c>
      <c r="LZ13" s="3">
        <v>50</v>
      </c>
      <c r="MA13" s="3">
        <v>50</v>
      </c>
      <c r="MB13" s="3">
        <v>50</v>
      </c>
      <c r="MC13" s="3">
        <v>50</v>
      </c>
      <c r="MD13" s="3">
        <v>50</v>
      </c>
      <c r="ME13" s="3">
        <v>50</v>
      </c>
      <c r="MF13" s="3">
        <v>50</v>
      </c>
      <c r="MG13" s="3">
        <v>50</v>
      </c>
      <c r="MH13" s="3">
        <v>50</v>
      </c>
      <c r="MI13" s="3">
        <v>50</v>
      </c>
      <c r="MJ13" s="3">
        <v>50</v>
      </c>
      <c r="MK13" s="3">
        <v>50</v>
      </c>
      <c r="ML13" s="3">
        <v>50</v>
      </c>
      <c r="MM13" s="3"/>
      <c r="MN13" s="3"/>
    </row>
    <row r="14" spans="1:353" ht="23.25" customHeight="1" x14ac:dyDescent="0.25">
      <c r="A14" s="6" t="s">
        <v>1</v>
      </c>
      <c r="B14" s="7" t="s">
        <v>22</v>
      </c>
      <c r="C14" s="14">
        <v>6</v>
      </c>
      <c r="D14" s="14">
        <v>6</v>
      </c>
      <c r="E14" s="14">
        <v>6</v>
      </c>
      <c r="F14" s="14">
        <v>6</v>
      </c>
      <c r="G14" s="14">
        <v>6</v>
      </c>
      <c r="H14" s="14">
        <v>6</v>
      </c>
      <c r="I14" s="14">
        <v>6</v>
      </c>
      <c r="J14" s="14">
        <v>6</v>
      </c>
      <c r="K14" s="14">
        <v>6</v>
      </c>
      <c r="L14" s="14">
        <v>6</v>
      </c>
      <c r="M14" s="14">
        <v>6</v>
      </c>
      <c r="N14" s="14">
        <v>6</v>
      </c>
      <c r="O14" s="14">
        <v>6</v>
      </c>
      <c r="P14" s="14">
        <v>6</v>
      </c>
      <c r="Q14" s="14">
        <v>6</v>
      </c>
      <c r="R14" s="14">
        <v>6</v>
      </c>
      <c r="S14" s="14">
        <v>6</v>
      </c>
      <c r="T14" s="14">
        <v>6</v>
      </c>
      <c r="U14" s="14">
        <v>6</v>
      </c>
      <c r="V14" s="14">
        <v>6</v>
      </c>
      <c r="W14" s="14">
        <v>6</v>
      </c>
      <c r="X14" s="14">
        <v>6</v>
      </c>
      <c r="Y14" s="14">
        <v>6</v>
      </c>
      <c r="Z14" s="14">
        <v>6</v>
      </c>
      <c r="AA14" s="14">
        <v>6</v>
      </c>
      <c r="AB14" s="14">
        <v>6</v>
      </c>
      <c r="AC14" s="14">
        <v>6</v>
      </c>
      <c r="AD14" s="14">
        <v>6</v>
      </c>
      <c r="AE14" s="14">
        <v>6</v>
      </c>
      <c r="AF14" s="14">
        <v>6</v>
      </c>
      <c r="AG14" s="14">
        <v>6</v>
      </c>
      <c r="AH14" s="14">
        <v>6</v>
      </c>
      <c r="AI14" s="14">
        <v>6</v>
      </c>
      <c r="AJ14" s="14">
        <v>6</v>
      </c>
      <c r="AK14" s="14">
        <v>6</v>
      </c>
      <c r="AL14" s="14">
        <v>6</v>
      </c>
      <c r="AM14" s="14">
        <v>6</v>
      </c>
      <c r="AN14" s="14">
        <v>6</v>
      </c>
      <c r="AO14" s="14">
        <v>6</v>
      </c>
      <c r="AP14" s="14">
        <v>6</v>
      </c>
      <c r="AQ14" s="14">
        <v>6</v>
      </c>
      <c r="AR14" s="14">
        <v>6</v>
      </c>
      <c r="AS14" s="14">
        <v>6</v>
      </c>
      <c r="AT14" s="14">
        <v>6</v>
      </c>
      <c r="AU14" s="14">
        <v>6</v>
      </c>
      <c r="AV14" s="14">
        <v>6</v>
      </c>
      <c r="AW14" s="14">
        <v>6</v>
      </c>
      <c r="AX14" s="14">
        <v>6</v>
      </c>
      <c r="AY14" s="14">
        <v>6</v>
      </c>
      <c r="AZ14" s="14">
        <v>6</v>
      </c>
      <c r="BA14" s="14">
        <v>6</v>
      </c>
      <c r="BB14" s="14">
        <v>6</v>
      </c>
      <c r="BC14" s="14">
        <v>6</v>
      </c>
      <c r="BD14" s="14">
        <v>6</v>
      </c>
      <c r="BE14" s="14">
        <v>6</v>
      </c>
      <c r="BF14" s="14">
        <v>6</v>
      </c>
      <c r="BG14" s="14">
        <v>6</v>
      </c>
      <c r="BH14" s="14">
        <v>6</v>
      </c>
      <c r="BI14" s="14">
        <v>6</v>
      </c>
      <c r="BJ14" s="14">
        <v>6</v>
      </c>
      <c r="BK14" s="14">
        <v>6</v>
      </c>
      <c r="BL14" s="14">
        <v>6</v>
      </c>
      <c r="BM14" s="14">
        <v>6</v>
      </c>
      <c r="BN14" s="14">
        <v>6</v>
      </c>
      <c r="BO14" s="14">
        <v>6</v>
      </c>
      <c r="BP14" s="14">
        <v>6</v>
      </c>
      <c r="BQ14" s="14">
        <v>6</v>
      </c>
      <c r="BR14" s="14">
        <v>6</v>
      </c>
      <c r="BS14" s="14">
        <v>6</v>
      </c>
      <c r="BT14" s="14">
        <v>6</v>
      </c>
      <c r="BU14" s="14">
        <v>6</v>
      </c>
      <c r="BV14" s="14">
        <v>6</v>
      </c>
      <c r="BW14" s="37">
        <v>6</v>
      </c>
      <c r="BX14" s="14">
        <v>6</v>
      </c>
      <c r="BY14" s="14">
        <v>6</v>
      </c>
      <c r="BZ14" s="14">
        <v>6</v>
      </c>
      <c r="CA14" s="14">
        <v>6</v>
      </c>
      <c r="CB14" s="14">
        <v>6</v>
      </c>
      <c r="CC14" s="14">
        <v>6</v>
      </c>
      <c r="CD14" s="14">
        <v>6</v>
      </c>
      <c r="CE14" s="14">
        <v>6</v>
      </c>
      <c r="CF14" s="51">
        <v>6</v>
      </c>
      <c r="CG14" s="51">
        <v>6</v>
      </c>
      <c r="CH14" s="51">
        <v>6</v>
      </c>
      <c r="CI14" s="51">
        <v>6</v>
      </c>
      <c r="CJ14" s="51">
        <v>6</v>
      </c>
      <c r="CK14" s="51">
        <v>6</v>
      </c>
      <c r="CL14" s="51">
        <v>6</v>
      </c>
      <c r="CM14" s="51">
        <v>6</v>
      </c>
      <c r="CN14" s="51">
        <v>6</v>
      </c>
      <c r="CO14" s="51">
        <v>6</v>
      </c>
      <c r="CP14" s="51">
        <v>6</v>
      </c>
      <c r="CQ14" s="51">
        <v>6</v>
      </c>
      <c r="CR14" s="51">
        <v>6</v>
      </c>
      <c r="CS14" s="51">
        <v>6</v>
      </c>
      <c r="CT14" s="51">
        <v>6</v>
      </c>
      <c r="CU14" s="51">
        <v>6</v>
      </c>
      <c r="CV14" s="51">
        <v>6</v>
      </c>
      <c r="CW14" s="51">
        <v>6</v>
      </c>
      <c r="CX14" s="51">
        <v>6</v>
      </c>
      <c r="CY14" s="51">
        <v>6</v>
      </c>
      <c r="CZ14" s="51">
        <v>6</v>
      </c>
      <c r="DA14" s="51">
        <v>6</v>
      </c>
      <c r="DB14" s="51">
        <v>6</v>
      </c>
      <c r="DC14" s="51">
        <v>6</v>
      </c>
      <c r="DD14" s="51">
        <v>6</v>
      </c>
      <c r="DE14" s="51">
        <v>6</v>
      </c>
      <c r="DF14" s="51">
        <v>6</v>
      </c>
      <c r="DG14" s="51">
        <v>6</v>
      </c>
      <c r="DH14" s="51">
        <v>6</v>
      </c>
      <c r="DI14" s="51">
        <v>6</v>
      </c>
      <c r="DJ14" s="51">
        <v>6</v>
      </c>
      <c r="DK14" s="51">
        <v>6</v>
      </c>
      <c r="DL14" s="51">
        <v>6</v>
      </c>
      <c r="DM14" s="51">
        <v>6</v>
      </c>
      <c r="DN14" s="51">
        <v>6</v>
      </c>
      <c r="DO14" s="51">
        <v>6</v>
      </c>
      <c r="DP14" s="51">
        <v>6</v>
      </c>
      <c r="DQ14" s="51">
        <v>6</v>
      </c>
      <c r="DR14" s="51">
        <v>6</v>
      </c>
      <c r="DS14" s="51">
        <v>6</v>
      </c>
      <c r="DT14" s="51">
        <v>6</v>
      </c>
      <c r="DU14" s="51">
        <v>6</v>
      </c>
      <c r="DV14" s="51">
        <v>6</v>
      </c>
      <c r="DW14" s="51">
        <v>6</v>
      </c>
      <c r="DX14" s="51">
        <v>6</v>
      </c>
      <c r="DY14" s="51">
        <v>6</v>
      </c>
      <c r="DZ14" s="51">
        <v>6</v>
      </c>
      <c r="EA14" s="51">
        <v>6</v>
      </c>
      <c r="EB14" s="51">
        <v>6</v>
      </c>
      <c r="EC14" s="51">
        <v>6</v>
      </c>
      <c r="ED14" s="51">
        <v>6</v>
      </c>
      <c r="EE14" s="51">
        <v>6</v>
      </c>
      <c r="EF14" s="51">
        <v>6</v>
      </c>
      <c r="EG14" s="51">
        <v>6</v>
      </c>
      <c r="EH14" s="51">
        <v>6</v>
      </c>
      <c r="EI14" s="51">
        <v>6</v>
      </c>
      <c r="EJ14" s="51">
        <v>6</v>
      </c>
      <c r="EK14" s="51">
        <v>6</v>
      </c>
      <c r="EL14" s="51">
        <v>6</v>
      </c>
      <c r="EM14" s="51">
        <v>6</v>
      </c>
      <c r="EN14" s="51">
        <v>6</v>
      </c>
      <c r="EO14" s="51">
        <v>6</v>
      </c>
      <c r="EP14" s="51">
        <v>6</v>
      </c>
      <c r="EQ14" s="51">
        <v>6</v>
      </c>
      <c r="ER14" s="51">
        <v>6</v>
      </c>
      <c r="ES14" s="51">
        <v>6</v>
      </c>
      <c r="ET14" s="51">
        <v>6</v>
      </c>
      <c r="EU14" s="51">
        <v>6</v>
      </c>
      <c r="EV14" s="51">
        <v>6</v>
      </c>
      <c r="EW14" s="51">
        <v>6</v>
      </c>
      <c r="EX14" s="51">
        <v>6</v>
      </c>
      <c r="EY14" s="51">
        <v>6</v>
      </c>
      <c r="EZ14" s="51">
        <v>6</v>
      </c>
      <c r="FA14" s="51">
        <v>6</v>
      </c>
      <c r="FB14" s="51">
        <v>6</v>
      </c>
      <c r="FC14" s="51">
        <v>6</v>
      </c>
      <c r="FD14" s="51">
        <v>6</v>
      </c>
      <c r="FE14" s="51">
        <v>6</v>
      </c>
      <c r="FF14" s="51">
        <v>6</v>
      </c>
      <c r="FG14" s="51">
        <v>6</v>
      </c>
      <c r="FH14" s="51">
        <v>6</v>
      </c>
      <c r="FI14" s="51">
        <v>6</v>
      </c>
      <c r="FJ14" s="51">
        <v>6</v>
      </c>
      <c r="FK14" s="51">
        <v>6</v>
      </c>
      <c r="FL14" s="51">
        <v>6</v>
      </c>
      <c r="FM14" s="51">
        <v>6</v>
      </c>
      <c r="FN14" s="51">
        <v>6</v>
      </c>
      <c r="FO14" s="51">
        <v>6</v>
      </c>
      <c r="FP14" s="14">
        <v>6</v>
      </c>
      <c r="FQ14" s="3">
        <v>1</v>
      </c>
      <c r="FR14" s="3">
        <v>1</v>
      </c>
      <c r="FS14" s="3">
        <v>1</v>
      </c>
      <c r="FT14" s="3">
        <v>1</v>
      </c>
      <c r="FU14" s="3">
        <v>1</v>
      </c>
      <c r="FV14" s="3">
        <v>1</v>
      </c>
      <c r="FW14" s="3">
        <v>1</v>
      </c>
      <c r="FX14" s="3">
        <v>1</v>
      </c>
      <c r="FY14" s="3">
        <v>1</v>
      </c>
      <c r="FZ14" s="3">
        <v>1</v>
      </c>
      <c r="GA14" s="3">
        <v>1</v>
      </c>
      <c r="GB14" s="3">
        <v>1</v>
      </c>
      <c r="GC14" s="3">
        <v>1</v>
      </c>
      <c r="GD14" s="3">
        <v>1</v>
      </c>
      <c r="GE14" s="3">
        <v>1</v>
      </c>
      <c r="GF14" s="3">
        <v>1</v>
      </c>
      <c r="GG14" s="3">
        <v>1</v>
      </c>
      <c r="GH14" s="3">
        <v>1</v>
      </c>
      <c r="GI14" s="3">
        <v>1</v>
      </c>
      <c r="GJ14" s="3">
        <v>1</v>
      </c>
      <c r="GK14" s="3">
        <v>1</v>
      </c>
      <c r="GL14" s="3">
        <v>1</v>
      </c>
      <c r="GM14" s="3">
        <v>1</v>
      </c>
      <c r="GN14" s="3">
        <v>1</v>
      </c>
      <c r="GO14" s="3">
        <v>1</v>
      </c>
      <c r="GP14" s="3">
        <v>1</v>
      </c>
      <c r="GQ14" s="3">
        <v>1</v>
      </c>
      <c r="GR14" s="3">
        <v>1</v>
      </c>
      <c r="GS14" s="3">
        <v>1</v>
      </c>
      <c r="GT14" s="3">
        <v>1</v>
      </c>
      <c r="GU14" s="3">
        <v>1</v>
      </c>
      <c r="GV14" s="3">
        <v>1</v>
      </c>
      <c r="GW14" s="3">
        <v>1</v>
      </c>
      <c r="GX14" s="3">
        <v>1</v>
      </c>
      <c r="GY14" s="3">
        <v>1</v>
      </c>
      <c r="GZ14" s="3">
        <v>1</v>
      </c>
      <c r="HA14" s="3">
        <v>1</v>
      </c>
      <c r="HB14" s="3">
        <v>1</v>
      </c>
      <c r="HC14" s="3">
        <v>1</v>
      </c>
      <c r="HD14" s="3">
        <v>1</v>
      </c>
      <c r="HE14" s="3">
        <v>1</v>
      </c>
      <c r="HF14" s="3">
        <v>1</v>
      </c>
      <c r="HG14" s="3">
        <v>1</v>
      </c>
      <c r="HH14" s="3">
        <v>1</v>
      </c>
      <c r="HI14" s="3">
        <v>1</v>
      </c>
      <c r="HJ14" s="3">
        <v>1</v>
      </c>
      <c r="HK14" s="3">
        <v>1</v>
      </c>
      <c r="HL14" s="3">
        <v>1</v>
      </c>
      <c r="HM14" s="3">
        <v>1</v>
      </c>
      <c r="HN14" s="3">
        <v>1</v>
      </c>
      <c r="HO14" s="3">
        <v>1</v>
      </c>
      <c r="HP14" s="3">
        <v>1</v>
      </c>
      <c r="HQ14" s="3">
        <v>1</v>
      </c>
      <c r="HR14" s="3">
        <v>1</v>
      </c>
      <c r="HS14" s="3">
        <v>1</v>
      </c>
      <c r="HT14" s="3">
        <v>1</v>
      </c>
      <c r="HU14" s="3">
        <v>1</v>
      </c>
      <c r="HV14" s="3">
        <v>1</v>
      </c>
      <c r="HW14" s="3">
        <v>1</v>
      </c>
      <c r="HX14" s="3">
        <v>1</v>
      </c>
      <c r="HY14" s="3">
        <v>1</v>
      </c>
      <c r="HZ14" s="3">
        <v>1</v>
      </c>
      <c r="IA14" s="3">
        <v>1</v>
      </c>
      <c r="IB14" s="3">
        <v>1</v>
      </c>
      <c r="IC14" s="3">
        <v>1</v>
      </c>
      <c r="ID14" s="3">
        <v>1</v>
      </c>
      <c r="IE14" s="3">
        <v>1</v>
      </c>
      <c r="IF14" s="3">
        <v>1</v>
      </c>
      <c r="IG14" s="3">
        <v>1</v>
      </c>
      <c r="IH14" s="3">
        <v>1</v>
      </c>
      <c r="II14" s="3">
        <v>50</v>
      </c>
      <c r="IJ14" s="3">
        <v>50</v>
      </c>
      <c r="IK14" s="3">
        <v>50</v>
      </c>
      <c r="IL14" s="3">
        <v>50</v>
      </c>
      <c r="IM14" s="35">
        <v>50</v>
      </c>
      <c r="IN14" s="35">
        <v>50</v>
      </c>
      <c r="IO14" s="35">
        <v>50</v>
      </c>
      <c r="IP14" s="3">
        <v>50</v>
      </c>
      <c r="IQ14" s="3">
        <v>50</v>
      </c>
      <c r="IR14" s="3">
        <v>50</v>
      </c>
      <c r="IS14" s="3">
        <v>50</v>
      </c>
      <c r="IT14" s="3">
        <v>50</v>
      </c>
      <c r="IU14" s="3">
        <v>50</v>
      </c>
      <c r="IV14" s="3">
        <v>50</v>
      </c>
      <c r="IW14" s="3">
        <v>50</v>
      </c>
      <c r="IX14" s="3">
        <v>50</v>
      </c>
      <c r="IY14" s="3">
        <v>50</v>
      </c>
      <c r="IZ14" s="3">
        <v>50</v>
      </c>
      <c r="JA14" s="3">
        <v>50</v>
      </c>
      <c r="JB14" s="3">
        <v>50</v>
      </c>
      <c r="JC14" s="3">
        <v>50</v>
      </c>
      <c r="JD14" s="3">
        <v>50</v>
      </c>
      <c r="JE14" s="3">
        <v>50</v>
      </c>
      <c r="JF14" s="3">
        <v>50</v>
      </c>
      <c r="JG14" s="3">
        <v>50</v>
      </c>
      <c r="JH14" s="3">
        <v>50</v>
      </c>
      <c r="JI14" s="3">
        <v>50</v>
      </c>
      <c r="JJ14" s="3">
        <v>50</v>
      </c>
      <c r="JK14" s="3">
        <v>50</v>
      </c>
      <c r="JL14" s="3">
        <v>50</v>
      </c>
      <c r="JM14" s="3">
        <v>50</v>
      </c>
      <c r="JN14" s="3">
        <v>50</v>
      </c>
      <c r="JO14" s="3">
        <v>50</v>
      </c>
      <c r="JP14" s="3">
        <v>50</v>
      </c>
      <c r="JQ14" s="3">
        <v>50</v>
      </c>
      <c r="JR14" s="3">
        <v>50</v>
      </c>
      <c r="JS14" s="3">
        <v>50</v>
      </c>
      <c r="JT14" s="3">
        <v>50</v>
      </c>
      <c r="JU14" s="3">
        <v>50</v>
      </c>
      <c r="JV14" s="3">
        <v>50</v>
      </c>
      <c r="JW14" s="3">
        <v>50</v>
      </c>
      <c r="JX14" s="3">
        <v>50</v>
      </c>
      <c r="JY14" s="3">
        <v>50</v>
      </c>
      <c r="JZ14" s="3">
        <v>50</v>
      </c>
      <c r="KA14" s="3">
        <v>50</v>
      </c>
      <c r="KB14" s="3">
        <v>50</v>
      </c>
      <c r="KC14" s="3">
        <v>50</v>
      </c>
      <c r="KD14" s="3">
        <v>50</v>
      </c>
      <c r="KE14" s="3">
        <v>50</v>
      </c>
      <c r="KF14" s="3">
        <v>50</v>
      </c>
      <c r="KG14" s="3">
        <v>50</v>
      </c>
      <c r="KH14" s="3">
        <v>50</v>
      </c>
      <c r="KI14" s="3">
        <v>50</v>
      </c>
      <c r="KJ14" s="3">
        <v>50</v>
      </c>
      <c r="KK14" s="3">
        <v>50</v>
      </c>
      <c r="KL14" s="3">
        <v>50</v>
      </c>
      <c r="KM14" s="3">
        <v>50</v>
      </c>
      <c r="KN14" s="3">
        <v>50</v>
      </c>
      <c r="KO14" s="3">
        <v>50</v>
      </c>
      <c r="KP14" s="3">
        <v>50</v>
      </c>
      <c r="KQ14" s="3">
        <v>50</v>
      </c>
      <c r="KR14" s="3">
        <v>50</v>
      </c>
      <c r="KS14" s="3">
        <v>50</v>
      </c>
      <c r="KT14" s="3">
        <v>50</v>
      </c>
      <c r="KU14" s="3">
        <v>50</v>
      </c>
      <c r="KV14" s="3">
        <v>50</v>
      </c>
      <c r="KW14" s="3">
        <v>50</v>
      </c>
      <c r="KX14" s="3">
        <v>50</v>
      </c>
      <c r="KY14" s="3">
        <v>50</v>
      </c>
      <c r="KZ14" s="3">
        <v>50</v>
      </c>
      <c r="LA14" s="3">
        <v>50</v>
      </c>
      <c r="LB14" s="3">
        <v>50</v>
      </c>
      <c r="LC14" s="3">
        <v>50</v>
      </c>
      <c r="LD14" s="3">
        <v>50</v>
      </c>
      <c r="LE14" s="3">
        <v>50</v>
      </c>
      <c r="LF14" s="3">
        <v>50</v>
      </c>
      <c r="LG14" s="3">
        <v>50</v>
      </c>
      <c r="LH14" s="3">
        <v>50</v>
      </c>
      <c r="LI14" s="3">
        <v>50</v>
      </c>
      <c r="LJ14" s="3">
        <v>50</v>
      </c>
      <c r="LK14" s="3">
        <v>50</v>
      </c>
      <c r="LL14" s="3">
        <v>50</v>
      </c>
      <c r="LM14" s="3">
        <v>50</v>
      </c>
      <c r="LN14" s="3">
        <v>50</v>
      </c>
      <c r="LO14" s="3">
        <v>50</v>
      </c>
      <c r="LP14" s="3">
        <v>50</v>
      </c>
      <c r="LQ14" s="3">
        <v>50</v>
      </c>
      <c r="LR14" s="3">
        <v>50</v>
      </c>
      <c r="LS14" s="3">
        <v>50</v>
      </c>
      <c r="LT14" s="3">
        <v>50</v>
      </c>
      <c r="LU14" s="3">
        <v>50</v>
      </c>
      <c r="LV14" s="3">
        <v>50</v>
      </c>
      <c r="LW14" s="3">
        <v>50</v>
      </c>
      <c r="LX14" s="3">
        <v>50</v>
      </c>
      <c r="LY14" s="3">
        <v>50</v>
      </c>
      <c r="LZ14" s="3">
        <v>50</v>
      </c>
      <c r="MA14" s="3">
        <v>50</v>
      </c>
      <c r="MB14" s="3">
        <v>50</v>
      </c>
      <c r="MC14" s="3">
        <v>50</v>
      </c>
      <c r="MD14" s="3">
        <v>50</v>
      </c>
      <c r="ME14" s="3">
        <v>50</v>
      </c>
      <c r="MF14" s="3">
        <v>50</v>
      </c>
      <c r="MG14" s="3">
        <v>50</v>
      </c>
      <c r="MH14" s="3">
        <v>50</v>
      </c>
      <c r="MI14" s="3">
        <v>50</v>
      </c>
      <c r="MJ14" s="3">
        <v>50</v>
      </c>
      <c r="MK14" s="3">
        <v>50</v>
      </c>
      <c r="ML14" s="3">
        <v>50</v>
      </c>
      <c r="MM14" s="3"/>
      <c r="MN14" s="3"/>
    </row>
    <row r="15" spans="1:353" ht="23.25" customHeight="1" x14ac:dyDescent="0.25">
      <c r="A15" s="6" t="s">
        <v>1</v>
      </c>
      <c r="B15" s="7" t="s">
        <v>23</v>
      </c>
      <c r="C15" s="14">
        <v>235</v>
      </c>
      <c r="D15" s="14">
        <v>235</v>
      </c>
      <c r="E15" s="14">
        <v>235</v>
      </c>
      <c r="F15" s="14">
        <v>235</v>
      </c>
      <c r="G15" s="14">
        <v>235</v>
      </c>
      <c r="H15" s="14">
        <v>235</v>
      </c>
      <c r="I15" s="14">
        <v>235</v>
      </c>
      <c r="J15" s="14">
        <v>235</v>
      </c>
      <c r="K15" s="14">
        <v>235</v>
      </c>
      <c r="L15" s="14">
        <v>235</v>
      </c>
      <c r="M15" s="14">
        <v>235</v>
      </c>
      <c r="N15" s="14">
        <v>235</v>
      </c>
      <c r="O15" s="14">
        <v>235</v>
      </c>
      <c r="P15" s="14">
        <v>235</v>
      </c>
      <c r="Q15" s="14">
        <v>235</v>
      </c>
      <c r="R15" s="14">
        <v>235</v>
      </c>
      <c r="S15" s="14">
        <v>235</v>
      </c>
      <c r="T15" s="14">
        <v>235</v>
      </c>
      <c r="U15" s="14">
        <v>235</v>
      </c>
      <c r="V15" s="14">
        <v>235</v>
      </c>
      <c r="W15" s="14">
        <v>235</v>
      </c>
      <c r="X15" s="14">
        <v>235</v>
      </c>
      <c r="Y15" s="14">
        <v>235</v>
      </c>
      <c r="Z15" s="14">
        <v>235</v>
      </c>
      <c r="AA15" s="14">
        <v>235</v>
      </c>
      <c r="AB15" s="14">
        <v>235</v>
      </c>
      <c r="AC15" s="14">
        <v>235</v>
      </c>
      <c r="AD15" s="14">
        <v>235</v>
      </c>
      <c r="AE15" s="14">
        <v>235</v>
      </c>
      <c r="AF15" s="14">
        <v>235</v>
      </c>
      <c r="AG15" s="14">
        <v>235</v>
      </c>
      <c r="AH15" s="14">
        <v>235</v>
      </c>
      <c r="AI15" s="14">
        <v>235</v>
      </c>
      <c r="AJ15" s="14">
        <v>235</v>
      </c>
      <c r="AK15" s="14">
        <v>235</v>
      </c>
      <c r="AL15" s="14">
        <v>235</v>
      </c>
      <c r="AM15" s="14">
        <v>235</v>
      </c>
      <c r="AN15" s="14">
        <v>235</v>
      </c>
      <c r="AO15" s="14">
        <v>235</v>
      </c>
      <c r="AP15" s="14">
        <v>235</v>
      </c>
      <c r="AQ15" s="14">
        <v>235</v>
      </c>
      <c r="AR15" s="14">
        <v>235</v>
      </c>
      <c r="AS15" s="14">
        <v>235</v>
      </c>
      <c r="AT15" s="14">
        <v>235</v>
      </c>
      <c r="AU15" s="14">
        <v>235</v>
      </c>
      <c r="AV15" s="14">
        <v>235</v>
      </c>
      <c r="AW15" s="14">
        <v>235</v>
      </c>
      <c r="AX15" s="14">
        <v>235</v>
      </c>
      <c r="AY15" s="14">
        <v>235</v>
      </c>
      <c r="AZ15" s="14">
        <v>235</v>
      </c>
      <c r="BA15" s="14">
        <v>235</v>
      </c>
      <c r="BB15" s="14">
        <v>235</v>
      </c>
      <c r="BC15" s="14">
        <v>235</v>
      </c>
      <c r="BD15" s="14">
        <v>235</v>
      </c>
      <c r="BE15" s="14">
        <v>235</v>
      </c>
      <c r="BF15" s="14">
        <v>235</v>
      </c>
      <c r="BG15" s="14">
        <v>235</v>
      </c>
      <c r="BH15" s="14">
        <v>235</v>
      </c>
      <c r="BI15" s="14">
        <v>235</v>
      </c>
      <c r="BJ15" s="14">
        <v>235</v>
      </c>
      <c r="BK15" s="14">
        <v>235</v>
      </c>
      <c r="BL15" s="14">
        <v>235</v>
      </c>
      <c r="BM15" s="14">
        <v>235</v>
      </c>
      <c r="BN15" s="14">
        <v>235</v>
      </c>
      <c r="BO15" s="14">
        <v>235</v>
      </c>
      <c r="BP15" s="14">
        <v>235</v>
      </c>
      <c r="BQ15" s="14">
        <v>235</v>
      </c>
      <c r="BR15" s="14">
        <v>235</v>
      </c>
      <c r="BS15" s="14">
        <v>235</v>
      </c>
      <c r="BT15" s="14">
        <v>235</v>
      </c>
      <c r="BU15" s="14">
        <v>235</v>
      </c>
      <c r="BV15" s="14">
        <v>235</v>
      </c>
      <c r="BW15" s="37">
        <v>235</v>
      </c>
      <c r="BX15" s="14">
        <v>235</v>
      </c>
      <c r="BY15" s="14">
        <v>235</v>
      </c>
      <c r="BZ15" s="14">
        <v>235</v>
      </c>
      <c r="CA15" s="14">
        <v>235</v>
      </c>
      <c r="CB15" s="14">
        <v>235</v>
      </c>
      <c r="CC15" s="14">
        <v>235</v>
      </c>
      <c r="CD15" s="14">
        <v>235</v>
      </c>
      <c r="CE15" s="14">
        <v>235</v>
      </c>
      <c r="CF15" s="51">
        <v>235</v>
      </c>
      <c r="CG15" s="51">
        <v>235</v>
      </c>
      <c r="CH15" s="51">
        <v>235</v>
      </c>
      <c r="CI15" s="51">
        <v>235</v>
      </c>
      <c r="CJ15" s="51">
        <v>235</v>
      </c>
      <c r="CK15" s="51">
        <v>235</v>
      </c>
      <c r="CL15" s="51">
        <v>235</v>
      </c>
      <c r="CM15" s="51">
        <v>235</v>
      </c>
      <c r="CN15" s="51">
        <v>235</v>
      </c>
      <c r="CO15" s="51">
        <v>235</v>
      </c>
      <c r="CP15" s="51">
        <v>235</v>
      </c>
      <c r="CQ15" s="51">
        <v>235</v>
      </c>
      <c r="CR15" s="51">
        <v>235</v>
      </c>
      <c r="CS15" s="51">
        <v>235</v>
      </c>
      <c r="CT15" s="51">
        <v>235</v>
      </c>
      <c r="CU15" s="51">
        <v>235</v>
      </c>
      <c r="CV15" s="51">
        <v>235</v>
      </c>
      <c r="CW15" s="51">
        <v>235</v>
      </c>
      <c r="CX15" s="51">
        <v>235</v>
      </c>
      <c r="CY15" s="51">
        <v>235</v>
      </c>
      <c r="CZ15" s="51">
        <v>235</v>
      </c>
      <c r="DA15" s="51">
        <v>235</v>
      </c>
      <c r="DB15" s="51">
        <v>235</v>
      </c>
      <c r="DC15" s="51">
        <v>235</v>
      </c>
      <c r="DD15" s="51">
        <v>235</v>
      </c>
      <c r="DE15" s="51">
        <v>235</v>
      </c>
      <c r="DF15" s="51">
        <v>235</v>
      </c>
      <c r="DG15" s="51">
        <v>235</v>
      </c>
      <c r="DH15" s="51">
        <v>235</v>
      </c>
      <c r="DI15" s="51">
        <v>235</v>
      </c>
      <c r="DJ15" s="51">
        <v>235</v>
      </c>
      <c r="DK15" s="51">
        <v>235</v>
      </c>
      <c r="DL15" s="51">
        <v>235</v>
      </c>
      <c r="DM15" s="51">
        <v>235</v>
      </c>
      <c r="DN15" s="51">
        <v>235</v>
      </c>
      <c r="DO15" s="51">
        <v>235</v>
      </c>
      <c r="DP15" s="51">
        <v>235</v>
      </c>
      <c r="DQ15" s="51">
        <v>235</v>
      </c>
      <c r="DR15" s="51">
        <v>235</v>
      </c>
      <c r="DS15" s="51">
        <v>235</v>
      </c>
      <c r="DT15" s="51">
        <v>235</v>
      </c>
      <c r="DU15" s="51">
        <v>235</v>
      </c>
      <c r="DV15" s="51">
        <v>235</v>
      </c>
      <c r="DW15" s="51">
        <v>235</v>
      </c>
      <c r="DX15" s="51">
        <v>235</v>
      </c>
      <c r="DY15" s="51">
        <v>235</v>
      </c>
      <c r="DZ15" s="51">
        <v>235</v>
      </c>
      <c r="EA15" s="51">
        <v>235</v>
      </c>
      <c r="EB15" s="51">
        <v>235</v>
      </c>
      <c r="EC15" s="51">
        <v>235</v>
      </c>
      <c r="ED15" s="51">
        <v>235</v>
      </c>
      <c r="EE15" s="51">
        <v>235</v>
      </c>
      <c r="EF15" s="51">
        <v>235</v>
      </c>
      <c r="EG15" s="51">
        <v>235</v>
      </c>
      <c r="EH15" s="51">
        <v>235</v>
      </c>
      <c r="EI15" s="51">
        <v>235</v>
      </c>
      <c r="EJ15" s="51">
        <v>235</v>
      </c>
      <c r="EK15" s="51">
        <v>235</v>
      </c>
      <c r="EL15" s="51">
        <v>235</v>
      </c>
      <c r="EM15" s="51">
        <v>235</v>
      </c>
      <c r="EN15" s="51">
        <v>235</v>
      </c>
      <c r="EO15" s="51">
        <v>235</v>
      </c>
      <c r="EP15" s="51">
        <v>235</v>
      </c>
      <c r="EQ15" s="51">
        <v>235</v>
      </c>
      <c r="ER15" s="51">
        <v>235</v>
      </c>
      <c r="ES15" s="51">
        <v>235</v>
      </c>
      <c r="ET15" s="51">
        <v>235</v>
      </c>
      <c r="EU15" s="51">
        <v>235</v>
      </c>
      <c r="EV15" s="51">
        <v>235</v>
      </c>
      <c r="EW15" s="51">
        <v>235</v>
      </c>
      <c r="EX15" s="51">
        <v>235</v>
      </c>
      <c r="EY15" s="51">
        <v>235</v>
      </c>
      <c r="EZ15" s="51">
        <v>235</v>
      </c>
      <c r="FA15" s="51">
        <v>235</v>
      </c>
      <c r="FB15" s="51">
        <v>235</v>
      </c>
      <c r="FC15" s="51">
        <v>235</v>
      </c>
      <c r="FD15" s="51">
        <v>235</v>
      </c>
      <c r="FE15" s="51">
        <v>235</v>
      </c>
      <c r="FF15" s="51">
        <v>235</v>
      </c>
      <c r="FG15" s="51">
        <v>235</v>
      </c>
      <c r="FH15" s="51">
        <v>235</v>
      </c>
      <c r="FI15" s="51">
        <v>235</v>
      </c>
      <c r="FJ15" s="51">
        <v>235</v>
      </c>
      <c r="FK15" s="51">
        <v>235</v>
      </c>
      <c r="FL15" s="51">
        <v>235</v>
      </c>
      <c r="FM15" s="51">
        <v>235</v>
      </c>
      <c r="FN15" s="51">
        <v>235</v>
      </c>
      <c r="FO15" s="51">
        <v>235</v>
      </c>
      <c r="FP15" s="14">
        <v>235</v>
      </c>
      <c r="FQ15" s="3">
        <v>1</v>
      </c>
      <c r="FR15" s="3">
        <v>1</v>
      </c>
      <c r="FS15" s="3">
        <v>1</v>
      </c>
      <c r="FT15" s="3">
        <v>1</v>
      </c>
      <c r="FU15" s="3">
        <v>1</v>
      </c>
      <c r="FV15" s="3">
        <v>1</v>
      </c>
      <c r="FW15" s="3">
        <v>1</v>
      </c>
      <c r="FX15" s="3">
        <v>1</v>
      </c>
      <c r="FY15" s="3">
        <v>1</v>
      </c>
      <c r="FZ15" s="3">
        <v>1</v>
      </c>
      <c r="GA15" s="3">
        <v>1</v>
      </c>
      <c r="GB15" s="3">
        <v>1</v>
      </c>
      <c r="GC15" s="3">
        <v>1</v>
      </c>
      <c r="GD15" s="3">
        <v>1</v>
      </c>
      <c r="GE15" s="3">
        <v>1</v>
      </c>
      <c r="GF15" s="3">
        <v>1</v>
      </c>
      <c r="GG15" s="3">
        <v>1</v>
      </c>
      <c r="GH15" s="3">
        <v>1</v>
      </c>
      <c r="GI15" s="3">
        <v>1</v>
      </c>
      <c r="GJ15" s="3">
        <v>1</v>
      </c>
      <c r="GK15" s="3">
        <v>1</v>
      </c>
      <c r="GL15" s="3">
        <v>1</v>
      </c>
      <c r="GM15" s="3">
        <v>1</v>
      </c>
      <c r="GN15" s="3">
        <v>1</v>
      </c>
      <c r="GO15" s="3">
        <v>1</v>
      </c>
      <c r="GP15" s="3">
        <v>1</v>
      </c>
      <c r="GQ15" s="3">
        <v>1</v>
      </c>
      <c r="GR15" s="3">
        <v>1</v>
      </c>
      <c r="GS15" s="3">
        <v>1</v>
      </c>
      <c r="GT15" s="3">
        <v>1</v>
      </c>
      <c r="GU15" s="3">
        <v>1</v>
      </c>
      <c r="GV15" s="3">
        <v>1</v>
      </c>
      <c r="GW15" s="3">
        <v>1</v>
      </c>
      <c r="GX15" s="3">
        <v>1</v>
      </c>
      <c r="GY15" s="3">
        <v>1</v>
      </c>
      <c r="GZ15" s="3">
        <v>1</v>
      </c>
      <c r="HA15" s="3">
        <v>1</v>
      </c>
      <c r="HB15" s="3">
        <v>1</v>
      </c>
      <c r="HC15" s="3">
        <v>1</v>
      </c>
      <c r="HD15" s="3">
        <v>1</v>
      </c>
      <c r="HE15" s="3">
        <v>1</v>
      </c>
      <c r="HF15" s="3">
        <v>1</v>
      </c>
      <c r="HG15" s="3">
        <v>1</v>
      </c>
      <c r="HH15" s="3">
        <v>1</v>
      </c>
      <c r="HI15" s="3">
        <v>1</v>
      </c>
      <c r="HJ15" s="3">
        <v>1</v>
      </c>
      <c r="HK15" s="3">
        <v>1</v>
      </c>
      <c r="HL15" s="3">
        <v>1</v>
      </c>
      <c r="HM15" s="3">
        <v>1</v>
      </c>
      <c r="HN15" s="3">
        <v>1</v>
      </c>
      <c r="HO15" s="3">
        <v>1</v>
      </c>
      <c r="HP15" s="3">
        <v>1</v>
      </c>
      <c r="HQ15" s="3">
        <v>1</v>
      </c>
      <c r="HR15" s="3">
        <v>1</v>
      </c>
      <c r="HS15" s="3">
        <v>1</v>
      </c>
      <c r="HT15" s="3">
        <v>1</v>
      </c>
      <c r="HU15" s="3">
        <v>1</v>
      </c>
      <c r="HV15" s="3">
        <v>1</v>
      </c>
      <c r="HW15" s="3">
        <v>1</v>
      </c>
      <c r="HX15" s="3">
        <v>1</v>
      </c>
      <c r="HY15" s="3">
        <v>1</v>
      </c>
      <c r="HZ15" s="3">
        <v>1</v>
      </c>
      <c r="IA15" s="3">
        <v>1</v>
      </c>
      <c r="IB15" s="3">
        <v>1</v>
      </c>
      <c r="IC15" s="3">
        <v>1</v>
      </c>
      <c r="ID15" s="3">
        <v>1</v>
      </c>
      <c r="IE15" s="3">
        <v>1</v>
      </c>
      <c r="IF15" s="3">
        <v>1</v>
      </c>
      <c r="IG15" s="3">
        <v>1</v>
      </c>
      <c r="IH15" s="3">
        <v>1</v>
      </c>
      <c r="II15" s="3">
        <v>560</v>
      </c>
      <c r="IJ15" s="3">
        <v>560</v>
      </c>
      <c r="IK15" s="3">
        <v>560</v>
      </c>
      <c r="IL15" s="3">
        <v>560</v>
      </c>
      <c r="IM15" s="35">
        <v>560</v>
      </c>
      <c r="IN15" s="35">
        <v>560</v>
      </c>
      <c r="IO15" s="35">
        <v>560</v>
      </c>
      <c r="IP15" s="3">
        <v>560</v>
      </c>
      <c r="IQ15" s="3">
        <v>560</v>
      </c>
      <c r="IR15" s="3">
        <v>560</v>
      </c>
      <c r="IS15" s="3">
        <v>560</v>
      </c>
      <c r="IT15" s="3">
        <v>560</v>
      </c>
      <c r="IU15" s="3">
        <v>560</v>
      </c>
      <c r="IV15" s="3">
        <v>560</v>
      </c>
      <c r="IW15" s="3">
        <v>560</v>
      </c>
      <c r="IX15" s="3">
        <v>560</v>
      </c>
      <c r="IY15" s="3">
        <v>560</v>
      </c>
      <c r="IZ15" s="3">
        <v>560</v>
      </c>
      <c r="JA15" s="3">
        <v>560</v>
      </c>
      <c r="JB15" s="3">
        <v>560</v>
      </c>
      <c r="JC15" s="3">
        <v>560</v>
      </c>
      <c r="JD15" s="3">
        <v>560</v>
      </c>
      <c r="JE15" s="3">
        <v>560</v>
      </c>
      <c r="JF15" s="3">
        <v>560</v>
      </c>
      <c r="JG15" s="3">
        <v>560</v>
      </c>
      <c r="JH15" s="3">
        <v>560</v>
      </c>
      <c r="JI15" s="3">
        <v>560</v>
      </c>
      <c r="JJ15" s="3">
        <v>560</v>
      </c>
      <c r="JK15" s="3">
        <v>560</v>
      </c>
      <c r="JL15" s="3">
        <v>560</v>
      </c>
      <c r="JM15" s="3">
        <v>560</v>
      </c>
      <c r="JN15" s="3">
        <v>560</v>
      </c>
      <c r="JO15" s="3">
        <v>560</v>
      </c>
      <c r="JP15" s="3">
        <v>560</v>
      </c>
      <c r="JQ15" s="3">
        <v>560</v>
      </c>
      <c r="JR15" s="3">
        <v>560</v>
      </c>
      <c r="JS15" s="3">
        <v>560</v>
      </c>
      <c r="JT15" s="3">
        <v>560</v>
      </c>
      <c r="JU15" s="3">
        <v>560</v>
      </c>
      <c r="JV15" s="3">
        <v>560</v>
      </c>
      <c r="JW15" s="3">
        <v>560</v>
      </c>
      <c r="JX15" s="3">
        <v>560</v>
      </c>
      <c r="JY15" s="3">
        <v>560</v>
      </c>
      <c r="JZ15" s="3">
        <v>560</v>
      </c>
      <c r="KA15" s="3">
        <v>560</v>
      </c>
      <c r="KB15" s="3">
        <v>560</v>
      </c>
      <c r="KC15" s="3">
        <v>560</v>
      </c>
      <c r="KD15" s="3">
        <v>560</v>
      </c>
      <c r="KE15" s="3">
        <v>560</v>
      </c>
      <c r="KF15" s="3">
        <v>560</v>
      </c>
      <c r="KG15" s="3">
        <v>560</v>
      </c>
      <c r="KH15" s="3">
        <v>560</v>
      </c>
      <c r="KI15" s="3">
        <v>560</v>
      </c>
      <c r="KJ15" s="3">
        <v>560</v>
      </c>
      <c r="KK15" s="3">
        <v>560</v>
      </c>
      <c r="KL15" s="3">
        <v>560</v>
      </c>
      <c r="KM15" s="3">
        <v>560</v>
      </c>
      <c r="KN15" s="3">
        <v>560</v>
      </c>
      <c r="KO15" s="3">
        <v>560</v>
      </c>
      <c r="KP15" s="3">
        <v>560</v>
      </c>
      <c r="KQ15" s="3">
        <v>560</v>
      </c>
      <c r="KR15" s="3">
        <v>560</v>
      </c>
      <c r="KS15" s="3">
        <v>560</v>
      </c>
      <c r="KT15" s="3">
        <v>560</v>
      </c>
      <c r="KU15" s="3">
        <v>560</v>
      </c>
      <c r="KV15" s="3">
        <v>560</v>
      </c>
      <c r="KW15" s="3">
        <v>560</v>
      </c>
      <c r="KX15" s="3">
        <v>560</v>
      </c>
      <c r="KY15" s="3">
        <v>560</v>
      </c>
      <c r="KZ15" s="3">
        <v>560</v>
      </c>
      <c r="LA15" s="3">
        <v>560</v>
      </c>
      <c r="LB15" s="3">
        <v>560</v>
      </c>
      <c r="LC15" s="3">
        <v>560</v>
      </c>
      <c r="LD15" s="3">
        <v>560</v>
      </c>
      <c r="LE15" s="3">
        <v>560</v>
      </c>
      <c r="LF15" s="3">
        <v>560</v>
      </c>
      <c r="LG15" s="3">
        <v>560</v>
      </c>
      <c r="LH15" s="3">
        <v>560</v>
      </c>
      <c r="LI15" s="3">
        <v>560</v>
      </c>
      <c r="LJ15" s="3">
        <v>560</v>
      </c>
      <c r="LK15" s="3">
        <v>560</v>
      </c>
      <c r="LL15" s="3">
        <v>560</v>
      </c>
      <c r="LM15" s="3">
        <v>560</v>
      </c>
      <c r="LN15" s="3">
        <v>560</v>
      </c>
      <c r="LO15" s="3">
        <v>560</v>
      </c>
      <c r="LP15" s="3">
        <v>560</v>
      </c>
      <c r="LQ15" s="3">
        <v>560</v>
      </c>
      <c r="LR15" s="3">
        <v>560</v>
      </c>
      <c r="LS15" s="3">
        <v>560</v>
      </c>
      <c r="LT15" s="3">
        <v>560</v>
      </c>
      <c r="LU15" s="3">
        <v>560</v>
      </c>
      <c r="LV15" s="3">
        <v>560</v>
      </c>
      <c r="LW15" s="3">
        <v>560</v>
      </c>
      <c r="LX15" s="3">
        <v>560</v>
      </c>
      <c r="LY15" s="3">
        <v>560</v>
      </c>
      <c r="LZ15" s="3">
        <v>560</v>
      </c>
      <c r="MA15" s="3">
        <v>560</v>
      </c>
      <c r="MB15" s="3">
        <v>560</v>
      </c>
      <c r="MC15" s="3">
        <v>560</v>
      </c>
      <c r="MD15" s="3">
        <v>560</v>
      </c>
      <c r="ME15" s="3">
        <v>560</v>
      </c>
      <c r="MF15" s="3">
        <v>560</v>
      </c>
      <c r="MG15" s="3">
        <v>560</v>
      </c>
      <c r="MH15" s="3">
        <v>560</v>
      </c>
      <c r="MI15" s="3">
        <v>560</v>
      </c>
      <c r="MJ15" s="3">
        <v>560</v>
      </c>
      <c r="MK15" s="3">
        <v>560</v>
      </c>
      <c r="ML15" s="3">
        <v>560</v>
      </c>
      <c r="MM15" s="3"/>
      <c r="MN15" s="3"/>
    </row>
    <row r="16" spans="1:353" s="1" customFormat="1" ht="23.25" customHeight="1" x14ac:dyDescent="0.25">
      <c r="A16" s="34" t="s">
        <v>2</v>
      </c>
      <c r="B16" s="34" t="s">
        <v>24</v>
      </c>
      <c r="C16" s="34" t="s">
        <v>82</v>
      </c>
      <c r="D16" s="34" t="s">
        <v>82</v>
      </c>
      <c r="E16" s="34" t="s">
        <v>82</v>
      </c>
      <c r="F16" s="34" t="s">
        <v>82</v>
      </c>
      <c r="G16" s="34" t="s">
        <v>82</v>
      </c>
      <c r="H16" s="34" t="s">
        <v>82</v>
      </c>
      <c r="I16" s="34" t="s">
        <v>82</v>
      </c>
      <c r="J16" s="34" t="s">
        <v>82</v>
      </c>
      <c r="K16" s="34" t="s">
        <v>83</v>
      </c>
      <c r="L16" s="34" t="s">
        <v>84</v>
      </c>
      <c r="M16" s="34" t="s">
        <v>84</v>
      </c>
      <c r="N16" s="34" t="s">
        <v>84</v>
      </c>
      <c r="O16" s="34" t="s">
        <v>82</v>
      </c>
      <c r="P16" s="34" t="s">
        <v>82</v>
      </c>
      <c r="Q16" s="34" t="s">
        <v>82</v>
      </c>
      <c r="R16" s="34" t="s">
        <v>82</v>
      </c>
      <c r="S16" s="34" t="s">
        <v>82</v>
      </c>
      <c r="T16" s="34" t="s">
        <v>82</v>
      </c>
      <c r="U16" s="34" t="s">
        <v>82</v>
      </c>
      <c r="V16" s="34" t="s">
        <v>82</v>
      </c>
      <c r="W16" s="34" t="s">
        <v>82</v>
      </c>
      <c r="X16" s="34" t="s">
        <v>82</v>
      </c>
      <c r="Y16" s="34" t="s">
        <v>82</v>
      </c>
      <c r="Z16" s="34" t="s">
        <v>82</v>
      </c>
      <c r="AA16" s="34" t="s">
        <v>82</v>
      </c>
      <c r="AB16" s="34" t="s">
        <v>82</v>
      </c>
      <c r="AC16" s="34" t="s">
        <v>82</v>
      </c>
      <c r="AD16" s="34" t="s">
        <v>82</v>
      </c>
      <c r="AE16" s="34" t="s">
        <v>82</v>
      </c>
      <c r="AF16" s="34" t="s">
        <v>82</v>
      </c>
      <c r="AG16" s="34" t="s">
        <v>82</v>
      </c>
      <c r="AH16" s="34" t="s">
        <v>82</v>
      </c>
      <c r="AI16" s="34" t="s">
        <v>82</v>
      </c>
      <c r="AJ16" s="34" t="s">
        <v>82</v>
      </c>
      <c r="AK16" s="34" t="s">
        <v>82</v>
      </c>
      <c r="AL16" s="34" t="s">
        <v>82</v>
      </c>
      <c r="AM16" s="34" t="s">
        <v>82</v>
      </c>
      <c r="AN16" s="34" t="s">
        <v>82</v>
      </c>
      <c r="AO16" s="34" t="s">
        <v>82</v>
      </c>
      <c r="AP16" s="34" t="s">
        <v>82</v>
      </c>
      <c r="AQ16" s="34" t="s">
        <v>82</v>
      </c>
      <c r="AR16" s="34" t="s">
        <v>82</v>
      </c>
      <c r="AS16" s="34" t="s">
        <v>83</v>
      </c>
      <c r="AT16" s="34" t="s">
        <v>83</v>
      </c>
      <c r="AU16" s="34" t="s">
        <v>83</v>
      </c>
      <c r="AV16" s="34" t="s">
        <v>82</v>
      </c>
      <c r="AW16" s="34" t="s">
        <v>82</v>
      </c>
      <c r="AX16" s="34" t="s">
        <v>82</v>
      </c>
      <c r="AY16" s="34" t="s">
        <v>82</v>
      </c>
      <c r="AZ16" s="34" t="s">
        <v>82</v>
      </c>
      <c r="BA16" s="34" t="s">
        <v>82</v>
      </c>
      <c r="BB16" s="34" t="s">
        <v>82</v>
      </c>
      <c r="BC16" s="34" t="s">
        <v>82</v>
      </c>
      <c r="BD16" s="34" t="s">
        <v>82</v>
      </c>
      <c r="BE16" s="34" t="s">
        <v>82</v>
      </c>
      <c r="BF16" s="34" t="s">
        <v>82</v>
      </c>
      <c r="BG16" s="34" t="s">
        <v>82</v>
      </c>
      <c r="BH16" s="34" t="s">
        <v>82</v>
      </c>
      <c r="BI16" s="34" t="s">
        <v>82</v>
      </c>
      <c r="BJ16" s="34" t="s">
        <v>82</v>
      </c>
      <c r="BK16" s="34" t="s">
        <v>82</v>
      </c>
      <c r="BL16" s="34" t="s">
        <v>82</v>
      </c>
      <c r="BM16" s="34" t="s">
        <v>82</v>
      </c>
      <c r="BN16" s="34" t="s">
        <v>82</v>
      </c>
      <c r="BO16" s="34" t="s">
        <v>82</v>
      </c>
      <c r="BP16" s="34" t="s">
        <v>82</v>
      </c>
      <c r="BQ16" s="17" t="s">
        <v>83</v>
      </c>
      <c r="BR16" s="17" t="s">
        <v>83</v>
      </c>
      <c r="BS16" s="17" t="s">
        <v>83</v>
      </c>
      <c r="BT16" s="17" t="s">
        <v>82</v>
      </c>
      <c r="BU16" s="17" t="s">
        <v>82</v>
      </c>
      <c r="BV16" s="34" t="s">
        <v>82</v>
      </c>
      <c r="BW16" s="34" t="s">
        <v>82</v>
      </c>
      <c r="BX16" s="34" t="s">
        <v>82</v>
      </c>
      <c r="BY16" s="34" t="s">
        <v>82</v>
      </c>
      <c r="BZ16" s="34" t="s">
        <v>82</v>
      </c>
      <c r="CA16" s="34" t="s">
        <v>82</v>
      </c>
      <c r="CB16" s="34" t="s">
        <v>82</v>
      </c>
      <c r="CC16" s="34" t="s">
        <v>82</v>
      </c>
      <c r="CD16" s="34" t="s">
        <v>82</v>
      </c>
      <c r="CE16" s="34" t="s">
        <v>82</v>
      </c>
      <c r="CF16" s="57" t="s">
        <v>83</v>
      </c>
      <c r="CG16" s="57" t="s">
        <v>83</v>
      </c>
      <c r="CH16" s="57" t="s">
        <v>83</v>
      </c>
      <c r="CI16" s="56" t="s">
        <v>82</v>
      </c>
      <c r="CJ16" s="56" t="s">
        <v>82</v>
      </c>
      <c r="CK16" s="56" t="s">
        <v>82</v>
      </c>
      <c r="CL16" s="56" t="s">
        <v>82</v>
      </c>
      <c r="CM16" s="56" t="s">
        <v>82</v>
      </c>
      <c r="CN16" s="57" t="s">
        <v>83</v>
      </c>
      <c r="CO16" s="57" t="s">
        <v>83</v>
      </c>
      <c r="CP16" s="57" t="s">
        <v>83</v>
      </c>
      <c r="CQ16" s="56" t="s">
        <v>125</v>
      </c>
      <c r="CR16" s="56" t="s">
        <v>125</v>
      </c>
      <c r="CS16" s="56" t="s">
        <v>82</v>
      </c>
      <c r="CT16" s="56" t="s">
        <v>82</v>
      </c>
      <c r="CU16" s="56" t="s">
        <v>82</v>
      </c>
      <c r="CV16" s="57" t="s">
        <v>83</v>
      </c>
      <c r="CW16" s="57" t="s">
        <v>83</v>
      </c>
      <c r="CX16" s="57" t="s">
        <v>83</v>
      </c>
      <c r="CY16" s="56" t="s">
        <v>82</v>
      </c>
      <c r="CZ16" s="56" t="s">
        <v>82</v>
      </c>
      <c r="DA16" s="56" t="s">
        <v>82</v>
      </c>
      <c r="DB16" s="56" t="s">
        <v>82</v>
      </c>
      <c r="DC16" s="56" t="s">
        <v>82</v>
      </c>
      <c r="DD16" s="57" t="s">
        <v>83</v>
      </c>
      <c r="DE16" s="57" t="s">
        <v>83</v>
      </c>
      <c r="DF16" s="57" t="s">
        <v>83</v>
      </c>
      <c r="DG16" s="56" t="s">
        <v>82</v>
      </c>
      <c r="DH16" s="56" t="s">
        <v>82</v>
      </c>
      <c r="DI16" s="56" t="s">
        <v>82</v>
      </c>
      <c r="DJ16" s="56" t="s">
        <v>82</v>
      </c>
      <c r="DK16" s="56" t="s">
        <v>82</v>
      </c>
      <c r="DL16" s="57" t="s">
        <v>83</v>
      </c>
      <c r="DM16" s="57" t="s">
        <v>83</v>
      </c>
      <c r="DN16" s="57" t="s">
        <v>83</v>
      </c>
      <c r="DO16" s="56" t="s">
        <v>82</v>
      </c>
      <c r="DP16" s="56" t="s">
        <v>82</v>
      </c>
      <c r="DQ16" s="56" t="s">
        <v>82</v>
      </c>
      <c r="DR16" s="56" t="s">
        <v>82</v>
      </c>
      <c r="DS16" s="56" t="s">
        <v>82</v>
      </c>
      <c r="DT16" s="57" t="s">
        <v>83</v>
      </c>
      <c r="DU16" s="57" t="s">
        <v>83</v>
      </c>
      <c r="DV16" s="57" t="s">
        <v>83</v>
      </c>
      <c r="DW16" s="56" t="s">
        <v>82</v>
      </c>
      <c r="DX16" s="56" t="s">
        <v>82</v>
      </c>
      <c r="DY16" s="56" t="s">
        <v>82</v>
      </c>
      <c r="DZ16" s="56" t="s">
        <v>82</v>
      </c>
      <c r="EA16" s="56" t="s">
        <v>82</v>
      </c>
      <c r="EB16" s="57" t="s">
        <v>83</v>
      </c>
      <c r="EC16" s="57" t="s">
        <v>83</v>
      </c>
      <c r="ED16" s="57" t="s">
        <v>83</v>
      </c>
      <c r="EE16" s="56" t="s">
        <v>82</v>
      </c>
      <c r="EF16" s="56" t="s">
        <v>82</v>
      </c>
      <c r="EG16" s="56" t="s">
        <v>82</v>
      </c>
      <c r="EH16" s="56" t="s">
        <v>82</v>
      </c>
      <c r="EI16" s="56" t="s">
        <v>82</v>
      </c>
      <c r="EJ16" s="57" t="s">
        <v>83</v>
      </c>
      <c r="EK16" s="57" t="s">
        <v>83</v>
      </c>
      <c r="EL16" s="57" t="s">
        <v>83</v>
      </c>
      <c r="EM16" s="56" t="s">
        <v>82</v>
      </c>
      <c r="EN16" s="56" t="s">
        <v>82</v>
      </c>
      <c r="EO16" s="56" t="s">
        <v>82</v>
      </c>
      <c r="EP16" s="56" t="s">
        <v>82</v>
      </c>
      <c r="EQ16" s="56" t="s">
        <v>82</v>
      </c>
      <c r="ER16" s="57" t="s">
        <v>83</v>
      </c>
      <c r="ES16" s="57" t="s">
        <v>83</v>
      </c>
      <c r="ET16" s="57" t="s">
        <v>83</v>
      </c>
      <c r="EU16" s="56" t="s">
        <v>82</v>
      </c>
      <c r="EV16" s="56" t="s">
        <v>82</v>
      </c>
      <c r="EW16" s="56" t="s">
        <v>82</v>
      </c>
      <c r="EX16" s="56" t="s">
        <v>82</v>
      </c>
      <c r="EY16" s="56" t="s">
        <v>82</v>
      </c>
      <c r="EZ16" s="57" t="s">
        <v>83</v>
      </c>
      <c r="FA16" s="57" t="s">
        <v>83</v>
      </c>
      <c r="FB16" s="57" t="s">
        <v>83</v>
      </c>
      <c r="FC16" s="56" t="s">
        <v>82</v>
      </c>
      <c r="FD16" s="56" t="s">
        <v>82</v>
      </c>
      <c r="FE16" s="56" t="s">
        <v>82</v>
      </c>
      <c r="FF16" s="56" t="s">
        <v>82</v>
      </c>
      <c r="FG16" s="56" t="s">
        <v>82</v>
      </c>
      <c r="FH16" s="57" t="s">
        <v>83</v>
      </c>
      <c r="FI16" s="57" t="s">
        <v>83</v>
      </c>
      <c r="FJ16" s="57" t="s">
        <v>83</v>
      </c>
      <c r="FK16" s="56" t="s">
        <v>82</v>
      </c>
      <c r="FL16" s="56" t="s">
        <v>82</v>
      </c>
      <c r="FM16" s="56" t="s">
        <v>82</v>
      </c>
      <c r="FN16" s="56" t="s">
        <v>82</v>
      </c>
      <c r="FO16" s="56" t="s">
        <v>82</v>
      </c>
      <c r="FP16" s="34" t="s">
        <v>82</v>
      </c>
      <c r="FQ16" s="34" t="s">
        <v>82</v>
      </c>
      <c r="FR16" s="34" t="s">
        <v>82</v>
      </c>
      <c r="FS16" s="34" t="s">
        <v>82</v>
      </c>
      <c r="FT16" s="34" t="s">
        <v>82</v>
      </c>
      <c r="FU16" s="22" t="s">
        <v>164</v>
      </c>
      <c r="FV16" s="22" t="s">
        <v>164</v>
      </c>
      <c r="FW16" s="22" t="s">
        <v>164</v>
      </c>
      <c r="FX16" s="16" t="s">
        <v>82</v>
      </c>
      <c r="FY16" s="16" t="s">
        <v>82</v>
      </c>
      <c r="FZ16" s="16" t="s">
        <v>82</v>
      </c>
      <c r="GA16" s="22" t="s">
        <v>164</v>
      </c>
      <c r="GB16" s="22" t="s">
        <v>164</v>
      </c>
      <c r="GC16" s="22" t="s">
        <v>164</v>
      </c>
      <c r="GD16" s="16" t="s">
        <v>82</v>
      </c>
      <c r="GE16" s="16" t="s">
        <v>82</v>
      </c>
      <c r="GF16" s="16" t="s">
        <v>82</v>
      </c>
      <c r="GG16" s="22" t="s">
        <v>164</v>
      </c>
      <c r="GH16" s="22" t="s">
        <v>164</v>
      </c>
      <c r="GI16" s="22" t="s">
        <v>164</v>
      </c>
      <c r="GJ16" s="16" t="s">
        <v>82</v>
      </c>
      <c r="GK16" s="16" t="s">
        <v>82</v>
      </c>
      <c r="GL16" s="16" t="s">
        <v>82</v>
      </c>
      <c r="GM16" s="22" t="s">
        <v>164</v>
      </c>
      <c r="GN16" s="22" t="s">
        <v>164</v>
      </c>
      <c r="GO16" s="22" t="s">
        <v>164</v>
      </c>
      <c r="GP16" s="16" t="s">
        <v>82</v>
      </c>
      <c r="GQ16" s="16" t="s">
        <v>82</v>
      </c>
      <c r="GR16" s="16" t="s">
        <v>82</v>
      </c>
      <c r="GS16" s="22" t="s">
        <v>164</v>
      </c>
      <c r="GT16" s="22" t="s">
        <v>164</v>
      </c>
      <c r="GU16" s="22" t="s">
        <v>164</v>
      </c>
      <c r="GV16" s="16" t="s">
        <v>82</v>
      </c>
      <c r="GW16" s="16" t="s">
        <v>82</v>
      </c>
      <c r="GX16" s="16" t="s">
        <v>82</v>
      </c>
      <c r="GY16" s="22" t="s">
        <v>164</v>
      </c>
      <c r="GZ16" s="22" t="s">
        <v>164</v>
      </c>
      <c r="HA16" s="22" t="s">
        <v>164</v>
      </c>
      <c r="HB16" s="16" t="s">
        <v>82</v>
      </c>
      <c r="HC16" s="16" t="s">
        <v>82</v>
      </c>
      <c r="HD16" s="16" t="s">
        <v>82</v>
      </c>
      <c r="HE16" s="22" t="s">
        <v>164</v>
      </c>
      <c r="HF16" s="22" t="s">
        <v>164</v>
      </c>
      <c r="HG16" s="22" t="s">
        <v>164</v>
      </c>
      <c r="HH16" s="16" t="s">
        <v>82</v>
      </c>
      <c r="HI16" s="16" t="s">
        <v>82</v>
      </c>
      <c r="HJ16" s="16" t="s">
        <v>82</v>
      </c>
      <c r="HK16" s="22" t="s">
        <v>164</v>
      </c>
      <c r="HL16" s="22" t="s">
        <v>164</v>
      </c>
      <c r="HM16" s="22" t="s">
        <v>164</v>
      </c>
      <c r="HN16" s="16" t="s">
        <v>82</v>
      </c>
      <c r="HO16" s="16" t="s">
        <v>82</v>
      </c>
      <c r="HP16" s="16" t="s">
        <v>82</v>
      </c>
      <c r="HQ16" s="22" t="s">
        <v>164</v>
      </c>
      <c r="HR16" s="22" t="s">
        <v>164</v>
      </c>
      <c r="HS16" s="22" t="s">
        <v>164</v>
      </c>
      <c r="HT16" s="16" t="s">
        <v>82</v>
      </c>
      <c r="HU16" s="16" t="s">
        <v>82</v>
      </c>
      <c r="HV16" s="16" t="s">
        <v>82</v>
      </c>
      <c r="HW16" s="22" t="s">
        <v>164</v>
      </c>
      <c r="HX16" s="22" t="s">
        <v>164</v>
      </c>
      <c r="HY16" s="22" t="s">
        <v>164</v>
      </c>
      <c r="HZ16" s="16" t="s">
        <v>82</v>
      </c>
      <c r="IA16" s="16" t="s">
        <v>82</v>
      </c>
      <c r="IB16" s="16" t="s">
        <v>82</v>
      </c>
      <c r="IC16" s="22" t="s">
        <v>164</v>
      </c>
      <c r="ID16" s="22" t="s">
        <v>164</v>
      </c>
      <c r="IE16" s="22" t="s">
        <v>164</v>
      </c>
      <c r="IF16" s="16" t="s">
        <v>82</v>
      </c>
      <c r="IG16" s="16" t="s">
        <v>82</v>
      </c>
      <c r="IH16" s="16" t="s">
        <v>82</v>
      </c>
      <c r="II16" s="34" t="s">
        <v>82</v>
      </c>
      <c r="IJ16" s="34" t="s">
        <v>82</v>
      </c>
      <c r="IK16" s="34" t="s">
        <v>82</v>
      </c>
      <c r="IL16" s="34" t="s">
        <v>82</v>
      </c>
      <c r="IM16" s="34" t="s">
        <v>82</v>
      </c>
      <c r="IN16" s="34" t="s">
        <v>82</v>
      </c>
      <c r="IO16" s="34" t="s">
        <v>82</v>
      </c>
      <c r="IP16" s="34" t="s">
        <v>82</v>
      </c>
      <c r="IQ16" s="34" t="s">
        <v>82</v>
      </c>
      <c r="IR16" s="34" t="s">
        <v>82</v>
      </c>
      <c r="IS16" s="34" t="s">
        <v>82</v>
      </c>
      <c r="IT16" s="34" t="s">
        <v>82</v>
      </c>
      <c r="IU16" s="34" t="s">
        <v>82</v>
      </c>
      <c r="IV16" s="34" t="s">
        <v>82</v>
      </c>
      <c r="IW16" s="34" t="s">
        <v>82</v>
      </c>
      <c r="IX16" s="34" t="s">
        <v>82</v>
      </c>
      <c r="IY16" s="34" t="s">
        <v>82</v>
      </c>
      <c r="IZ16" s="34" t="s">
        <v>83</v>
      </c>
      <c r="JA16" s="34" t="s">
        <v>83</v>
      </c>
      <c r="JB16" s="34" t="s">
        <v>82</v>
      </c>
      <c r="JC16" s="34" t="s">
        <v>82</v>
      </c>
      <c r="JD16" s="34" t="s">
        <v>82</v>
      </c>
      <c r="JE16" s="34" t="s">
        <v>164</v>
      </c>
      <c r="JF16" s="34" t="s">
        <v>164</v>
      </c>
      <c r="JG16" s="34" t="s">
        <v>164</v>
      </c>
      <c r="JH16" s="34" t="s">
        <v>82</v>
      </c>
      <c r="JI16" s="34" t="s">
        <v>82</v>
      </c>
      <c r="JJ16" s="34" t="s">
        <v>164</v>
      </c>
      <c r="JK16" s="34" t="s">
        <v>82</v>
      </c>
      <c r="JL16" s="34" t="s">
        <v>82</v>
      </c>
      <c r="JM16" s="34" t="s">
        <v>164</v>
      </c>
      <c r="JN16" s="34" t="s">
        <v>164</v>
      </c>
      <c r="JO16" s="34" t="s">
        <v>164</v>
      </c>
      <c r="JP16" s="34" t="s">
        <v>82</v>
      </c>
      <c r="JQ16" s="34" t="s">
        <v>82</v>
      </c>
      <c r="JR16" s="34" t="s">
        <v>164</v>
      </c>
      <c r="JS16" s="34" t="s">
        <v>82</v>
      </c>
      <c r="JT16" s="34" t="s">
        <v>82</v>
      </c>
      <c r="JU16" s="34" t="s">
        <v>164</v>
      </c>
      <c r="JV16" s="34" t="s">
        <v>164</v>
      </c>
      <c r="JW16" s="34" t="s">
        <v>164</v>
      </c>
      <c r="JX16" s="34" t="s">
        <v>82</v>
      </c>
      <c r="JY16" s="34" t="s">
        <v>82</v>
      </c>
      <c r="JZ16" s="34" t="s">
        <v>164</v>
      </c>
      <c r="KA16" s="34" t="s">
        <v>82</v>
      </c>
      <c r="KB16" s="34" t="s">
        <v>82</v>
      </c>
      <c r="KC16" s="34" t="s">
        <v>164</v>
      </c>
      <c r="KD16" s="34" t="s">
        <v>164</v>
      </c>
      <c r="KE16" s="34" t="s">
        <v>164</v>
      </c>
      <c r="KF16" s="34" t="s">
        <v>82</v>
      </c>
      <c r="KG16" s="34" t="s">
        <v>82</v>
      </c>
      <c r="KH16" s="34" t="s">
        <v>164</v>
      </c>
      <c r="KI16" s="34" t="s">
        <v>82</v>
      </c>
      <c r="KJ16" s="34" t="s">
        <v>82</v>
      </c>
      <c r="KK16" s="34" t="s">
        <v>164</v>
      </c>
      <c r="KL16" s="34" t="s">
        <v>164</v>
      </c>
      <c r="KM16" s="34" t="s">
        <v>164</v>
      </c>
      <c r="KN16" s="34" t="s">
        <v>82</v>
      </c>
      <c r="KO16" s="34" t="s">
        <v>82</v>
      </c>
      <c r="KP16" s="34" t="s">
        <v>164</v>
      </c>
      <c r="KQ16" s="34" t="s">
        <v>82</v>
      </c>
      <c r="KR16" s="34" t="s">
        <v>82</v>
      </c>
      <c r="KS16" s="34" t="s">
        <v>164</v>
      </c>
      <c r="KT16" s="34" t="s">
        <v>164</v>
      </c>
      <c r="KU16" s="34" t="s">
        <v>164</v>
      </c>
      <c r="KV16" s="34" t="s">
        <v>82</v>
      </c>
      <c r="KW16" s="34" t="s">
        <v>82</v>
      </c>
      <c r="KX16" s="34" t="s">
        <v>164</v>
      </c>
      <c r="KY16" s="34" t="s">
        <v>82</v>
      </c>
      <c r="KZ16" s="34" t="s">
        <v>82</v>
      </c>
      <c r="LA16" s="34" t="s">
        <v>164</v>
      </c>
      <c r="LB16" s="34" t="s">
        <v>164</v>
      </c>
      <c r="LC16" s="34" t="s">
        <v>164</v>
      </c>
      <c r="LD16" s="34" t="s">
        <v>82</v>
      </c>
      <c r="LE16" s="34" t="s">
        <v>82</v>
      </c>
      <c r="LF16" s="34" t="s">
        <v>164</v>
      </c>
      <c r="LG16" s="34" t="s">
        <v>82</v>
      </c>
      <c r="LH16" s="34" t="s">
        <v>82</v>
      </c>
      <c r="LI16" s="34" t="s">
        <v>164</v>
      </c>
      <c r="LJ16" s="34" t="s">
        <v>164</v>
      </c>
      <c r="LK16" s="34" t="s">
        <v>164</v>
      </c>
      <c r="LL16" s="34" t="s">
        <v>82</v>
      </c>
      <c r="LM16" s="34" t="s">
        <v>82</v>
      </c>
      <c r="LN16" s="34" t="s">
        <v>164</v>
      </c>
      <c r="LO16" s="34" t="s">
        <v>82</v>
      </c>
      <c r="LP16" s="34" t="s">
        <v>82</v>
      </c>
      <c r="LQ16" s="34" t="s">
        <v>164</v>
      </c>
      <c r="LR16" s="34" t="s">
        <v>164</v>
      </c>
      <c r="LS16" s="34" t="s">
        <v>164</v>
      </c>
      <c r="LT16" s="34" t="s">
        <v>82</v>
      </c>
      <c r="LU16" s="34" t="s">
        <v>82</v>
      </c>
      <c r="LV16" s="34" t="s">
        <v>164</v>
      </c>
      <c r="LW16" s="34" t="s">
        <v>82</v>
      </c>
      <c r="LX16" s="34" t="s">
        <v>82</v>
      </c>
      <c r="LY16" s="34" t="s">
        <v>164</v>
      </c>
      <c r="LZ16" s="34" t="s">
        <v>164</v>
      </c>
      <c r="MA16" s="34" t="s">
        <v>164</v>
      </c>
      <c r="MB16" s="34" t="s">
        <v>82</v>
      </c>
      <c r="MC16" s="34" t="s">
        <v>82</v>
      </c>
      <c r="MD16" s="22" t="s">
        <v>164</v>
      </c>
      <c r="ME16" s="34" t="s">
        <v>82</v>
      </c>
      <c r="MF16" s="34" t="s">
        <v>82</v>
      </c>
      <c r="MG16" s="22" t="s">
        <v>164</v>
      </c>
      <c r="MH16" s="22" t="s">
        <v>164</v>
      </c>
      <c r="MI16" s="22" t="s">
        <v>164</v>
      </c>
      <c r="MJ16" s="34" t="s">
        <v>82</v>
      </c>
      <c r="MK16" s="34" t="s">
        <v>82</v>
      </c>
      <c r="ML16" s="22" t="s">
        <v>164</v>
      </c>
      <c r="MM16" s="22"/>
      <c r="MN16" s="22"/>
    </row>
    <row r="17" spans="1:352" s="1" customFormat="1" ht="23.25" customHeight="1" x14ac:dyDescent="0.25">
      <c r="A17" s="34" t="s">
        <v>2</v>
      </c>
      <c r="B17" s="34" t="s">
        <v>25</v>
      </c>
      <c r="C17" s="34" t="s">
        <v>85</v>
      </c>
      <c r="D17" s="34" t="s">
        <v>85</v>
      </c>
      <c r="E17" s="34" t="s">
        <v>85</v>
      </c>
      <c r="F17" s="34" t="s">
        <v>85</v>
      </c>
      <c r="G17" s="34" t="s">
        <v>85</v>
      </c>
      <c r="H17" s="34" t="s">
        <v>85</v>
      </c>
      <c r="I17" s="34" t="s">
        <v>85</v>
      </c>
      <c r="J17" s="34" t="s">
        <v>85</v>
      </c>
      <c r="K17" s="34" t="s">
        <v>83</v>
      </c>
      <c r="L17" s="34" t="s">
        <v>85</v>
      </c>
      <c r="M17" s="34" t="s">
        <v>85</v>
      </c>
      <c r="N17" s="34" t="s">
        <v>85</v>
      </c>
      <c r="O17" s="34" t="s">
        <v>85</v>
      </c>
      <c r="P17" s="34" t="s">
        <v>85</v>
      </c>
      <c r="Q17" s="34" t="s">
        <v>85</v>
      </c>
      <c r="R17" s="34" t="s">
        <v>85</v>
      </c>
      <c r="S17" s="34" t="s">
        <v>85</v>
      </c>
      <c r="T17" s="34" t="s">
        <v>85</v>
      </c>
      <c r="U17" s="34" t="s">
        <v>85</v>
      </c>
      <c r="V17" s="34" t="s">
        <v>85</v>
      </c>
      <c r="W17" s="34" t="s">
        <v>85</v>
      </c>
      <c r="X17" s="34" t="s">
        <v>85</v>
      </c>
      <c r="Y17" s="34" t="s">
        <v>85</v>
      </c>
      <c r="Z17" s="34" t="s">
        <v>85</v>
      </c>
      <c r="AA17" s="34" t="s">
        <v>85</v>
      </c>
      <c r="AB17" s="34" t="s">
        <v>85</v>
      </c>
      <c r="AC17" s="34" t="s">
        <v>85</v>
      </c>
      <c r="AD17" s="34" t="s">
        <v>85</v>
      </c>
      <c r="AE17" s="34" t="s">
        <v>85</v>
      </c>
      <c r="AF17" s="34" t="s">
        <v>85</v>
      </c>
      <c r="AG17" s="34" t="s">
        <v>85</v>
      </c>
      <c r="AH17" s="34" t="s">
        <v>85</v>
      </c>
      <c r="AI17" s="34" t="s">
        <v>85</v>
      </c>
      <c r="AJ17" s="34" t="s">
        <v>85</v>
      </c>
      <c r="AK17" s="34" t="s">
        <v>85</v>
      </c>
      <c r="AL17" s="34" t="s">
        <v>85</v>
      </c>
      <c r="AM17" s="34" t="s">
        <v>85</v>
      </c>
      <c r="AN17" s="34" t="s">
        <v>85</v>
      </c>
      <c r="AO17" s="34" t="s">
        <v>85</v>
      </c>
      <c r="AP17" s="34" t="s">
        <v>85</v>
      </c>
      <c r="AQ17" s="34" t="s">
        <v>85</v>
      </c>
      <c r="AR17" s="34" t="s">
        <v>85</v>
      </c>
      <c r="AS17" s="34" t="s">
        <v>83</v>
      </c>
      <c r="AT17" s="34" t="s">
        <v>83</v>
      </c>
      <c r="AU17" s="34" t="s">
        <v>83</v>
      </c>
      <c r="AV17" s="34" t="s">
        <v>85</v>
      </c>
      <c r="AW17" s="34" t="s">
        <v>85</v>
      </c>
      <c r="AX17" s="34" t="s">
        <v>85</v>
      </c>
      <c r="AY17" s="34" t="s">
        <v>85</v>
      </c>
      <c r="AZ17" s="34" t="s">
        <v>85</v>
      </c>
      <c r="BA17" s="34" t="s">
        <v>85</v>
      </c>
      <c r="BB17" s="34" t="s">
        <v>85</v>
      </c>
      <c r="BC17" s="34" t="s">
        <v>85</v>
      </c>
      <c r="BD17" s="34" t="s">
        <v>85</v>
      </c>
      <c r="BE17" s="34" t="s">
        <v>85</v>
      </c>
      <c r="BF17" s="34" t="s">
        <v>85</v>
      </c>
      <c r="BG17" s="34" t="s">
        <v>85</v>
      </c>
      <c r="BH17" s="34" t="s">
        <v>85</v>
      </c>
      <c r="BI17" s="34" t="s">
        <v>85</v>
      </c>
      <c r="BJ17" s="34" t="s">
        <v>85</v>
      </c>
      <c r="BK17" s="34" t="s">
        <v>85</v>
      </c>
      <c r="BL17" s="34" t="s">
        <v>85</v>
      </c>
      <c r="BM17" s="34" t="s">
        <v>85</v>
      </c>
      <c r="BN17" s="34" t="s">
        <v>85</v>
      </c>
      <c r="BO17" s="34" t="s">
        <v>85</v>
      </c>
      <c r="BP17" s="34" t="s">
        <v>85</v>
      </c>
      <c r="BQ17" s="17" t="s">
        <v>83</v>
      </c>
      <c r="BR17" s="17" t="s">
        <v>83</v>
      </c>
      <c r="BS17" s="17" t="s">
        <v>83</v>
      </c>
      <c r="BT17" s="17" t="s">
        <v>85</v>
      </c>
      <c r="BU17" s="17" t="s">
        <v>85</v>
      </c>
      <c r="BV17" s="34" t="s">
        <v>85</v>
      </c>
      <c r="BW17" s="34" t="s">
        <v>85</v>
      </c>
      <c r="BX17" s="34" t="s">
        <v>85</v>
      </c>
      <c r="BY17" s="34" t="s">
        <v>85</v>
      </c>
      <c r="BZ17" s="34" t="s">
        <v>85</v>
      </c>
      <c r="CA17" s="34" t="s">
        <v>85</v>
      </c>
      <c r="CB17" s="34" t="s">
        <v>85</v>
      </c>
      <c r="CC17" s="16" t="s">
        <v>126</v>
      </c>
      <c r="CD17" s="16" t="s">
        <v>127</v>
      </c>
      <c r="CE17" s="34" t="s">
        <v>85</v>
      </c>
      <c r="CF17" s="57" t="s">
        <v>83</v>
      </c>
      <c r="CG17" s="57" t="s">
        <v>83</v>
      </c>
      <c r="CH17" s="57" t="s">
        <v>83</v>
      </c>
      <c r="CI17" s="56" t="s">
        <v>85</v>
      </c>
      <c r="CJ17" s="56" t="s">
        <v>85</v>
      </c>
      <c r="CK17" s="56" t="s">
        <v>85</v>
      </c>
      <c r="CL17" s="56" t="s">
        <v>85</v>
      </c>
      <c r="CM17" s="56" t="s">
        <v>85</v>
      </c>
      <c r="CN17" s="57" t="s">
        <v>83</v>
      </c>
      <c r="CO17" s="57" t="s">
        <v>83</v>
      </c>
      <c r="CP17" s="57" t="s">
        <v>83</v>
      </c>
      <c r="CQ17" s="56" t="s">
        <v>85</v>
      </c>
      <c r="CR17" s="56" t="s">
        <v>85</v>
      </c>
      <c r="CS17" s="56" t="s">
        <v>85</v>
      </c>
      <c r="CT17" s="56" t="s">
        <v>85</v>
      </c>
      <c r="CU17" s="56" t="s">
        <v>85</v>
      </c>
      <c r="CV17" s="57" t="s">
        <v>83</v>
      </c>
      <c r="CW17" s="57" t="s">
        <v>83</v>
      </c>
      <c r="CX17" s="57" t="s">
        <v>83</v>
      </c>
      <c r="CY17" s="56" t="s">
        <v>85</v>
      </c>
      <c r="CZ17" s="56" t="s">
        <v>85</v>
      </c>
      <c r="DA17" s="56" t="s">
        <v>85</v>
      </c>
      <c r="DB17" s="56" t="s">
        <v>85</v>
      </c>
      <c r="DC17" s="56" t="s">
        <v>85</v>
      </c>
      <c r="DD17" s="57" t="s">
        <v>83</v>
      </c>
      <c r="DE17" s="57" t="s">
        <v>83</v>
      </c>
      <c r="DF17" s="57" t="s">
        <v>83</v>
      </c>
      <c r="DG17" s="56" t="s">
        <v>85</v>
      </c>
      <c r="DH17" s="56" t="s">
        <v>85</v>
      </c>
      <c r="DI17" s="56" t="s">
        <v>85</v>
      </c>
      <c r="DJ17" s="56" t="s">
        <v>85</v>
      </c>
      <c r="DK17" s="56" t="s">
        <v>85</v>
      </c>
      <c r="DL17" s="57" t="s">
        <v>83</v>
      </c>
      <c r="DM17" s="57" t="s">
        <v>83</v>
      </c>
      <c r="DN17" s="57" t="s">
        <v>83</v>
      </c>
      <c r="DO17" s="56" t="s">
        <v>85</v>
      </c>
      <c r="DP17" s="56" t="s">
        <v>85</v>
      </c>
      <c r="DQ17" s="56" t="s">
        <v>85</v>
      </c>
      <c r="DR17" s="56" t="s">
        <v>85</v>
      </c>
      <c r="DS17" s="56" t="s">
        <v>85</v>
      </c>
      <c r="DT17" s="57" t="s">
        <v>83</v>
      </c>
      <c r="DU17" s="57" t="s">
        <v>83</v>
      </c>
      <c r="DV17" s="57" t="s">
        <v>83</v>
      </c>
      <c r="DW17" s="56" t="s">
        <v>85</v>
      </c>
      <c r="DX17" s="56" t="s">
        <v>85</v>
      </c>
      <c r="DY17" s="56" t="s">
        <v>85</v>
      </c>
      <c r="DZ17" s="56" t="s">
        <v>85</v>
      </c>
      <c r="EA17" s="56" t="s">
        <v>85</v>
      </c>
      <c r="EB17" s="57" t="s">
        <v>83</v>
      </c>
      <c r="EC17" s="57" t="s">
        <v>83</v>
      </c>
      <c r="ED17" s="57" t="s">
        <v>83</v>
      </c>
      <c r="EE17" s="56" t="s">
        <v>85</v>
      </c>
      <c r="EF17" s="56" t="s">
        <v>85</v>
      </c>
      <c r="EG17" s="56" t="s">
        <v>85</v>
      </c>
      <c r="EH17" s="56" t="s">
        <v>85</v>
      </c>
      <c r="EI17" s="56" t="s">
        <v>85</v>
      </c>
      <c r="EJ17" s="57" t="s">
        <v>83</v>
      </c>
      <c r="EK17" s="57" t="s">
        <v>83</v>
      </c>
      <c r="EL17" s="57" t="s">
        <v>83</v>
      </c>
      <c r="EM17" s="56" t="s">
        <v>85</v>
      </c>
      <c r="EN17" s="56" t="s">
        <v>85</v>
      </c>
      <c r="EO17" s="56" t="s">
        <v>85</v>
      </c>
      <c r="EP17" s="56" t="s">
        <v>85</v>
      </c>
      <c r="EQ17" s="56" t="s">
        <v>85</v>
      </c>
      <c r="ER17" s="57" t="s">
        <v>83</v>
      </c>
      <c r="ES17" s="57" t="s">
        <v>83</v>
      </c>
      <c r="ET17" s="57" t="s">
        <v>83</v>
      </c>
      <c r="EU17" s="56" t="s">
        <v>85</v>
      </c>
      <c r="EV17" s="56" t="s">
        <v>85</v>
      </c>
      <c r="EW17" s="56" t="s">
        <v>85</v>
      </c>
      <c r="EX17" s="56" t="s">
        <v>85</v>
      </c>
      <c r="EY17" s="56" t="s">
        <v>85</v>
      </c>
      <c r="EZ17" s="57" t="s">
        <v>83</v>
      </c>
      <c r="FA17" s="57" t="s">
        <v>83</v>
      </c>
      <c r="FB17" s="57" t="s">
        <v>83</v>
      </c>
      <c r="FC17" s="56" t="s">
        <v>85</v>
      </c>
      <c r="FD17" s="56" t="s">
        <v>85</v>
      </c>
      <c r="FE17" s="56" t="s">
        <v>85</v>
      </c>
      <c r="FF17" s="56" t="s">
        <v>85</v>
      </c>
      <c r="FG17" s="56" t="s">
        <v>85</v>
      </c>
      <c r="FH17" s="57" t="s">
        <v>83</v>
      </c>
      <c r="FI17" s="57" t="s">
        <v>83</v>
      </c>
      <c r="FJ17" s="57" t="s">
        <v>83</v>
      </c>
      <c r="FK17" s="56" t="s">
        <v>85</v>
      </c>
      <c r="FL17" s="56" t="s">
        <v>85</v>
      </c>
      <c r="FM17" s="56" t="s">
        <v>85</v>
      </c>
      <c r="FN17" s="56" t="s">
        <v>85</v>
      </c>
      <c r="FO17" s="56" t="s">
        <v>85</v>
      </c>
      <c r="FP17" s="34" t="s">
        <v>85</v>
      </c>
      <c r="FQ17" s="34" t="s">
        <v>85</v>
      </c>
      <c r="FR17" s="34" t="s">
        <v>85</v>
      </c>
      <c r="FS17" s="34" t="s">
        <v>85</v>
      </c>
      <c r="FT17" s="34" t="s">
        <v>85</v>
      </c>
      <c r="FU17" s="22" t="s">
        <v>164</v>
      </c>
      <c r="FV17" s="22" t="s">
        <v>164</v>
      </c>
      <c r="FW17" s="22" t="s">
        <v>164</v>
      </c>
      <c r="FX17" s="16" t="s">
        <v>85</v>
      </c>
      <c r="FY17" s="16" t="s">
        <v>85</v>
      </c>
      <c r="FZ17" s="16" t="s">
        <v>85</v>
      </c>
      <c r="GA17" s="22" t="s">
        <v>164</v>
      </c>
      <c r="GB17" s="22" t="s">
        <v>164</v>
      </c>
      <c r="GC17" s="22" t="s">
        <v>164</v>
      </c>
      <c r="GD17" s="16" t="s">
        <v>85</v>
      </c>
      <c r="GE17" s="16" t="s">
        <v>85</v>
      </c>
      <c r="GF17" s="16" t="s">
        <v>85</v>
      </c>
      <c r="GG17" s="22" t="s">
        <v>164</v>
      </c>
      <c r="GH17" s="22" t="s">
        <v>164</v>
      </c>
      <c r="GI17" s="22" t="s">
        <v>164</v>
      </c>
      <c r="GJ17" s="16" t="s">
        <v>85</v>
      </c>
      <c r="GK17" s="16" t="s">
        <v>85</v>
      </c>
      <c r="GL17" s="16" t="s">
        <v>85</v>
      </c>
      <c r="GM17" s="22" t="s">
        <v>164</v>
      </c>
      <c r="GN17" s="22" t="s">
        <v>164</v>
      </c>
      <c r="GO17" s="22" t="s">
        <v>164</v>
      </c>
      <c r="GP17" s="16" t="s">
        <v>85</v>
      </c>
      <c r="GQ17" s="16" t="s">
        <v>85</v>
      </c>
      <c r="GR17" s="16" t="s">
        <v>85</v>
      </c>
      <c r="GS17" s="22" t="s">
        <v>164</v>
      </c>
      <c r="GT17" s="22" t="s">
        <v>164</v>
      </c>
      <c r="GU17" s="22" t="s">
        <v>164</v>
      </c>
      <c r="GV17" s="16" t="s">
        <v>85</v>
      </c>
      <c r="GW17" s="16" t="s">
        <v>85</v>
      </c>
      <c r="GX17" s="16" t="s">
        <v>85</v>
      </c>
      <c r="GY17" s="22" t="s">
        <v>164</v>
      </c>
      <c r="GZ17" s="22" t="s">
        <v>164</v>
      </c>
      <c r="HA17" s="22" t="s">
        <v>164</v>
      </c>
      <c r="HB17" s="16" t="s">
        <v>85</v>
      </c>
      <c r="HC17" s="16" t="s">
        <v>85</v>
      </c>
      <c r="HD17" s="16" t="s">
        <v>85</v>
      </c>
      <c r="HE17" s="22" t="s">
        <v>164</v>
      </c>
      <c r="HF17" s="22" t="s">
        <v>164</v>
      </c>
      <c r="HG17" s="22" t="s">
        <v>164</v>
      </c>
      <c r="HH17" s="16" t="s">
        <v>85</v>
      </c>
      <c r="HI17" s="16" t="s">
        <v>85</v>
      </c>
      <c r="HJ17" s="16" t="s">
        <v>85</v>
      </c>
      <c r="HK17" s="22" t="s">
        <v>164</v>
      </c>
      <c r="HL17" s="22" t="s">
        <v>164</v>
      </c>
      <c r="HM17" s="22" t="s">
        <v>164</v>
      </c>
      <c r="HN17" s="16" t="s">
        <v>85</v>
      </c>
      <c r="HO17" s="16" t="s">
        <v>85</v>
      </c>
      <c r="HP17" s="16" t="s">
        <v>85</v>
      </c>
      <c r="HQ17" s="22" t="s">
        <v>164</v>
      </c>
      <c r="HR17" s="22" t="s">
        <v>164</v>
      </c>
      <c r="HS17" s="22" t="s">
        <v>164</v>
      </c>
      <c r="HT17" s="16" t="s">
        <v>85</v>
      </c>
      <c r="HU17" s="16" t="s">
        <v>85</v>
      </c>
      <c r="HV17" s="16" t="s">
        <v>85</v>
      </c>
      <c r="HW17" s="22" t="s">
        <v>164</v>
      </c>
      <c r="HX17" s="22" t="s">
        <v>164</v>
      </c>
      <c r="HY17" s="22" t="s">
        <v>164</v>
      </c>
      <c r="HZ17" s="16" t="s">
        <v>85</v>
      </c>
      <c r="IA17" s="16" t="s">
        <v>85</v>
      </c>
      <c r="IB17" s="16" t="s">
        <v>85</v>
      </c>
      <c r="IC17" s="22" t="s">
        <v>164</v>
      </c>
      <c r="ID17" s="22" t="s">
        <v>164</v>
      </c>
      <c r="IE17" s="22" t="s">
        <v>164</v>
      </c>
      <c r="IF17" s="16" t="s">
        <v>85</v>
      </c>
      <c r="IG17" s="16" t="s">
        <v>85</v>
      </c>
      <c r="IH17" s="16" t="s">
        <v>85</v>
      </c>
      <c r="II17" s="34" t="s">
        <v>85</v>
      </c>
      <c r="IJ17" s="34" t="s">
        <v>85</v>
      </c>
      <c r="IK17" s="34" t="s">
        <v>85</v>
      </c>
      <c r="IL17" s="34" t="s">
        <v>85</v>
      </c>
      <c r="IM17" s="34" t="s">
        <v>85</v>
      </c>
      <c r="IN17" s="34" t="s">
        <v>85</v>
      </c>
      <c r="IO17" s="34" t="s">
        <v>85</v>
      </c>
      <c r="IP17" s="34" t="s">
        <v>85</v>
      </c>
      <c r="IQ17" s="34" t="s">
        <v>85</v>
      </c>
      <c r="IR17" s="34" t="s">
        <v>85</v>
      </c>
      <c r="IS17" s="34" t="s">
        <v>85</v>
      </c>
      <c r="IT17" s="34" t="s">
        <v>85</v>
      </c>
      <c r="IU17" s="34" t="s">
        <v>85</v>
      </c>
      <c r="IV17" s="34" t="s">
        <v>85</v>
      </c>
      <c r="IW17" s="34" t="s">
        <v>85</v>
      </c>
      <c r="IX17" s="34" t="s">
        <v>85</v>
      </c>
      <c r="IY17" s="34" t="s">
        <v>85</v>
      </c>
      <c r="IZ17" s="34" t="s">
        <v>83</v>
      </c>
      <c r="JA17" s="34" t="s">
        <v>83</v>
      </c>
      <c r="JB17" s="34" t="s">
        <v>85</v>
      </c>
      <c r="JC17" s="34" t="s">
        <v>85</v>
      </c>
      <c r="JD17" s="34" t="s">
        <v>85</v>
      </c>
      <c r="JE17" s="34" t="s">
        <v>164</v>
      </c>
      <c r="JF17" s="34" t="s">
        <v>164</v>
      </c>
      <c r="JG17" s="34" t="s">
        <v>164</v>
      </c>
      <c r="JH17" s="34" t="s">
        <v>85</v>
      </c>
      <c r="JI17" s="34" t="s">
        <v>85</v>
      </c>
      <c r="JJ17" s="34" t="s">
        <v>164</v>
      </c>
      <c r="JK17" s="34" t="s">
        <v>85</v>
      </c>
      <c r="JL17" s="34" t="s">
        <v>85</v>
      </c>
      <c r="JM17" s="34" t="s">
        <v>164</v>
      </c>
      <c r="JN17" s="34" t="s">
        <v>164</v>
      </c>
      <c r="JO17" s="34" t="s">
        <v>164</v>
      </c>
      <c r="JP17" s="34" t="s">
        <v>85</v>
      </c>
      <c r="JQ17" s="34" t="s">
        <v>85</v>
      </c>
      <c r="JR17" s="34" t="s">
        <v>164</v>
      </c>
      <c r="JS17" s="34" t="s">
        <v>85</v>
      </c>
      <c r="JT17" s="34" t="s">
        <v>85</v>
      </c>
      <c r="JU17" s="34" t="s">
        <v>164</v>
      </c>
      <c r="JV17" s="34" t="s">
        <v>164</v>
      </c>
      <c r="JW17" s="34" t="s">
        <v>164</v>
      </c>
      <c r="JX17" s="34" t="s">
        <v>85</v>
      </c>
      <c r="JY17" s="34" t="s">
        <v>85</v>
      </c>
      <c r="JZ17" s="34" t="s">
        <v>164</v>
      </c>
      <c r="KA17" s="34" t="s">
        <v>85</v>
      </c>
      <c r="KB17" s="34" t="s">
        <v>85</v>
      </c>
      <c r="KC17" s="34" t="s">
        <v>164</v>
      </c>
      <c r="KD17" s="34" t="s">
        <v>164</v>
      </c>
      <c r="KE17" s="34" t="s">
        <v>164</v>
      </c>
      <c r="KF17" s="34" t="s">
        <v>85</v>
      </c>
      <c r="KG17" s="34" t="s">
        <v>85</v>
      </c>
      <c r="KH17" s="34" t="s">
        <v>164</v>
      </c>
      <c r="KI17" s="34" t="s">
        <v>85</v>
      </c>
      <c r="KJ17" s="34" t="s">
        <v>85</v>
      </c>
      <c r="KK17" s="34" t="s">
        <v>164</v>
      </c>
      <c r="KL17" s="34" t="s">
        <v>164</v>
      </c>
      <c r="KM17" s="34" t="s">
        <v>164</v>
      </c>
      <c r="KN17" s="34" t="s">
        <v>85</v>
      </c>
      <c r="KO17" s="34" t="s">
        <v>85</v>
      </c>
      <c r="KP17" s="34" t="s">
        <v>164</v>
      </c>
      <c r="KQ17" s="34" t="s">
        <v>85</v>
      </c>
      <c r="KR17" s="34" t="s">
        <v>85</v>
      </c>
      <c r="KS17" s="34" t="s">
        <v>164</v>
      </c>
      <c r="KT17" s="34" t="s">
        <v>164</v>
      </c>
      <c r="KU17" s="34" t="s">
        <v>164</v>
      </c>
      <c r="KV17" s="34" t="s">
        <v>85</v>
      </c>
      <c r="KW17" s="34" t="s">
        <v>85</v>
      </c>
      <c r="KX17" s="34" t="s">
        <v>164</v>
      </c>
      <c r="KY17" s="34" t="s">
        <v>85</v>
      </c>
      <c r="KZ17" s="34" t="s">
        <v>85</v>
      </c>
      <c r="LA17" s="34" t="s">
        <v>164</v>
      </c>
      <c r="LB17" s="34" t="s">
        <v>164</v>
      </c>
      <c r="LC17" s="34" t="s">
        <v>164</v>
      </c>
      <c r="LD17" s="34" t="s">
        <v>85</v>
      </c>
      <c r="LE17" s="34" t="s">
        <v>85</v>
      </c>
      <c r="LF17" s="34" t="s">
        <v>164</v>
      </c>
      <c r="LG17" s="34" t="s">
        <v>85</v>
      </c>
      <c r="LH17" s="34" t="s">
        <v>85</v>
      </c>
      <c r="LI17" s="34" t="s">
        <v>164</v>
      </c>
      <c r="LJ17" s="34" t="s">
        <v>164</v>
      </c>
      <c r="LK17" s="34" t="s">
        <v>164</v>
      </c>
      <c r="LL17" s="34" t="s">
        <v>85</v>
      </c>
      <c r="LM17" s="34" t="s">
        <v>85</v>
      </c>
      <c r="LN17" s="34" t="s">
        <v>164</v>
      </c>
      <c r="LO17" s="34" t="s">
        <v>85</v>
      </c>
      <c r="LP17" s="34" t="s">
        <v>85</v>
      </c>
      <c r="LQ17" s="34" t="s">
        <v>164</v>
      </c>
      <c r="LR17" s="34" t="s">
        <v>164</v>
      </c>
      <c r="LS17" s="34" t="s">
        <v>164</v>
      </c>
      <c r="LT17" s="34" t="s">
        <v>85</v>
      </c>
      <c r="LU17" s="34" t="s">
        <v>85</v>
      </c>
      <c r="LV17" s="34" t="s">
        <v>164</v>
      </c>
      <c r="LW17" s="34" t="s">
        <v>85</v>
      </c>
      <c r="LX17" s="34" t="s">
        <v>85</v>
      </c>
      <c r="LY17" s="34" t="s">
        <v>164</v>
      </c>
      <c r="LZ17" s="34" t="s">
        <v>164</v>
      </c>
      <c r="MA17" s="34" t="s">
        <v>164</v>
      </c>
      <c r="MB17" s="34" t="s">
        <v>85</v>
      </c>
      <c r="MC17" s="34" t="s">
        <v>85</v>
      </c>
      <c r="MD17" s="22" t="s">
        <v>164</v>
      </c>
      <c r="ME17" s="34" t="s">
        <v>85</v>
      </c>
      <c r="MF17" s="34" t="s">
        <v>85</v>
      </c>
      <c r="MG17" s="22" t="s">
        <v>164</v>
      </c>
      <c r="MH17" s="22" t="s">
        <v>164</v>
      </c>
      <c r="MI17" s="22" t="s">
        <v>164</v>
      </c>
      <c r="MJ17" s="34" t="s">
        <v>85</v>
      </c>
      <c r="MK17" s="34" t="s">
        <v>85</v>
      </c>
      <c r="ML17" s="22" t="s">
        <v>164</v>
      </c>
      <c r="MM17" s="22"/>
      <c r="MN17" s="22"/>
    </row>
    <row r="18" spans="1:352" s="1" customFormat="1" ht="23.25" customHeight="1" x14ac:dyDescent="0.25">
      <c r="A18" s="18" t="s">
        <v>2</v>
      </c>
      <c r="B18" s="18" t="s">
        <v>26</v>
      </c>
      <c r="C18" s="18">
        <v>100</v>
      </c>
      <c r="D18" s="18">
        <v>30</v>
      </c>
      <c r="E18" s="18" t="s">
        <v>83</v>
      </c>
      <c r="F18" s="18" t="s">
        <v>83</v>
      </c>
      <c r="G18" s="18" t="s">
        <v>83</v>
      </c>
      <c r="H18" s="18">
        <v>300</v>
      </c>
      <c r="I18" s="18">
        <v>300</v>
      </c>
      <c r="J18" s="18">
        <v>300</v>
      </c>
      <c r="K18" s="18">
        <v>250</v>
      </c>
      <c r="L18" s="18">
        <v>333</v>
      </c>
      <c r="M18" s="18">
        <v>333</v>
      </c>
      <c r="N18" s="18">
        <v>333</v>
      </c>
      <c r="O18" s="18">
        <v>350</v>
      </c>
      <c r="P18" s="18">
        <v>350</v>
      </c>
      <c r="Q18" s="18">
        <v>350</v>
      </c>
      <c r="R18" s="18">
        <v>0</v>
      </c>
      <c r="S18" s="18">
        <v>0</v>
      </c>
      <c r="T18" s="18">
        <v>0</v>
      </c>
      <c r="U18" s="18">
        <v>300</v>
      </c>
      <c r="V18" s="18">
        <v>300</v>
      </c>
      <c r="W18" s="18">
        <v>300</v>
      </c>
      <c r="X18" s="18">
        <v>555</v>
      </c>
      <c r="Y18" s="18">
        <v>555</v>
      </c>
      <c r="Z18" s="18">
        <v>555</v>
      </c>
      <c r="AA18" s="18">
        <v>456</v>
      </c>
      <c r="AB18" s="18">
        <v>456</v>
      </c>
      <c r="AC18" s="18">
        <v>456</v>
      </c>
      <c r="AD18" s="18">
        <v>500</v>
      </c>
      <c r="AE18" s="18">
        <v>500</v>
      </c>
      <c r="AF18" s="18">
        <v>500</v>
      </c>
      <c r="AG18" s="18">
        <v>590</v>
      </c>
      <c r="AH18" s="18">
        <v>590</v>
      </c>
      <c r="AI18" s="18">
        <v>590</v>
      </c>
      <c r="AJ18" s="18">
        <v>500</v>
      </c>
      <c r="AK18" s="18">
        <v>500</v>
      </c>
      <c r="AL18" s="18">
        <v>500</v>
      </c>
      <c r="AM18" s="18">
        <v>450</v>
      </c>
      <c r="AN18" s="18">
        <v>450</v>
      </c>
      <c r="AO18" s="18">
        <v>450</v>
      </c>
      <c r="AP18" s="18">
        <v>500</v>
      </c>
      <c r="AQ18" s="18">
        <v>500</v>
      </c>
      <c r="AR18" s="18">
        <v>500</v>
      </c>
      <c r="AS18" s="18">
        <v>250</v>
      </c>
      <c r="AT18" s="18">
        <v>250</v>
      </c>
      <c r="AU18" s="18">
        <v>250</v>
      </c>
      <c r="AV18" s="18">
        <v>500</v>
      </c>
      <c r="AW18" s="18">
        <v>500</v>
      </c>
      <c r="AX18" s="18">
        <v>500</v>
      </c>
      <c r="AY18" s="18">
        <v>350</v>
      </c>
      <c r="AZ18" s="18">
        <v>350</v>
      </c>
      <c r="BA18" s="18">
        <v>350</v>
      </c>
      <c r="BB18" s="18">
        <v>200</v>
      </c>
      <c r="BC18" s="18">
        <v>200</v>
      </c>
      <c r="BD18" s="18">
        <v>200</v>
      </c>
      <c r="BE18" s="18">
        <v>333</v>
      </c>
      <c r="BF18" s="18">
        <v>333</v>
      </c>
      <c r="BG18" s="18">
        <v>333</v>
      </c>
      <c r="BH18" s="18">
        <v>206</v>
      </c>
      <c r="BI18" s="18">
        <v>206</v>
      </c>
      <c r="BJ18" s="18">
        <v>206</v>
      </c>
      <c r="BK18" s="18">
        <v>350</v>
      </c>
      <c r="BL18" s="18">
        <v>350</v>
      </c>
      <c r="BM18" s="18">
        <v>350</v>
      </c>
      <c r="BN18" s="18">
        <v>500</v>
      </c>
      <c r="BO18" s="18">
        <v>500</v>
      </c>
      <c r="BP18" s="18">
        <v>500</v>
      </c>
      <c r="BQ18" s="17" t="s">
        <v>83</v>
      </c>
      <c r="BR18" s="17" t="s">
        <v>83</v>
      </c>
      <c r="BS18" s="17" t="s">
        <v>83</v>
      </c>
      <c r="BT18" s="17">
        <v>304</v>
      </c>
      <c r="BU18" s="17">
        <v>304</v>
      </c>
      <c r="BV18" s="18">
        <v>304</v>
      </c>
      <c r="BW18" s="18">
        <v>304</v>
      </c>
      <c r="BX18" s="18">
        <v>304</v>
      </c>
      <c r="BY18" s="18">
        <v>304</v>
      </c>
      <c r="BZ18" s="18">
        <v>304</v>
      </c>
      <c r="CA18" s="18">
        <v>304</v>
      </c>
      <c r="CB18" s="18">
        <v>206</v>
      </c>
      <c r="CC18" s="18">
        <v>1</v>
      </c>
      <c r="CD18" s="18">
        <v>600</v>
      </c>
      <c r="CE18" s="18">
        <f>CD18+6</f>
        <v>606</v>
      </c>
      <c r="CF18" s="57" t="s">
        <v>83</v>
      </c>
      <c r="CG18" s="57" t="s">
        <v>83</v>
      </c>
      <c r="CH18" s="57" t="s">
        <v>83</v>
      </c>
      <c r="CI18" s="58">
        <v>429496729.5</v>
      </c>
      <c r="CJ18" s="58">
        <v>200</v>
      </c>
      <c r="CK18" s="58">
        <f>CJ18+6</f>
        <v>206</v>
      </c>
      <c r="CL18" s="58">
        <f>CK18+6</f>
        <v>212</v>
      </c>
      <c r="CM18" s="58">
        <f>CL18+6</f>
        <v>218</v>
      </c>
      <c r="CN18" s="57" t="s">
        <v>83</v>
      </c>
      <c r="CO18" s="57" t="s">
        <v>83</v>
      </c>
      <c r="CP18" s="57" t="s">
        <v>83</v>
      </c>
      <c r="CQ18" s="58">
        <v>60</v>
      </c>
      <c r="CR18" s="58">
        <v>60</v>
      </c>
      <c r="CS18" s="58">
        <f>CQ18+6</f>
        <v>66</v>
      </c>
      <c r="CT18" s="58">
        <f>CS18+6</f>
        <v>72</v>
      </c>
      <c r="CU18" s="58">
        <f>CT18+6</f>
        <v>78</v>
      </c>
      <c r="CV18" s="57" t="s">
        <v>83</v>
      </c>
      <c r="CW18" s="57" t="s">
        <v>83</v>
      </c>
      <c r="CX18" s="57" t="s">
        <v>83</v>
      </c>
      <c r="CY18" s="58">
        <v>66</v>
      </c>
      <c r="CZ18" s="58">
        <v>69</v>
      </c>
      <c r="DA18" s="58">
        <f>CY18+6</f>
        <v>72</v>
      </c>
      <c r="DB18" s="58">
        <f>DA18+6</f>
        <v>78</v>
      </c>
      <c r="DC18" s="58">
        <f>DB18+6</f>
        <v>84</v>
      </c>
      <c r="DD18" s="57" t="s">
        <v>83</v>
      </c>
      <c r="DE18" s="57" t="s">
        <v>83</v>
      </c>
      <c r="DF18" s="57" t="s">
        <v>83</v>
      </c>
      <c r="DG18" s="58">
        <v>66</v>
      </c>
      <c r="DH18" s="58">
        <v>69</v>
      </c>
      <c r="DI18" s="58">
        <f>DG18+6</f>
        <v>72</v>
      </c>
      <c r="DJ18" s="58">
        <f>DI18+6</f>
        <v>78</v>
      </c>
      <c r="DK18" s="58">
        <f>DJ18+6</f>
        <v>84</v>
      </c>
      <c r="DL18" s="57" t="s">
        <v>83</v>
      </c>
      <c r="DM18" s="57" t="s">
        <v>83</v>
      </c>
      <c r="DN18" s="57" t="s">
        <v>83</v>
      </c>
      <c r="DO18" s="58">
        <v>66</v>
      </c>
      <c r="DP18" s="58">
        <v>69</v>
      </c>
      <c r="DQ18" s="58">
        <f>DO18+6</f>
        <v>72</v>
      </c>
      <c r="DR18" s="58">
        <f>DQ18+6</f>
        <v>78</v>
      </c>
      <c r="DS18" s="58">
        <f>DR18+6</f>
        <v>84</v>
      </c>
      <c r="DT18" s="57" t="s">
        <v>83</v>
      </c>
      <c r="DU18" s="57" t="s">
        <v>83</v>
      </c>
      <c r="DV18" s="57" t="s">
        <v>83</v>
      </c>
      <c r="DW18" s="58">
        <v>66</v>
      </c>
      <c r="DX18" s="58">
        <v>69</v>
      </c>
      <c r="DY18" s="58">
        <f>DW18+6</f>
        <v>72</v>
      </c>
      <c r="DZ18" s="58">
        <f>DY18+6</f>
        <v>78</v>
      </c>
      <c r="EA18" s="58">
        <f>DZ18+6</f>
        <v>84</v>
      </c>
      <c r="EB18" s="57" t="s">
        <v>83</v>
      </c>
      <c r="EC18" s="57" t="s">
        <v>83</v>
      </c>
      <c r="ED18" s="57" t="s">
        <v>83</v>
      </c>
      <c r="EE18" s="58">
        <v>66</v>
      </c>
      <c r="EF18" s="58">
        <v>69</v>
      </c>
      <c r="EG18" s="58">
        <f>EE18+6</f>
        <v>72</v>
      </c>
      <c r="EH18" s="58">
        <f>EG18+6</f>
        <v>78</v>
      </c>
      <c r="EI18" s="58">
        <f>EH18+6</f>
        <v>84</v>
      </c>
      <c r="EJ18" s="57" t="s">
        <v>83</v>
      </c>
      <c r="EK18" s="57" t="s">
        <v>83</v>
      </c>
      <c r="EL18" s="57" t="s">
        <v>83</v>
      </c>
      <c r="EM18" s="58">
        <v>66</v>
      </c>
      <c r="EN18" s="58">
        <v>69</v>
      </c>
      <c r="EO18" s="58">
        <f>EM18+6</f>
        <v>72</v>
      </c>
      <c r="EP18" s="58">
        <f>EO18+6</f>
        <v>78</v>
      </c>
      <c r="EQ18" s="58">
        <f>EP18+6</f>
        <v>84</v>
      </c>
      <c r="ER18" s="57" t="s">
        <v>83</v>
      </c>
      <c r="ES18" s="57" t="s">
        <v>83</v>
      </c>
      <c r="ET18" s="57" t="s">
        <v>83</v>
      </c>
      <c r="EU18" s="58">
        <v>66</v>
      </c>
      <c r="EV18" s="58">
        <v>69</v>
      </c>
      <c r="EW18" s="58">
        <f>EU18+6</f>
        <v>72</v>
      </c>
      <c r="EX18" s="58">
        <f>EW18+6</f>
        <v>78</v>
      </c>
      <c r="EY18" s="58">
        <f>EX18+6</f>
        <v>84</v>
      </c>
      <c r="EZ18" s="57" t="s">
        <v>83</v>
      </c>
      <c r="FA18" s="57" t="s">
        <v>83</v>
      </c>
      <c r="FB18" s="57" t="s">
        <v>83</v>
      </c>
      <c r="FC18" s="58">
        <v>66</v>
      </c>
      <c r="FD18" s="58">
        <v>69</v>
      </c>
      <c r="FE18" s="58">
        <f>FC18+6</f>
        <v>72</v>
      </c>
      <c r="FF18" s="58">
        <f>FE18+6</f>
        <v>78</v>
      </c>
      <c r="FG18" s="58">
        <f>FF18+6</f>
        <v>84</v>
      </c>
      <c r="FH18" s="57" t="s">
        <v>83</v>
      </c>
      <c r="FI18" s="57" t="s">
        <v>83</v>
      </c>
      <c r="FJ18" s="57" t="s">
        <v>83</v>
      </c>
      <c r="FK18" s="58">
        <v>66</v>
      </c>
      <c r="FL18" s="58">
        <v>69</v>
      </c>
      <c r="FM18" s="58">
        <f>FK18+6</f>
        <v>72</v>
      </c>
      <c r="FN18" s="58">
        <f>FM18+6</f>
        <v>78</v>
      </c>
      <c r="FO18" s="58">
        <f>FN18+6</f>
        <v>84</v>
      </c>
      <c r="FP18" s="18">
        <v>100</v>
      </c>
      <c r="FQ18" s="18">
        <v>550</v>
      </c>
      <c r="FR18" s="22" t="s">
        <v>164</v>
      </c>
      <c r="FS18" s="22">
        <v>550</v>
      </c>
      <c r="FT18" s="22">
        <v>489</v>
      </c>
      <c r="FU18" s="22" t="s">
        <v>164</v>
      </c>
      <c r="FV18" s="22" t="s">
        <v>164</v>
      </c>
      <c r="FW18" s="22" t="s">
        <v>164</v>
      </c>
      <c r="FX18" s="22">
        <v>500</v>
      </c>
      <c r="FY18" s="22">
        <v>500</v>
      </c>
      <c r="FZ18" s="22">
        <v>555</v>
      </c>
      <c r="GA18" s="22" t="s">
        <v>164</v>
      </c>
      <c r="GB18" s="22" t="s">
        <v>164</v>
      </c>
      <c r="GC18" s="22" t="s">
        <v>164</v>
      </c>
      <c r="GD18" s="22">
        <v>500</v>
      </c>
      <c r="GE18" s="22">
        <v>500</v>
      </c>
      <c r="GF18" s="22">
        <v>555</v>
      </c>
      <c r="GG18" s="22" t="s">
        <v>164</v>
      </c>
      <c r="GH18" s="22" t="s">
        <v>164</v>
      </c>
      <c r="GI18" s="22" t="s">
        <v>164</v>
      </c>
      <c r="GJ18" s="22">
        <v>500</v>
      </c>
      <c r="GK18" s="22">
        <v>500</v>
      </c>
      <c r="GL18" s="22">
        <v>555</v>
      </c>
      <c r="GM18" s="22" t="s">
        <v>164</v>
      </c>
      <c r="GN18" s="22" t="s">
        <v>164</v>
      </c>
      <c r="GO18" s="22" t="s">
        <v>164</v>
      </c>
      <c r="GP18" s="22">
        <v>500</v>
      </c>
      <c r="GQ18" s="22">
        <v>500</v>
      </c>
      <c r="GR18" s="22">
        <v>555</v>
      </c>
      <c r="GS18" s="22" t="s">
        <v>164</v>
      </c>
      <c r="GT18" s="22" t="s">
        <v>164</v>
      </c>
      <c r="GU18" s="22" t="s">
        <v>164</v>
      </c>
      <c r="GV18" s="22">
        <v>500</v>
      </c>
      <c r="GW18" s="22">
        <v>500</v>
      </c>
      <c r="GX18" s="22">
        <v>555</v>
      </c>
      <c r="GY18" s="22" t="s">
        <v>164</v>
      </c>
      <c r="GZ18" s="22" t="s">
        <v>164</v>
      </c>
      <c r="HA18" s="22" t="s">
        <v>164</v>
      </c>
      <c r="HB18" s="22">
        <v>500</v>
      </c>
      <c r="HC18" s="22">
        <v>500</v>
      </c>
      <c r="HD18" s="22">
        <v>555</v>
      </c>
      <c r="HE18" s="22" t="s">
        <v>164</v>
      </c>
      <c r="HF18" s="22" t="s">
        <v>164</v>
      </c>
      <c r="HG18" s="22" t="s">
        <v>164</v>
      </c>
      <c r="HH18" s="22">
        <v>500</v>
      </c>
      <c r="HI18" s="22">
        <v>500</v>
      </c>
      <c r="HJ18" s="22">
        <v>555</v>
      </c>
      <c r="HK18" s="22" t="s">
        <v>164</v>
      </c>
      <c r="HL18" s="22" t="s">
        <v>164</v>
      </c>
      <c r="HM18" s="22" t="s">
        <v>164</v>
      </c>
      <c r="HN18" s="22">
        <v>500</v>
      </c>
      <c r="HO18" s="22">
        <v>500</v>
      </c>
      <c r="HP18" s="22">
        <v>555</v>
      </c>
      <c r="HQ18" s="22" t="s">
        <v>164</v>
      </c>
      <c r="HR18" s="22" t="s">
        <v>164</v>
      </c>
      <c r="HS18" s="22" t="s">
        <v>164</v>
      </c>
      <c r="HT18" s="22">
        <v>500</v>
      </c>
      <c r="HU18" s="22">
        <v>500</v>
      </c>
      <c r="HV18" s="22">
        <v>555</v>
      </c>
      <c r="HW18" s="22" t="s">
        <v>164</v>
      </c>
      <c r="HX18" s="22" t="s">
        <v>164</v>
      </c>
      <c r="HY18" s="22" t="s">
        <v>164</v>
      </c>
      <c r="HZ18" s="22">
        <v>500</v>
      </c>
      <c r="IA18" s="22">
        <v>500</v>
      </c>
      <c r="IB18" s="22">
        <v>555</v>
      </c>
      <c r="IC18" s="22" t="s">
        <v>164</v>
      </c>
      <c r="ID18" s="22" t="s">
        <v>164</v>
      </c>
      <c r="IE18" s="22" t="s">
        <v>164</v>
      </c>
      <c r="IF18" s="22">
        <v>500</v>
      </c>
      <c r="IG18" s="22">
        <v>500</v>
      </c>
      <c r="IH18" s="22">
        <v>555</v>
      </c>
      <c r="II18" s="18">
        <v>100</v>
      </c>
      <c r="IJ18" s="22">
        <v>200</v>
      </c>
      <c r="IK18" s="16" t="s">
        <v>83</v>
      </c>
      <c r="IL18" s="22">
        <v>200</v>
      </c>
      <c r="IM18" s="16" t="s">
        <v>83</v>
      </c>
      <c r="IN18" s="22">
        <v>201</v>
      </c>
      <c r="IO18" s="22">
        <v>59.9</v>
      </c>
      <c r="IP18" s="22">
        <v>256</v>
      </c>
      <c r="IQ18" s="22" t="s">
        <v>164</v>
      </c>
      <c r="IR18" s="22" t="s">
        <v>164</v>
      </c>
      <c r="IS18" s="22" t="s">
        <v>164</v>
      </c>
      <c r="IT18" s="22">
        <v>156</v>
      </c>
      <c r="IU18" s="22">
        <v>156</v>
      </c>
      <c r="IV18" s="22">
        <v>200</v>
      </c>
      <c r="IW18" s="22">
        <f>IV18+5</f>
        <v>205</v>
      </c>
      <c r="IX18" s="22">
        <v>200</v>
      </c>
      <c r="IY18" s="22">
        <v>200</v>
      </c>
      <c r="IZ18" s="22">
        <v>201</v>
      </c>
      <c r="JA18" s="22">
        <v>201</v>
      </c>
      <c r="JB18" s="22">
        <v>256</v>
      </c>
      <c r="JC18" s="22">
        <v>256</v>
      </c>
      <c r="JD18" s="22" t="s">
        <v>83</v>
      </c>
      <c r="JE18" s="22" t="s">
        <v>164</v>
      </c>
      <c r="JF18" s="22" t="s">
        <v>164</v>
      </c>
      <c r="JG18" s="22" t="s">
        <v>164</v>
      </c>
      <c r="JH18" s="22">
        <v>256</v>
      </c>
      <c r="JI18" s="22">
        <v>256</v>
      </c>
      <c r="JJ18" s="22" t="s">
        <v>164</v>
      </c>
      <c r="JK18" s="22">
        <v>256</v>
      </c>
      <c r="JL18" s="22">
        <v>256</v>
      </c>
      <c r="JM18" s="22" t="s">
        <v>164</v>
      </c>
      <c r="JN18" s="22" t="s">
        <v>164</v>
      </c>
      <c r="JO18" s="22" t="s">
        <v>164</v>
      </c>
      <c r="JP18" s="22">
        <v>256</v>
      </c>
      <c r="JQ18" s="22">
        <v>256</v>
      </c>
      <c r="JR18" s="22" t="s">
        <v>164</v>
      </c>
      <c r="JS18" s="22">
        <v>256</v>
      </c>
      <c r="JT18" s="22">
        <v>256</v>
      </c>
      <c r="JU18" s="22" t="s">
        <v>164</v>
      </c>
      <c r="JV18" s="22" t="s">
        <v>164</v>
      </c>
      <c r="JW18" s="22" t="s">
        <v>164</v>
      </c>
      <c r="JX18" s="22">
        <v>256</v>
      </c>
      <c r="JY18" s="22">
        <v>256</v>
      </c>
      <c r="JZ18" s="22" t="s">
        <v>164</v>
      </c>
      <c r="KA18" s="22">
        <v>256</v>
      </c>
      <c r="KB18" s="22">
        <v>256</v>
      </c>
      <c r="KC18" s="22" t="s">
        <v>164</v>
      </c>
      <c r="KD18" s="22" t="s">
        <v>164</v>
      </c>
      <c r="KE18" s="22" t="s">
        <v>164</v>
      </c>
      <c r="KF18" s="22">
        <v>256</v>
      </c>
      <c r="KG18" s="22">
        <v>256</v>
      </c>
      <c r="KH18" s="22" t="s">
        <v>164</v>
      </c>
      <c r="KI18" s="22">
        <v>256</v>
      </c>
      <c r="KJ18" s="22">
        <v>256</v>
      </c>
      <c r="KK18" s="22" t="s">
        <v>164</v>
      </c>
      <c r="KL18" s="22" t="s">
        <v>164</v>
      </c>
      <c r="KM18" s="22" t="s">
        <v>164</v>
      </c>
      <c r="KN18" s="22">
        <v>256</v>
      </c>
      <c r="KO18" s="22">
        <v>256</v>
      </c>
      <c r="KP18" s="22" t="s">
        <v>164</v>
      </c>
      <c r="KQ18" s="22">
        <v>256</v>
      </c>
      <c r="KR18" s="22">
        <v>256</v>
      </c>
      <c r="KS18" s="22" t="s">
        <v>164</v>
      </c>
      <c r="KT18" s="22" t="s">
        <v>164</v>
      </c>
      <c r="KU18" s="22" t="s">
        <v>164</v>
      </c>
      <c r="KV18" s="22">
        <v>256</v>
      </c>
      <c r="KW18" s="22">
        <v>256</v>
      </c>
      <c r="KX18" s="22" t="s">
        <v>164</v>
      </c>
      <c r="KY18" s="22">
        <v>256</v>
      </c>
      <c r="KZ18" s="22">
        <v>256</v>
      </c>
      <c r="LA18" s="22" t="s">
        <v>164</v>
      </c>
      <c r="LB18" s="22" t="s">
        <v>164</v>
      </c>
      <c r="LC18" s="22" t="s">
        <v>164</v>
      </c>
      <c r="LD18" s="22">
        <v>256</v>
      </c>
      <c r="LE18" s="22">
        <v>256</v>
      </c>
      <c r="LF18" s="22" t="s">
        <v>164</v>
      </c>
      <c r="LG18" s="22">
        <v>256</v>
      </c>
      <c r="LH18" s="22">
        <v>256</v>
      </c>
      <c r="LI18" s="22" t="s">
        <v>164</v>
      </c>
      <c r="LJ18" s="22" t="s">
        <v>164</v>
      </c>
      <c r="LK18" s="22" t="s">
        <v>164</v>
      </c>
      <c r="LL18" s="22">
        <v>256</v>
      </c>
      <c r="LM18" s="22">
        <v>256</v>
      </c>
      <c r="LN18" s="22" t="s">
        <v>164</v>
      </c>
      <c r="LO18" s="22">
        <v>256</v>
      </c>
      <c r="LP18" s="22">
        <v>256</v>
      </c>
      <c r="LQ18" s="22" t="s">
        <v>164</v>
      </c>
      <c r="LR18" s="22" t="s">
        <v>164</v>
      </c>
      <c r="LS18" s="22" t="s">
        <v>164</v>
      </c>
      <c r="LT18" s="22">
        <v>256</v>
      </c>
      <c r="LU18" s="22">
        <v>256</v>
      </c>
      <c r="LV18" s="22" t="s">
        <v>164</v>
      </c>
      <c r="LW18" s="22">
        <v>256</v>
      </c>
      <c r="LX18" s="22">
        <v>256</v>
      </c>
      <c r="LY18" s="22" t="s">
        <v>164</v>
      </c>
      <c r="LZ18" s="22" t="s">
        <v>164</v>
      </c>
      <c r="MA18" s="22" t="s">
        <v>164</v>
      </c>
      <c r="MB18" s="22">
        <v>256</v>
      </c>
      <c r="MC18" s="22">
        <v>256</v>
      </c>
      <c r="MD18" s="22" t="s">
        <v>164</v>
      </c>
      <c r="ME18" s="22">
        <v>256</v>
      </c>
      <c r="MF18" s="22">
        <v>256</v>
      </c>
      <c r="MG18" s="22" t="s">
        <v>164</v>
      </c>
      <c r="MH18" s="22" t="s">
        <v>164</v>
      </c>
      <c r="MI18" s="22" t="s">
        <v>164</v>
      </c>
      <c r="MJ18" s="22">
        <v>256</v>
      </c>
      <c r="MK18" s="22">
        <v>256</v>
      </c>
      <c r="ML18" s="22" t="s">
        <v>164</v>
      </c>
      <c r="MM18" s="22"/>
      <c r="MN18" s="22"/>
    </row>
    <row r="19" spans="1:352" s="1" customFormat="1" ht="23.25" customHeight="1" x14ac:dyDescent="0.25">
      <c r="A19" s="18" t="s">
        <v>2</v>
      </c>
      <c r="B19" s="18" t="s">
        <v>27</v>
      </c>
      <c r="C19" s="18">
        <v>100</v>
      </c>
      <c r="D19" s="18">
        <v>250</v>
      </c>
      <c r="E19" s="18" t="s">
        <v>83</v>
      </c>
      <c r="F19" s="18" t="s">
        <v>83</v>
      </c>
      <c r="G19" s="18" t="s">
        <v>83</v>
      </c>
      <c r="H19" s="18">
        <v>-250</v>
      </c>
      <c r="I19" s="18">
        <v>-250</v>
      </c>
      <c r="J19" s="18">
        <v>-250</v>
      </c>
      <c r="K19" s="18">
        <v>0</v>
      </c>
      <c r="L19" s="18">
        <v>-123</v>
      </c>
      <c r="M19" s="18">
        <v>-123</v>
      </c>
      <c r="N19" s="18">
        <v>-123</v>
      </c>
      <c r="O19" s="18">
        <v>125</v>
      </c>
      <c r="P19" s="18">
        <v>125</v>
      </c>
      <c r="Q19" s="18">
        <v>125</v>
      </c>
      <c r="R19" s="18">
        <v>225</v>
      </c>
      <c r="S19" s="18">
        <v>225</v>
      </c>
      <c r="T19" s="18">
        <v>225</v>
      </c>
      <c r="U19" s="18">
        <v>-250</v>
      </c>
      <c r="V19" s="18">
        <v>-250</v>
      </c>
      <c r="W19" s="18">
        <v>-250</v>
      </c>
      <c r="X19" s="18">
        <v>-249</v>
      </c>
      <c r="Y19" s="18">
        <v>-249</v>
      </c>
      <c r="Z19" s="18">
        <v>-249</v>
      </c>
      <c r="AA19" s="18">
        <v>0</v>
      </c>
      <c r="AB19" s="18">
        <v>0</v>
      </c>
      <c r="AC19" s="18">
        <v>0</v>
      </c>
      <c r="AD19" s="18">
        <v>155</v>
      </c>
      <c r="AE19" s="18">
        <v>155</v>
      </c>
      <c r="AF19" s="18">
        <v>155</v>
      </c>
      <c r="AG19" s="18">
        <v>1</v>
      </c>
      <c r="AH19" s="18">
        <v>1</v>
      </c>
      <c r="AI19" s="18">
        <v>1</v>
      </c>
      <c r="AJ19" s="18">
        <v>155</v>
      </c>
      <c r="AK19" s="18">
        <v>155</v>
      </c>
      <c r="AL19" s="18">
        <v>155</v>
      </c>
      <c r="AM19" s="18">
        <v>-1</v>
      </c>
      <c r="AN19" s="18">
        <v>-1</v>
      </c>
      <c r="AO19" s="18">
        <v>-1</v>
      </c>
      <c r="AP19" s="18">
        <v>155</v>
      </c>
      <c r="AQ19" s="18">
        <v>155</v>
      </c>
      <c r="AR19" s="18">
        <v>155</v>
      </c>
      <c r="AS19" s="18">
        <v>0</v>
      </c>
      <c r="AT19" s="18">
        <v>0</v>
      </c>
      <c r="AU19" s="18">
        <v>0</v>
      </c>
      <c r="AV19" s="18">
        <v>155</v>
      </c>
      <c r="AW19" s="18">
        <v>155</v>
      </c>
      <c r="AX19" s="18">
        <v>155</v>
      </c>
      <c r="AY19" s="18">
        <v>125</v>
      </c>
      <c r="AZ19" s="18">
        <v>125</v>
      </c>
      <c r="BA19" s="18">
        <v>125</v>
      </c>
      <c r="BB19" s="18">
        <v>251</v>
      </c>
      <c r="BC19" s="18">
        <v>251</v>
      </c>
      <c r="BD19" s="18">
        <v>251</v>
      </c>
      <c r="BE19" s="18">
        <v>0</v>
      </c>
      <c r="BF19" s="18">
        <v>0</v>
      </c>
      <c r="BG19" s="18">
        <v>0</v>
      </c>
      <c r="BH19" s="18">
        <v>-32768</v>
      </c>
      <c r="BI19" s="18">
        <v>-32768</v>
      </c>
      <c r="BJ19" s="18">
        <v>-32768</v>
      </c>
      <c r="BK19" s="18">
        <v>125</v>
      </c>
      <c r="BL19" s="18">
        <v>125</v>
      </c>
      <c r="BM19" s="18">
        <v>125</v>
      </c>
      <c r="BN19" s="18">
        <v>155</v>
      </c>
      <c r="BO19" s="18">
        <v>155</v>
      </c>
      <c r="BP19" s="18">
        <v>155</v>
      </c>
      <c r="BQ19" s="17" t="s">
        <v>83</v>
      </c>
      <c r="BR19" s="17" t="s">
        <v>83</v>
      </c>
      <c r="BS19" s="17" t="s">
        <v>83</v>
      </c>
      <c r="BT19" s="17">
        <v>14</v>
      </c>
      <c r="BU19" s="17">
        <v>14</v>
      </c>
      <c r="BV19" s="18">
        <v>14</v>
      </c>
      <c r="BW19" s="18">
        <v>14</v>
      </c>
      <c r="BX19" s="18">
        <v>14</v>
      </c>
      <c r="BY19" s="18">
        <v>14</v>
      </c>
      <c r="BZ19" s="18">
        <v>14</v>
      </c>
      <c r="CA19" s="18">
        <f>BZ19+3</f>
        <v>17</v>
      </c>
      <c r="CB19" s="18">
        <v>-156</v>
      </c>
      <c r="CC19" s="18">
        <f>CB19+13</f>
        <v>-143</v>
      </c>
      <c r="CD19" s="18">
        <v>1</v>
      </c>
      <c r="CE19" s="18">
        <v>-251</v>
      </c>
      <c r="CF19" s="57" t="s">
        <v>83</v>
      </c>
      <c r="CG19" s="57" t="s">
        <v>83</v>
      </c>
      <c r="CH19" s="57" t="s">
        <v>83</v>
      </c>
      <c r="CI19" s="59">
        <v>30</v>
      </c>
      <c r="CJ19" s="59">
        <v>251</v>
      </c>
      <c r="CK19" s="59">
        <v>-32768</v>
      </c>
      <c r="CL19" s="59">
        <v>32767</v>
      </c>
      <c r="CM19" s="58">
        <v>200</v>
      </c>
      <c r="CN19" s="57" t="s">
        <v>83</v>
      </c>
      <c r="CO19" s="57" t="s">
        <v>83</v>
      </c>
      <c r="CP19" s="57" t="s">
        <v>83</v>
      </c>
      <c r="CQ19" s="59">
        <v>251</v>
      </c>
      <c r="CR19" s="59">
        <v>251</v>
      </c>
      <c r="CS19" s="59">
        <v>56</v>
      </c>
      <c r="CT19" s="58">
        <f>CS19+22</f>
        <v>78</v>
      </c>
      <c r="CU19" s="58">
        <f>CT19+22</f>
        <v>100</v>
      </c>
      <c r="CV19" s="57" t="s">
        <v>83</v>
      </c>
      <c r="CW19" s="57" t="s">
        <v>83</v>
      </c>
      <c r="CX19" s="57" t="s">
        <v>83</v>
      </c>
      <c r="CY19" s="59">
        <v>32767</v>
      </c>
      <c r="CZ19" s="59">
        <v>32767</v>
      </c>
      <c r="DA19" s="59">
        <v>56</v>
      </c>
      <c r="DB19" s="58">
        <f>DA19+22</f>
        <v>78</v>
      </c>
      <c r="DC19" s="58">
        <f>DB19+22</f>
        <v>100</v>
      </c>
      <c r="DD19" s="57" t="s">
        <v>83</v>
      </c>
      <c r="DE19" s="57" t="s">
        <v>83</v>
      </c>
      <c r="DF19" s="57" t="s">
        <v>83</v>
      </c>
      <c r="DG19" s="59">
        <v>32767</v>
      </c>
      <c r="DH19" s="59">
        <v>32767</v>
      </c>
      <c r="DI19" s="59">
        <v>56</v>
      </c>
      <c r="DJ19" s="58">
        <f>DI19+22</f>
        <v>78</v>
      </c>
      <c r="DK19" s="58">
        <f>DJ19+22</f>
        <v>100</v>
      </c>
      <c r="DL19" s="57" t="s">
        <v>83</v>
      </c>
      <c r="DM19" s="57" t="s">
        <v>83</v>
      </c>
      <c r="DN19" s="57" t="s">
        <v>83</v>
      </c>
      <c r="DO19" s="59">
        <v>32767</v>
      </c>
      <c r="DP19" s="59">
        <v>32767</v>
      </c>
      <c r="DQ19" s="59">
        <v>56</v>
      </c>
      <c r="DR19" s="58">
        <f>DQ19+22</f>
        <v>78</v>
      </c>
      <c r="DS19" s="58">
        <f>DR19+22</f>
        <v>100</v>
      </c>
      <c r="DT19" s="57" t="s">
        <v>83</v>
      </c>
      <c r="DU19" s="57" t="s">
        <v>83</v>
      </c>
      <c r="DV19" s="57" t="s">
        <v>83</v>
      </c>
      <c r="DW19" s="59">
        <v>32767</v>
      </c>
      <c r="DX19" s="59">
        <v>32767</v>
      </c>
      <c r="DY19" s="59">
        <v>56</v>
      </c>
      <c r="DZ19" s="58">
        <f>DY19+22</f>
        <v>78</v>
      </c>
      <c r="EA19" s="58">
        <f>DZ19+22</f>
        <v>100</v>
      </c>
      <c r="EB19" s="57" t="s">
        <v>83</v>
      </c>
      <c r="EC19" s="57" t="s">
        <v>83</v>
      </c>
      <c r="ED19" s="57" t="s">
        <v>83</v>
      </c>
      <c r="EE19" s="59">
        <v>32767</v>
      </c>
      <c r="EF19" s="59">
        <v>32767</v>
      </c>
      <c r="EG19" s="59">
        <v>56</v>
      </c>
      <c r="EH19" s="58">
        <f>EG19+22</f>
        <v>78</v>
      </c>
      <c r="EI19" s="58">
        <f>EH19+22</f>
        <v>100</v>
      </c>
      <c r="EJ19" s="57" t="s">
        <v>83</v>
      </c>
      <c r="EK19" s="57" t="s">
        <v>83</v>
      </c>
      <c r="EL19" s="57" t="s">
        <v>83</v>
      </c>
      <c r="EM19" s="59">
        <v>32767</v>
      </c>
      <c r="EN19" s="59">
        <v>32767</v>
      </c>
      <c r="EO19" s="59">
        <v>56</v>
      </c>
      <c r="EP19" s="58">
        <f>EO19+22</f>
        <v>78</v>
      </c>
      <c r="EQ19" s="58">
        <f>EP19+22</f>
        <v>100</v>
      </c>
      <c r="ER19" s="57" t="s">
        <v>83</v>
      </c>
      <c r="ES19" s="57" t="s">
        <v>83</v>
      </c>
      <c r="ET19" s="57" t="s">
        <v>83</v>
      </c>
      <c r="EU19" s="59">
        <v>32767</v>
      </c>
      <c r="EV19" s="59">
        <v>32767</v>
      </c>
      <c r="EW19" s="59">
        <v>56</v>
      </c>
      <c r="EX19" s="58">
        <f>EW19+22</f>
        <v>78</v>
      </c>
      <c r="EY19" s="58">
        <f>EX19+22</f>
        <v>100</v>
      </c>
      <c r="EZ19" s="57" t="s">
        <v>83</v>
      </c>
      <c r="FA19" s="57" t="s">
        <v>83</v>
      </c>
      <c r="FB19" s="57" t="s">
        <v>83</v>
      </c>
      <c r="FC19" s="59">
        <v>32767</v>
      </c>
      <c r="FD19" s="59">
        <v>32767</v>
      </c>
      <c r="FE19" s="59">
        <v>56</v>
      </c>
      <c r="FF19" s="58">
        <f>FE19+22</f>
        <v>78</v>
      </c>
      <c r="FG19" s="58">
        <f>FF19+22</f>
        <v>100</v>
      </c>
      <c r="FH19" s="57" t="s">
        <v>83</v>
      </c>
      <c r="FI19" s="57" t="s">
        <v>83</v>
      </c>
      <c r="FJ19" s="57" t="s">
        <v>83</v>
      </c>
      <c r="FK19" s="59">
        <v>32767</v>
      </c>
      <c r="FL19" s="59">
        <v>32767</v>
      </c>
      <c r="FM19" s="59">
        <v>56</v>
      </c>
      <c r="FN19" s="58">
        <f>FM19+22</f>
        <v>78</v>
      </c>
      <c r="FO19" s="58">
        <f>FN19+22</f>
        <v>100</v>
      </c>
      <c r="FP19" s="18">
        <v>100</v>
      </c>
      <c r="FQ19" s="18">
        <v>251</v>
      </c>
      <c r="FR19" s="22" t="s">
        <v>164</v>
      </c>
      <c r="FS19" s="18">
        <v>229</v>
      </c>
      <c r="FT19" s="18">
        <v>220</v>
      </c>
      <c r="FU19" s="22" t="s">
        <v>164</v>
      </c>
      <c r="FV19" s="22" t="s">
        <v>164</v>
      </c>
      <c r="FW19" s="22" t="s">
        <v>164</v>
      </c>
      <c r="FX19" s="22">
        <v>130</v>
      </c>
      <c r="FY19" s="22">
        <v>130</v>
      </c>
      <c r="FZ19" s="22">
        <v>10</v>
      </c>
      <c r="GA19" s="22" t="s">
        <v>164</v>
      </c>
      <c r="GB19" s="22" t="s">
        <v>164</v>
      </c>
      <c r="GC19" s="22" t="s">
        <v>164</v>
      </c>
      <c r="GD19" s="22">
        <v>130</v>
      </c>
      <c r="GE19" s="22">
        <v>130</v>
      </c>
      <c r="GF19" s="22">
        <v>1</v>
      </c>
      <c r="GG19" s="22" t="s">
        <v>164</v>
      </c>
      <c r="GH19" s="22" t="s">
        <v>164</v>
      </c>
      <c r="GI19" s="22" t="s">
        <v>164</v>
      </c>
      <c r="GJ19" s="22">
        <v>130</v>
      </c>
      <c r="GK19" s="22">
        <v>130</v>
      </c>
      <c r="GL19" s="22">
        <v>10</v>
      </c>
      <c r="GM19" s="22" t="s">
        <v>164</v>
      </c>
      <c r="GN19" s="22" t="s">
        <v>164</v>
      </c>
      <c r="GO19" s="22" t="s">
        <v>164</v>
      </c>
      <c r="GP19" s="22">
        <v>130</v>
      </c>
      <c r="GQ19" s="22">
        <v>130</v>
      </c>
      <c r="GR19" s="22">
        <v>10</v>
      </c>
      <c r="GS19" s="22" t="s">
        <v>164</v>
      </c>
      <c r="GT19" s="22" t="s">
        <v>164</v>
      </c>
      <c r="GU19" s="22" t="s">
        <v>164</v>
      </c>
      <c r="GV19" s="22">
        <v>130</v>
      </c>
      <c r="GW19" s="22">
        <v>130</v>
      </c>
      <c r="GX19" s="22">
        <v>10</v>
      </c>
      <c r="GY19" s="22" t="s">
        <v>164</v>
      </c>
      <c r="GZ19" s="22" t="s">
        <v>164</v>
      </c>
      <c r="HA19" s="22" t="s">
        <v>164</v>
      </c>
      <c r="HB19" s="22">
        <v>130</v>
      </c>
      <c r="HC19" s="22">
        <v>130</v>
      </c>
      <c r="HD19" s="22">
        <v>10</v>
      </c>
      <c r="HE19" s="22" t="s">
        <v>164</v>
      </c>
      <c r="HF19" s="22" t="s">
        <v>164</v>
      </c>
      <c r="HG19" s="22" t="s">
        <v>164</v>
      </c>
      <c r="HH19" s="22">
        <v>130</v>
      </c>
      <c r="HI19" s="22">
        <v>130</v>
      </c>
      <c r="HJ19" s="22">
        <v>10</v>
      </c>
      <c r="HK19" s="22" t="s">
        <v>164</v>
      </c>
      <c r="HL19" s="22" t="s">
        <v>164</v>
      </c>
      <c r="HM19" s="22" t="s">
        <v>164</v>
      </c>
      <c r="HN19" s="22">
        <v>130</v>
      </c>
      <c r="HO19" s="22">
        <v>130</v>
      </c>
      <c r="HP19" s="22">
        <v>10</v>
      </c>
      <c r="HQ19" s="22" t="s">
        <v>164</v>
      </c>
      <c r="HR19" s="22" t="s">
        <v>164</v>
      </c>
      <c r="HS19" s="22" t="s">
        <v>164</v>
      </c>
      <c r="HT19" s="22">
        <v>130</v>
      </c>
      <c r="HU19" s="22">
        <v>130</v>
      </c>
      <c r="HV19" s="22">
        <v>10</v>
      </c>
      <c r="HW19" s="22" t="s">
        <v>164</v>
      </c>
      <c r="HX19" s="22" t="s">
        <v>164</v>
      </c>
      <c r="HY19" s="22" t="s">
        <v>164</v>
      </c>
      <c r="HZ19" s="22">
        <v>130</v>
      </c>
      <c r="IA19" s="22">
        <v>130</v>
      </c>
      <c r="IB19" s="22">
        <v>10</v>
      </c>
      <c r="IC19" s="22" t="s">
        <v>164</v>
      </c>
      <c r="ID19" s="22" t="s">
        <v>164</v>
      </c>
      <c r="IE19" s="22" t="s">
        <v>164</v>
      </c>
      <c r="IF19" s="22">
        <v>130</v>
      </c>
      <c r="IG19" s="22">
        <v>130</v>
      </c>
      <c r="IH19" s="22">
        <v>10</v>
      </c>
      <c r="II19" s="18">
        <v>100</v>
      </c>
      <c r="IJ19" s="18">
        <v>-22</v>
      </c>
      <c r="IK19" s="16" t="s">
        <v>83</v>
      </c>
      <c r="IL19" s="18">
        <v>1</v>
      </c>
      <c r="IM19" s="16" t="s">
        <v>83</v>
      </c>
      <c r="IN19" s="18">
        <f>IL19-22</f>
        <v>-21</v>
      </c>
      <c r="IO19" s="18">
        <f>IL19-22</f>
        <v>-21</v>
      </c>
      <c r="IP19" s="18">
        <v>222</v>
      </c>
      <c r="IQ19" s="18" t="s">
        <v>164</v>
      </c>
      <c r="IR19" s="18" t="s">
        <v>164</v>
      </c>
      <c r="IS19" s="18" t="s">
        <v>164</v>
      </c>
      <c r="IT19" s="18">
        <v>16</v>
      </c>
      <c r="IU19" s="18">
        <v>16</v>
      </c>
      <c r="IV19" s="18">
        <v>16</v>
      </c>
      <c r="IW19" s="18">
        <v>16</v>
      </c>
      <c r="IX19" s="18">
        <v>100</v>
      </c>
      <c r="IY19" s="18">
        <v>100</v>
      </c>
      <c r="IZ19" s="18">
        <f>IX19-22</f>
        <v>78</v>
      </c>
      <c r="JA19" s="18">
        <v>78</v>
      </c>
      <c r="JB19" s="18">
        <v>222</v>
      </c>
      <c r="JC19" s="18">
        <v>222</v>
      </c>
      <c r="JD19" s="18" t="s">
        <v>83</v>
      </c>
      <c r="JE19" s="18" t="s">
        <v>164</v>
      </c>
      <c r="JF19" s="18" t="s">
        <v>164</v>
      </c>
      <c r="JG19" s="18" t="s">
        <v>164</v>
      </c>
      <c r="JH19" s="18">
        <v>222</v>
      </c>
      <c r="JI19" s="18">
        <v>222</v>
      </c>
      <c r="JJ19" s="18" t="s">
        <v>164</v>
      </c>
      <c r="JK19" s="18">
        <v>222</v>
      </c>
      <c r="JL19" s="18">
        <v>222</v>
      </c>
      <c r="JM19" s="18" t="s">
        <v>164</v>
      </c>
      <c r="JN19" s="18" t="s">
        <v>164</v>
      </c>
      <c r="JO19" s="18" t="s">
        <v>164</v>
      </c>
      <c r="JP19" s="18">
        <v>222</v>
      </c>
      <c r="JQ19" s="18">
        <v>222</v>
      </c>
      <c r="JR19" s="18" t="s">
        <v>164</v>
      </c>
      <c r="JS19" s="18">
        <v>222</v>
      </c>
      <c r="JT19" s="18">
        <v>222</v>
      </c>
      <c r="JU19" s="18" t="s">
        <v>164</v>
      </c>
      <c r="JV19" s="18" t="s">
        <v>164</v>
      </c>
      <c r="JW19" s="18" t="s">
        <v>164</v>
      </c>
      <c r="JX19" s="18">
        <v>222</v>
      </c>
      <c r="JY19" s="18">
        <v>222</v>
      </c>
      <c r="JZ19" s="18" t="s">
        <v>164</v>
      </c>
      <c r="KA19" s="18">
        <v>222</v>
      </c>
      <c r="KB19" s="18">
        <v>222</v>
      </c>
      <c r="KC19" s="18" t="s">
        <v>164</v>
      </c>
      <c r="KD19" s="18" t="s">
        <v>164</v>
      </c>
      <c r="KE19" s="18" t="s">
        <v>164</v>
      </c>
      <c r="KF19" s="18">
        <v>222</v>
      </c>
      <c r="KG19" s="18">
        <v>222</v>
      </c>
      <c r="KH19" s="18" t="s">
        <v>164</v>
      </c>
      <c r="KI19" s="18">
        <v>222</v>
      </c>
      <c r="KJ19" s="18">
        <v>222</v>
      </c>
      <c r="KK19" s="18" t="s">
        <v>164</v>
      </c>
      <c r="KL19" s="18" t="s">
        <v>164</v>
      </c>
      <c r="KM19" s="18" t="s">
        <v>164</v>
      </c>
      <c r="KN19" s="18">
        <v>222</v>
      </c>
      <c r="KO19" s="18">
        <v>222</v>
      </c>
      <c r="KP19" s="18" t="s">
        <v>164</v>
      </c>
      <c r="KQ19" s="18">
        <v>222</v>
      </c>
      <c r="KR19" s="18">
        <v>222</v>
      </c>
      <c r="KS19" s="18" t="s">
        <v>164</v>
      </c>
      <c r="KT19" s="18" t="s">
        <v>164</v>
      </c>
      <c r="KU19" s="18" t="s">
        <v>164</v>
      </c>
      <c r="KV19" s="18">
        <v>222</v>
      </c>
      <c r="KW19" s="18">
        <v>222</v>
      </c>
      <c r="KX19" s="18" t="s">
        <v>164</v>
      </c>
      <c r="KY19" s="18">
        <v>222</v>
      </c>
      <c r="KZ19" s="18">
        <v>222</v>
      </c>
      <c r="LA19" s="18" t="s">
        <v>164</v>
      </c>
      <c r="LB19" s="18" t="s">
        <v>164</v>
      </c>
      <c r="LC19" s="18" t="s">
        <v>164</v>
      </c>
      <c r="LD19" s="18">
        <v>222</v>
      </c>
      <c r="LE19" s="18">
        <v>222</v>
      </c>
      <c r="LF19" s="18" t="s">
        <v>164</v>
      </c>
      <c r="LG19" s="18">
        <v>222</v>
      </c>
      <c r="LH19" s="18">
        <v>222</v>
      </c>
      <c r="LI19" s="18" t="s">
        <v>164</v>
      </c>
      <c r="LJ19" s="18" t="s">
        <v>164</v>
      </c>
      <c r="LK19" s="18" t="s">
        <v>164</v>
      </c>
      <c r="LL19" s="18">
        <v>222</v>
      </c>
      <c r="LM19" s="18">
        <v>222</v>
      </c>
      <c r="LN19" s="18" t="s">
        <v>164</v>
      </c>
      <c r="LO19" s="18">
        <v>222</v>
      </c>
      <c r="LP19" s="18">
        <v>222</v>
      </c>
      <c r="LQ19" s="18" t="s">
        <v>164</v>
      </c>
      <c r="LR19" s="18" t="s">
        <v>164</v>
      </c>
      <c r="LS19" s="18" t="s">
        <v>164</v>
      </c>
      <c r="LT19" s="18">
        <v>222</v>
      </c>
      <c r="LU19" s="18">
        <v>222</v>
      </c>
      <c r="LV19" s="18" t="s">
        <v>164</v>
      </c>
      <c r="LW19" s="18">
        <v>222</v>
      </c>
      <c r="LX19" s="18">
        <v>222</v>
      </c>
      <c r="LY19" s="18" t="s">
        <v>164</v>
      </c>
      <c r="LZ19" s="18" t="s">
        <v>164</v>
      </c>
      <c r="MA19" s="18" t="s">
        <v>164</v>
      </c>
      <c r="MB19" s="18">
        <v>222</v>
      </c>
      <c r="MC19" s="18">
        <v>222</v>
      </c>
      <c r="MD19" s="22" t="s">
        <v>164</v>
      </c>
      <c r="ME19" s="18">
        <v>222</v>
      </c>
      <c r="MF19" s="18">
        <v>222</v>
      </c>
      <c r="MG19" s="22" t="s">
        <v>164</v>
      </c>
      <c r="MH19" s="22" t="s">
        <v>164</v>
      </c>
      <c r="MI19" s="22" t="s">
        <v>164</v>
      </c>
      <c r="MJ19" s="18">
        <v>222</v>
      </c>
      <c r="MK19" s="18">
        <v>222</v>
      </c>
      <c r="ML19" s="22" t="s">
        <v>164</v>
      </c>
      <c r="MM19" s="22"/>
      <c r="MN19" s="22"/>
    </row>
    <row r="20" spans="1:352" s="1" customFormat="1" ht="23.25" customHeight="1" x14ac:dyDescent="0.25">
      <c r="A20" s="34" t="s">
        <v>2</v>
      </c>
      <c r="B20" s="34" t="s">
        <v>28</v>
      </c>
      <c r="C20" s="34">
        <v>1</v>
      </c>
      <c r="D20" s="34">
        <v>1</v>
      </c>
      <c r="E20" s="34" t="s">
        <v>83</v>
      </c>
      <c r="F20" s="34" t="s">
        <v>83</v>
      </c>
      <c r="G20" s="34" t="s">
        <v>83</v>
      </c>
      <c r="H20" s="34">
        <v>1</v>
      </c>
      <c r="I20" s="34">
        <v>1</v>
      </c>
      <c r="J20" s="34">
        <v>1</v>
      </c>
      <c r="K20" s="34">
        <v>1</v>
      </c>
      <c r="L20" s="34">
        <v>1</v>
      </c>
      <c r="M20" s="34">
        <v>1</v>
      </c>
      <c r="N20" s="34">
        <v>1</v>
      </c>
      <c r="O20" s="34">
        <v>1</v>
      </c>
      <c r="P20" s="34">
        <v>1</v>
      </c>
      <c r="Q20" s="34">
        <v>1</v>
      </c>
      <c r="R20" s="34">
        <v>0</v>
      </c>
      <c r="S20" s="34">
        <v>0</v>
      </c>
      <c r="T20" s="34">
        <v>0</v>
      </c>
      <c r="U20" s="34">
        <v>1</v>
      </c>
      <c r="V20" s="34">
        <v>1</v>
      </c>
      <c r="W20" s="34">
        <v>1</v>
      </c>
      <c r="X20" s="34">
        <v>1</v>
      </c>
      <c r="Y20" s="34">
        <v>1</v>
      </c>
      <c r="Z20" s="34">
        <v>1</v>
      </c>
      <c r="AA20" s="34">
        <v>1</v>
      </c>
      <c r="AB20" s="34">
        <v>1</v>
      </c>
      <c r="AC20" s="34">
        <v>1</v>
      </c>
      <c r="AD20" s="34">
        <v>1</v>
      </c>
      <c r="AE20" s="34">
        <v>1</v>
      </c>
      <c r="AF20" s="34">
        <v>1</v>
      </c>
      <c r="AG20" s="34">
        <v>1</v>
      </c>
      <c r="AH20" s="34">
        <v>1</v>
      </c>
      <c r="AI20" s="34">
        <v>1</v>
      </c>
      <c r="AJ20" s="34">
        <v>1</v>
      </c>
      <c r="AK20" s="34">
        <v>1</v>
      </c>
      <c r="AL20" s="34">
        <v>1</v>
      </c>
      <c r="AM20" s="34">
        <v>1</v>
      </c>
      <c r="AN20" s="34">
        <v>1</v>
      </c>
      <c r="AO20" s="34">
        <v>1</v>
      </c>
      <c r="AP20" s="34">
        <v>1</v>
      </c>
      <c r="AQ20" s="34">
        <v>1</v>
      </c>
      <c r="AR20" s="34">
        <v>1</v>
      </c>
      <c r="AS20" s="34">
        <v>1</v>
      </c>
      <c r="AT20" s="34">
        <v>1</v>
      </c>
      <c r="AU20" s="34">
        <v>1</v>
      </c>
      <c r="AV20" s="34">
        <v>1</v>
      </c>
      <c r="AW20" s="34">
        <v>1</v>
      </c>
      <c r="AX20" s="34">
        <v>1</v>
      </c>
      <c r="AY20" s="34">
        <v>1</v>
      </c>
      <c r="AZ20" s="34">
        <v>1</v>
      </c>
      <c r="BA20" s="34">
        <v>1</v>
      </c>
      <c r="BB20" s="34">
        <v>1</v>
      </c>
      <c r="BC20" s="34">
        <v>1</v>
      </c>
      <c r="BD20" s="34">
        <v>1</v>
      </c>
      <c r="BE20" s="34">
        <v>1</v>
      </c>
      <c r="BF20" s="34">
        <v>1</v>
      </c>
      <c r="BG20" s="34">
        <v>1</v>
      </c>
      <c r="BH20" s="34">
        <v>1</v>
      </c>
      <c r="BI20" s="34">
        <v>1</v>
      </c>
      <c r="BJ20" s="34">
        <v>1</v>
      </c>
      <c r="BK20" s="34">
        <v>1</v>
      </c>
      <c r="BL20" s="34">
        <v>1</v>
      </c>
      <c r="BM20" s="34">
        <v>1</v>
      </c>
      <c r="BN20" s="34">
        <v>1</v>
      </c>
      <c r="BO20" s="34">
        <v>1</v>
      </c>
      <c r="BP20" s="34">
        <v>1</v>
      </c>
      <c r="BQ20" s="17" t="s">
        <v>83</v>
      </c>
      <c r="BR20" s="17" t="s">
        <v>83</v>
      </c>
      <c r="BS20" s="17" t="s">
        <v>83</v>
      </c>
      <c r="BT20" s="17">
        <v>1</v>
      </c>
      <c r="BU20" s="17">
        <v>1</v>
      </c>
      <c r="BV20" s="34">
        <v>1</v>
      </c>
      <c r="BW20" s="34">
        <v>1</v>
      </c>
      <c r="BX20" s="34">
        <v>1</v>
      </c>
      <c r="BY20" s="34">
        <v>1</v>
      </c>
      <c r="BZ20" s="34">
        <v>1</v>
      </c>
      <c r="CA20" s="34">
        <v>1</v>
      </c>
      <c r="CB20" s="34">
        <v>1</v>
      </c>
      <c r="CC20" s="34">
        <v>1</v>
      </c>
      <c r="CD20" s="34">
        <v>1</v>
      </c>
      <c r="CE20" s="34">
        <v>1</v>
      </c>
      <c r="CF20" s="57" t="s">
        <v>83</v>
      </c>
      <c r="CG20" s="57" t="s">
        <v>83</v>
      </c>
      <c r="CH20" s="57" t="s">
        <v>83</v>
      </c>
      <c r="CI20" s="56">
        <v>1</v>
      </c>
      <c r="CJ20" s="56">
        <v>1</v>
      </c>
      <c r="CK20" s="56">
        <v>1</v>
      </c>
      <c r="CL20" s="56">
        <v>1</v>
      </c>
      <c r="CM20" s="56">
        <v>1</v>
      </c>
      <c r="CN20" s="57" t="s">
        <v>83</v>
      </c>
      <c r="CO20" s="57" t="s">
        <v>83</v>
      </c>
      <c r="CP20" s="57" t="s">
        <v>83</v>
      </c>
      <c r="CQ20" s="56">
        <v>1</v>
      </c>
      <c r="CR20" s="56">
        <v>1</v>
      </c>
      <c r="CS20" s="56">
        <v>1</v>
      </c>
      <c r="CT20" s="56">
        <v>1</v>
      </c>
      <c r="CU20" s="56">
        <v>1</v>
      </c>
      <c r="CV20" s="57" t="s">
        <v>83</v>
      </c>
      <c r="CW20" s="57" t="s">
        <v>83</v>
      </c>
      <c r="CX20" s="57" t="s">
        <v>83</v>
      </c>
      <c r="CY20" s="56">
        <v>0</v>
      </c>
      <c r="CZ20" s="56">
        <v>0</v>
      </c>
      <c r="DA20" s="56">
        <v>0</v>
      </c>
      <c r="DB20" s="56">
        <v>0</v>
      </c>
      <c r="DC20" s="56">
        <v>0</v>
      </c>
      <c r="DD20" s="57" t="s">
        <v>83</v>
      </c>
      <c r="DE20" s="57" t="s">
        <v>83</v>
      </c>
      <c r="DF20" s="57" t="s">
        <v>83</v>
      </c>
      <c r="DG20" s="56">
        <v>0</v>
      </c>
      <c r="DH20" s="56">
        <v>0</v>
      </c>
      <c r="DI20" s="56">
        <v>0</v>
      </c>
      <c r="DJ20" s="56">
        <v>0</v>
      </c>
      <c r="DK20" s="56">
        <v>0</v>
      </c>
      <c r="DL20" s="57" t="s">
        <v>83</v>
      </c>
      <c r="DM20" s="57" t="s">
        <v>83</v>
      </c>
      <c r="DN20" s="57" t="s">
        <v>83</v>
      </c>
      <c r="DO20" s="56">
        <v>0</v>
      </c>
      <c r="DP20" s="56">
        <v>0</v>
      </c>
      <c r="DQ20" s="56">
        <v>0</v>
      </c>
      <c r="DR20" s="56">
        <v>0</v>
      </c>
      <c r="DS20" s="56">
        <v>0</v>
      </c>
      <c r="DT20" s="57" t="s">
        <v>83</v>
      </c>
      <c r="DU20" s="57" t="s">
        <v>83</v>
      </c>
      <c r="DV20" s="57" t="s">
        <v>83</v>
      </c>
      <c r="DW20" s="56">
        <v>0</v>
      </c>
      <c r="DX20" s="56">
        <v>0</v>
      </c>
      <c r="DY20" s="56">
        <v>0</v>
      </c>
      <c r="DZ20" s="56">
        <v>0</v>
      </c>
      <c r="EA20" s="56">
        <v>0</v>
      </c>
      <c r="EB20" s="57" t="s">
        <v>83</v>
      </c>
      <c r="EC20" s="57" t="s">
        <v>83</v>
      </c>
      <c r="ED20" s="57" t="s">
        <v>83</v>
      </c>
      <c r="EE20" s="56">
        <v>0</v>
      </c>
      <c r="EF20" s="56">
        <v>0</v>
      </c>
      <c r="EG20" s="56">
        <v>0</v>
      </c>
      <c r="EH20" s="56">
        <v>0</v>
      </c>
      <c r="EI20" s="56">
        <v>0</v>
      </c>
      <c r="EJ20" s="57" t="s">
        <v>83</v>
      </c>
      <c r="EK20" s="57" t="s">
        <v>83</v>
      </c>
      <c r="EL20" s="57" t="s">
        <v>83</v>
      </c>
      <c r="EM20" s="56">
        <v>0</v>
      </c>
      <c r="EN20" s="56">
        <v>0</v>
      </c>
      <c r="EO20" s="56">
        <v>0</v>
      </c>
      <c r="EP20" s="56">
        <v>0</v>
      </c>
      <c r="EQ20" s="56">
        <v>0</v>
      </c>
      <c r="ER20" s="57" t="s">
        <v>83</v>
      </c>
      <c r="ES20" s="57" t="s">
        <v>83</v>
      </c>
      <c r="ET20" s="57" t="s">
        <v>83</v>
      </c>
      <c r="EU20" s="56">
        <v>0</v>
      </c>
      <c r="EV20" s="56">
        <v>0</v>
      </c>
      <c r="EW20" s="56">
        <v>0</v>
      </c>
      <c r="EX20" s="56">
        <v>0</v>
      </c>
      <c r="EY20" s="56">
        <v>0</v>
      </c>
      <c r="EZ20" s="57" t="s">
        <v>83</v>
      </c>
      <c r="FA20" s="57" t="s">
        <v>83</v>
      </c>
      <c r="FB20" s="57" t="s">
        <v>83</v>
      </c>
      <c r="FC20" s="56">
        <v>0</v>
      </c>
      <c r="FD20" s="56">
        <v>0</v>
      </c>
      <c r="FE20" s="56">
        <v>0</v>
      </c>
      <c r="FF20" s="56">
        <v>0</v>
      </c>
      <c r="FG20" s="56">
        <v>0</v>
      </c>
      <c r="FH20" s="57" t="s">
        <v>83</v>
      </c>
      <c r="FI20" s="57" t="s">
        <v>83</v>
      </c>
      <c r="FJ20" s="57" t="s">
        <v>83</v>
      </c>
      <c r="FK20" s="56">
        <v>0</v>
      </c>
      <c r="FL20" s="56">
        <v>0</v>
      </c>
      <c r="FM20" s="56">
        <v>0</v>
      </c>
      <c r="FN20" s="56">
        <v>0</v>
      </c>
      <c r="FO20" s="56">
        <v>0</v>
      </c>
      <c r="FP20" s="34">
        <v>0</v>
      </c>
      <c r="FQ20" s="34">
        <v>1</v>
      </c>
      <c r="FR20" s="22" t="s">
        <v>164</v>
      </c>
      <c r="FS20" s="34">
        <v>1</v>
      </c>
      <c r="FT20" s="34">
        <v>1</v>
      </c>
      <c r="FU20" s="22" t="s">
        <v>164</v>
      </c>
      <c r="FV20" s="22" t="s">
        <v>164</v>
      </c>
      <c r="FW20" s="22" t="s">
        <v>164</v>
      </c>
      <c r="FX20" s="23">
        <v>0</v>
      </c>
      <c r="FY20" s="23">
        <v>0</v>
      </c>
      <c r="FZ20" s="23">
        <v>0</v>
      </c>
      <c r="GA20" s="22" t="s">
        <v>164</v>
      </c>
      <c r="GB20" s="22" t="s">
        <v>164</v>
      </c>
      <c r="GC20" s="22" t="s">
        <v>164</v>
      </c>
      <c r="GD20" s="23">
        <v>0</v>
      </c>
      <c r="GE20" s="23">
        <v>0</v>
      </c>
      <c r="GF20" s="23">
        <v>0</v>
      </c>
      <c r="GG20" s="22" t="s">
        <v>164</v>
      </c>
      <c r="GH20" s="22" t="s">
        <v>164</v>
      </c>
      <c r="GI20" s="22" t="s">
        <v>164</v>
      </c>
      <c r="GJ20" s="23">
        <v>0</v>
      </c>
      <c r="GK20" s="23">
        <v>0</v>
      </c>
      <c r="GL20" s="23">
        <v>0</v>
      </c>
      <c r="GM20" s="22" t="s">
        <v>164</v>
      </c>
      <c r="GN20" s="22" t="s">
        <v>164</v>
      </c>
      <c r="GO20" s="22" t="s">
        <v>164</v>
      </c>
      <c r="GP20" s="23">
        <v>0</v>
      </c>
      <c r="GQ20" s="23">
        <v>0</v>
      </c>
      <c r="GR20" s="23">
        <v>0</v>
      </c>
      <c r="GS20" s="22" t="s">
        <v>164</v>
      </c>
      <c r="GT20" s="22" t="s">
        <v>164</v>
      </c>
      <c r="GU20" s="22" t="s">
        <v>164</v>
      </c>
      <c r="GV20" s="23">
        <v>0</v>
      </c>
      <c r="GW20" s="23">
        <v>0</v>
      </c>
      <c r="GX20" s="23">
        <v>0</v>
      </c>
      <c r="GY20" s="22" t="s">
        <v>164</v>
      </c>
      <c r="GZ20" s="22" t="s">
        <v>164</v>
      </c>
      <c r="HA20" s="22" t="s">
        <v>164</v>
      </c>
      <c r="HB20" s="23">
        <v>0</v>
      </c>
      <c r="HC20" s="23">
        <v>0</v>
      </c>
      <c r="HD20" s="23">
        <v>0</v>
      </c>
      <c r="HE20" s="22" t="s">
        <v>164</v>
      </c>
      <c r="HF20" s="22" t="s">
        <v>164</v>
      </c>
      <c r="HG20" s="22" t="s">
        <v>164</v>
      </c>
      <c r="HH20" s="23">
        <v>0</v>
      </c>
      <c r="HI20" s="23">
        <v>0</v>
      </c>
      <c r="HJ20" s="23">
        <v>0</v>
      </c>
      <c r="HK20" s="22" t="s">
        <v>164</v>
      </c>
      <c r="HL20" s="22" t="s">
        <v>164</v>
      </c>
      <c r="HM20" s="22" t="s">
        <v>164</v>
      </c>
      <c r="HN20" s="23">
        <v>0</v>
      </c>
      <c r="HO20" s="23">
        <v>0</v>
      </c>
      <c r="HP20" s="23">
        <v>0</v>
      </c>
      <c r="HQ20" s="22" t="s">
        <v>164</v>
      </c>
      <c r="HR20" s="22" t="s">
        <v>164</v>
      </c>
      <c r="HS20" s="22" t="s">
        <v>164</v>
      </c>
      <c r="HT20" s="23">
        <v>0</v>
      </c>
      <c r="HU20" s="23">
        <v>0</v>
      </c>
      <c r="HV20" s="23">
        <v>0</v>
      </c>
      <c r="HW20" s="22" t="s">
        <v>164</v>
      </c>
      <c r="HX20" s="22" t="s">
        <v>164</v>
      </c>
      <c r="HY20" s="22" t="s">
        <v>164</v>
      </c>
      <c r="HZ20" s="23">
        <v>0</v>
      </c>
      <c r="IA20" s="23">
        <v>0</v>
      </c>
      <c r="IB20" s="23">
        <v>0</v>
      </c>
      <c r="IC20" s="22" t="s">
        <v>164</v>
      </c>
      <c r="ID20" s="22" t="s">
        <v>164</v>
      </c>
      <c r="IE20" s="22" t="s">
        <v>164</v>
      </c>
      <c r="IF20" s="23">
        <v>0</v>
      </c>
      <c r="IG20" s="23">
        <v>0</v>
      </c>
      <c r="IH20" s="23">
        <v>0</v>
      </c>
      <c r="II20" s="34">
        <v>1</v>
      </c>
      <c r="IJ20" s="34">
        <v>1</v>
      </c>
      <c r="IK20" s="16" t="s">
        <v>83</v>
      </c>
      <c r="IL20" s="34">
        <v>1</v>
      </c>
      <c r="IM20" s="16" t="s">
        <v>83</v>
      </c>
      <c r="IN20" s="34">
        <v>1</v>
      </c>
      <c r="IO20" s="34">
        <v>1</v>
      </c>
      <c r="IP20" s="34">
        <v>1</v>
      </c>
      <c r="IQ20" s="34" t="s">
        <v>164</v>
      </c>
      <c r="IR20" s="34" t="s">
        <v>164</v>
      </c>
      <c r="IS20" s="34" t="s">
        <v>164</v>
      </c>
      <c r="IT20" s="34">
        <v>1</v>
      </c>
      <c r="IU20" s="34">
        <v>1</v>
      </c>
      <c r="IV20" s="34">
        <v>1</v>
      </c>
      <c r="IW20" s="34">
        <v>1</v>
      </c>
      <c r="IX20" s="34">
        <v>1</v>
      </c>
      <c r="IY20" s="34">
        <v>1</v>
      </c>
      <c r="IZ20" s="34">
        <v>1</v>
      </c>
      <c r="JA20" s="34">
        <v>1</v>
      </c>
      <c r="JB20" s="34">
        <v>1</v>
      </c>
      <c r="JC20" s="34">
        <v>1</v>
      </c>
      <c r="JD20" s="34" t="s">
        <v>83</v>
      </c>
      <c r="JE20" s="34" t="s">
        <v>164</v>
      </c>
      <c r="JF20" s="34" t="s">
        <v>164</v>
      </c>
      <c r="JG20" s="34" t="s">
        <v>164</v>
      </c>
      <c r="JH20" s="34">
        <v>0</v>
      </c>
      <c r="JI20" s="34">
        <v>0</v>
      </c>
      <c r="JJ20" s="34" t="s">
        <v>164</v>
      </c>
      <c r="JK20" s="34">
        <v>0</v>
      </c>
      <c r="JL20" s="34">
        <v>0</v>
      </c>
      <c r="JM20" s="34" t="s">
        <v>164</v>
      </c>
      <c r="JN20" s="34" t="s">
        <v>164</v>
      </c>
      <c r="JO20" s="34" t="s">
        <v>164</v>
      </c>
      <c r="JP20" s="34">
        <v>0</v>
      </c>
      <c r="JQ20" s="34">
        <v>0</v>
      </c>
      <c r="JR20" s="34" t="s">
        <v>164</v>
      </c>
      <c r="JS20" s="34">
        <v>0</v>
      </c>
      <c r="JT20" s="34">
        <v>0</v>
      </c>
      <c r="JU20" s="34" t="s">
        <v>164</v>
      </c>
      <c r="JV20" s="34" t="s">
        <v>164</v>
      </c>
      <c r="JW20" s="34" t="s">
        <v>164</v>
      </c>
      <c r="JX20" s="34">
        <v>0</v>
      </c>
      <c r="JY20" s="34">
        <v>0</v>
      </c>
      <c r="JZ20" s="34" t="s">
        <v>164</v>
      </c>
      <c r="KA20" s="34">
        <v>0</v>
      </c>
      <c r="KB20" s="34">
        <v>0</v>
      </c>
      <c r="KC20" s="34" t="s">
        <v>164</v>
      </c>
      <c r="KD20" s="34" t="s">
        <v>164</v>
      </c>
      <c r="KE20" s="34" t="s">
        <v>164</v>
      </c>
      <c r="KF20" s="34">
        <v>0</v>
      </c>
      <c r="KG20" s="34">
        <v>0</v>
      </c>
      <c r="KH20" s="34" t="s">
        <v>164</v>
      </c>
      <c r="KI20" s="34">
        <v>0</v>
      </c>
      <c r="KJ20" s="34">
        <v>0</v>
      </c>
      <c r="KK20" s="34" t="s">
        <v>164</v>
      </c>
      <c r="KL20" s="34" t="s">
        <v>164</v>
      </c>
      <c r="KM20" s="34" t="s">
        <v>164</v>
      </c>
      <c r="KN20" s="34">
        <v>0</v>
      </c>
      <c r="KO20" s="34">
        <v>0</v>
      </c>
      <c r="KP20" s="34" t="s">
        <v>164</v>
      </c>
      <c r="KQ20" s="34">
        <v>0</v>
      </c>
      <c r="KR20" s="34">
        <v>0</v>
      </c>
      <c r="KS20" s="34" t="s">
        <v>164</v>
      </c>
      <c r="KT20" s="34" t="s">
        <v>164</v>
      </c>
      <c r="KU20" s="34" t="s">
        <v>164</v>
      </c>
      <c r="KV20" s="34">
        <v>0</v>
      </c>
      <c r="KW20" s="34">
        <v>0</v>
      </c>
      <c r="KX20" s="34" t="s">
        <v>164</v>
      </c>
      <c r="KY20" s="34">
        <v>0</v>
      </c>
      <c r="KZ20" s="34">
        <v>0</v>
      </c>
      <c r="LA20" s="34" t="s">
        <v>164</v>
      </c>
      <c r="LB20" s="34" t="s">
        <v>164</v>
      </c>
      <c r="LC20" s="34" t="s">
        <v>164</v>
      </c>
      <c r="LD20" s="34">
        <v>0</v>
      </c>
      <c r="LE20" s="34">
        <v>0</v>
      </c>
      <c r="LF20" s="34" t="s">
        <v>164</v>
      </c>
      <c r="LG20" s="34">
        <v>0</v>
      </c>
      <c r="LH20" s="34">
        <v>0</v>
      </c>
      <c r="LI20" s="34" t="s">
        <v>164</v>
      </c>
      <c r="LJ20" s="34" t="s">
        <v>164</v>
      </c>
      <c r="LK20" s="34" t="s">
        <v>164</v>
      </c>
      <c r="LL20" s="34">
        <v>0</v>
      </c>
      <c r="LM20" s="34">
        <v>0</v>
      </c>
      <c r="LN20" s="34" t="s">
        <v>164</v>
      </c>
      <c r="LO20" s="34">
        <v>0</v>
      </c>
      <c r="LP20" s="34">
        <v>0</v>
      </c>
      <c r="LQ20" s="34" t="s">
        <v>164</v>
      </c>
      <c r="LR20" s="34" t="s">
        <v>164</v>
      </c>
      <c r="LS20" s="34" t="s">
        <v>164</v>
      </c>
      <c r="LT20" s="34">
        <v>0</v>
      </c>
      <c r="LU20" s="34">
        <v>0</v>
      </c>
      <c r="LV20" s="34" t="s">
        <v>164</v>
      </c>
      <c r="LW20" s="34">
        <v>0</v>
      </c>
      <c r="LX20" s="34">
        <v>0</v>
      </c>
      <c r="LY20" s="34" t="s">
        <v>164</v>
      </c>
      <c r="LZ20" s="34" t="s">
        <v>164</v>
      </c>
      <c r="MA20" s="34" t="s">
        <v>164</v>
      </c>
      <c r="MB20" s="34">
        <v>0</v>
      </c>
      <c r="MC20" s="34">
        <v>0</v>
      </c>
      <c r="MD20" s="22" t="s">
        <v>164</v>
      </c>
      <c r="ME20" s="34">
        <v>0</v>
      </c>
      <c r="MF20" s="34">
        <v>0</v>
      </c>
      <c r="MG20" s="22" t="s">
        <v>164</v>
      </c>
      <c r="MH20" s="22" t="s">
        <v>164</v>
      </c>
      <c r="MI20" s="22" t="s">
        <v>164</v>
      </c>
      <c r="MJ20" s="34">
        <v>0</v>
      </c>
      <c r="MK20" s="34">
        <v>0</v>
      </c>
      <c r="ML20" s="22" t="s">
        <v>164</v>
      </c>
      <c r="MM20" s="22"/>
      <c r="MN20" s="22"/>
    </row>
    <row r="21" spans="1:352" s="1" customFormat="1" ht="23.25" customHeight="1" x14ac:dyDescent="0.25">
      <c r="A21" s="34" t="s">
        <v>2</v>
      </c>
      <c r="B21" s="34" t="s">
        <v>29</v>
      </c>
      <c r="C21" s="34">
        <v>0</v>
      </c>
      <c r="D21" s="34">
        <v>0</v>
      </c>
      <c r="E21" s="34" t="s">
        <v>83</v>
      </c>
      <c r="F21" s="34" t="s">
        <v>83</v>
      </c>
      <c r="G21" s="34" t="s">
        <v>83</v>
      </c>
      <c r="H21" s="34">
        <v>0</v>
      </c>
      <c r="I21" s="34">
        <v>0</v>
      </c>
      <c r="J21" s="34">
        <v>0</v>
      </c>
      <c r="K21" s="34">
        <v>0</v>
      </c>
      <c r="L21" s="34">
        <v>0</v>
      </c>
      <c r="M21" s="34">
        <v>0</v>
      </c>
      <c r="N21" s="34">
        <v>0</v>
      </c>
      <c r="O21" s="34">
        <v>0</v>
      </c>
      <c r="P21" s="34">
        <v>0</v>
      </c>
      <c r="Q21" s="34">
        <v>0</v>
      </c>
      <c r="R21" s="34">
        <v>0</v>
      </c>
      <c r="S21" s="34">
        <v>0</v>
      </c>
      <c r="T21" s="34">
        <v>0</v>
      </c>
      <c r="U21" s="34">
        <v>0</v>
      </c>
      <c r="V21" s="34">
        <v>0</v>
      </c>
      <c r="W21" s="34">
        <v>0</v>
      </c>
      <c r="X21" s="34">
        <v>1</v>
      </c>
      <c r="Y21" s="34">
        <v>1</v>
      </c>
      <c r="Z21" s="34">
        <v>1</v>
      </c>
      <c r="AA21" s="34">
        <v>0</v>
      </c>
      <c r="AB21" s="34">
        <v>0</v>
      </c>
      <c r="AC21" s="34">
        <v>0</v>
      </c>
      <c r="AD21" s="34">
        <v>0</v>
      </c>
      <c r="AE21" s="34">
        <v>0</v>
      </c>
      <c r="AF21" s="34">
        <v>0</v>
      </c>
      <c r="AG21" s="34">
        <v>0</v>
      </c>
      <c r="AH21" s="34">
        <v>0</v>
      </c>
      <c r="AI21" s="34">
        <v>0</v>
      </c>
      <c r="AJ21" s="34">
        <v>0</v>
      </c>
      <c r="AK21" s="34">
        <v>0</v>
      </c>
      <c r="AL21" s="34">
        <v>0</v>
      </c>
      <c r="AM21" s="34">
        <v>0</v>
      </c>
      <c r="AN21" s="34">
        <v>0</v>
      </c>
      <c r="AO21" s="34">
        <v>0</v>
      </c>
      <c r="AP21" s="34">
        <v>0</v>
      </c>
      <c r="AQ21" s="34">
        <v>0</v>
      </c>
      <c r="AR21" s="34">
        <v>0</v>
      </c>
      <c r="AS21" s="34">
        <v>0</v>
      </c>
      <c r="AT21" s="34">
        <v>0</v>
      </c>
      <c r="AU21" s="34">
        <v>0</v>
      </c>
      <c r="AV21" s="34">
        <v>0</v>
      </c>
      <c r="AW21" s="34">
        <v>0</v>
      </c>
      <c r="AX21" s="34">
        <v>0</v>
      </c>
      <c r="AY21" s="34">
        <v>0</v>
      </c>
      <c r="AZ21" s="34">
        <v>0</v>
      </c>
      <c r="BA21" s="34">
        <v>0</v>
      </c>
      <c r="BB21" s="34">
        <v>0</v>
      </c>
      <c r="BC21" s="34">
        <v>0</v>
      </c>
      <c r="BD21" s="34">
        <v>0</v>
      </c>
      <c r="BE21" s="34">
        <v>0</v>
      </c>
      <c r="BF21" s="34">
        <v>0</v>
      </c>
      <c r="BG21" s="34">
        <v>0</v>
      </c>
      <c r="BH21" s="34">
        <v>0</v>
      </c>
      <c r="BI21" s="34">
        <v>0</v>
      </c>
      <c r="BJ21" s="34">
        <v>0</v>
      </c>
      <c r="BK21" s="34">
        <v>0</v>
      </c>
      <c r="BL21" s="34">
        <v>0</v>
      </c>
      <c r="BM21" s="34">
        <v>0</v>
      </c>
      <c r="BN21" s="34">
        <v>0</v>
      </c>
      <c r="BO21" s="34">
        <v>0</v>
      </c>
      <c r="BP21" s="34">
        <v>0</v>
      </c>
      <c r="BQ21" s="17" t="s">
        <v>83</v>
      </c>
      <c r="BR21" s="17" t="s">
        <v>83</v>
      </c>
      <c r="BS21" s="17" t="s">
        <v>83</v>
      </c>
      <c r="BT21" s="17">
        <v>0</v>
      </c>
      <c r="BU21" s="17">
        <v>0</v>
      </c>
      <c r="BV21" s="34">
        <v>0</v>
      </c>
      <c r="BW21" s="34">
        <v>0</v>
      </c>
      <c r="BX21" s="34">
        <v>0</v>
      </c>
      <c r="BY21" s="34">
        <v>0</v>
      </c>
      <c r="BZ21" s="34">
        <v>0</v>
      </c>
      <c r="CA21" s="34">
        <v>0</v>
      </c>
      <c r="CB21" s="34">
        <v>0</v>
      </c>
      <c r="CC21" s="34">
        <v>0</v>
      </c>
      <c r="CD21" s="34">
        <v>0</v>
      </c>
      <c r="CE21" s="34">
        <v>0</v>
      </c>
      <c r="CF21" s="57" t="s">
        <v>83</v>
      </c>
      <c r="CG21" s="57" t="s">
        <v>83</v>
      </c>
      <c r="CH21" s="57" t="s">
        <v>83</v>
      </c>
      <c r="CI21" s="56">
        <v>0</v>
      </c>
      <c r="CJ21" s="56">
        <v>0</v>
      </c>
      <c r="CK21" s="56">
        <v>0</v>
      </c>
      <c r="CL21" s="56">
        <v>0</v>
      </c>
      <c r="CM21" s="56">
        <v>0</v>
      </c>
      <c r="CN21" s="57" t="s">
        <v>83</v>
      </c>
      <c r="CO21" s="57" t="s">
        <v>83</v>
      </c>
      <c r="CP21" s="57" t="s">
        <v>83</v>
      </c>
      <c r="CQ21" s="56">
        <v>0</v>
      </c>
      <c r="CR21" s="56">
        <v>0</v>
      </c>
      <c r="CS21" s="56">
        <v>0</v>
      </c>
      <c r="CT21" s="56">
        <v>0</v>
      </c>
      <c r="CU21" s="56">
        <v>0</v>
      </c>
      <c r="CV21" s="57" t="s">
        <v>83</v>
      </c>
      <c r="CW21" s="57" t="s">
        <v>83</v>
      </c>
      <c r="CX21" s="57" t="s">
        <v>83</v>
      </c>
      <c r="CY21" s="56">
        <v>0</v>
      </c>
      <c r="CZ21" s="56">
        <v>0</v>
      </c>
      <c r="DA21" s="56">
        <v>0</v>
      </c>
      <c r="DB21" s="56">
        <v>0</v>
      </c>
      <c r="DC21" s="56">
        <v>0</v>
      </c>
      <c r="DD21" s="57" t="s">
        <v>83</v>
      </c>
      <c r="DE21" s="57" t="s">
        <v>83</v>
      </c>
      <c r="DF21" s="57" t="s">
        <v>83</v>
      </c>
      <c r="DG21" s="56">
        <v>0</v>
      </c>
      <c r="DH21" s="56">
        <v>0</v>
      </c>
      <c r="DI21" s="56">
        <v>0</v>
      </c>
      <c r="DJ21" s="56">
        <v>0</v>
      </c>
      <c r="DK21" s="56">
        <v>0</v>
      </c>
      <c r="DL21" s="57" t="s">
        <v>83</v>
      </c>
      <c r="DM21" s="57" t="s">
        <v>83</v>
      </c>
      <c r="DN21" s="57" t="s">
        <v>83</v>
      </c>
      <c r="DO21" s="56">
        <v>0</v>
      </c>
      <c r="DP21" s="56">
        <v>0</v>
      </c>
      <c r="DQ21" s="56">
        <v>0</v>
      </c>
      <c r="DR21" s="56">
        <v>0</v>
      </c>
      <c r="DS21" s="56">
        <v>0</v>
      </c>
      <c r="DT21" s="57" t="s">
        <v>83</v>
      </c>
      <c r="DU21" s="57" t="s">
        <v>83</v>
      </c>
      <c r="DV21" s="57" t="s">
        <v>83</v>
      </c>
      <c r="DW21" s="56">
        <v>0</v>
      </c>
      <c r="DX21" s="56">
        <v>0</v>
      </c>
      <c r="DY21" s="56">
        <v>0</v>
      </c>
      <c r="DZ21" s="56">
        <v>0</v>
      </c>
      <c r="EA21" s="56">
        <v>0</v>
      </c>
      <c r="EB21" s="57" t="s">
        <v>83</v>
      </c>
      <c r="EC21" s="57" t="s">
        <v>83</v>
      </c>
      <c r="ED21" s="57" t="s">
        <v>83</v>
      </c>
      <c r="EE21" s="56">
        <v>0</v>
      </c>
      <c r="EF21" s="56">
        <v>0</v>
      </c>
      <c r="EG21" s="56">
        <v>0</v>
      </c>
      <c r="EH21" s="56">
        <v>0</v>
      </c>
      <c r="EI21" s="56">
        <v>0</v>
      </c>
      <c r="EJ21" s="57" t="s">
        <v>83</v>
      </c>
      <c r="EK21" s="57" t="s">
        <v>83</v>
      </c>
      <c r="EL21" s="57" t="s">
        <v>83</v>
      </c>
      <c r="EM21" s="56">
        <v>0</v>
      </c>
      <c r="EN21" s="56">
        <v>0</v>
      </c>
      <c r="EO21" s="56">
        <v>0</v>
      </c>
      <c r="EP21" s="56">
        <v>0</v>
      </c>
      <c r="EQ21" s="56">
        <v>0</v>
      </c>
      <c r="ER21" s="57" t="s">
        <v>83</v>
      </c>
      <c r="ES21" s="57" t="s">
        <v>83</v>
      </c>
      <c r="ET21" s="57" t="s">
        <v>83</v>
      </c>
      <c r="EU21" s="56">
        <v>0</v>
      </c>
      <c r="EV21" s="56">
        <v>0</v>
      </c>
      <c r="EW21" s="56">
        <v>0</v>
      </c>
      <c r="EX21" s="56">
        <v>0</v>
      </c>
      <c r="EY21" s="56">
        <v>0</v>
      </c>
      <c r="EZ21" s="57" t="s">
        <v>83</v>
      </c>
      <c r="FA21" s="57" t="s">
        <v>83</v>
      </c>
      <c r="FB21" s="57" t="s">
        <v>83</v>
      </c>
      <c r="FC21" s="56">
        <v>0</v>
      </c>
      <c r="FD21" s="56">
        <v>0</v>
      </c>
      <c r="FE21" s="56">
        <v>0</v>
      </c>
      <c r="FF21" s="56">
        <v>0</v>
      </c>
      <c r="FG21" s="56">
        <v>0</v>
      </c>
      <c r="FH21" s="57" t="s">
        <v>83</v>
      </c>
      <c r="FI21" s="57" t="s">
        <v>83</v>
      </c>
      <c r="FJ21" s="57" t="s">
        <v>83</v>
      </c>
      <c r="FK21" s="56">
        <v>0</v>
      </c>
      <c r="FL21" s="56">
        <v>0</v>
      </c>
      <c r="FM21" s="56">
        <v>0</v>
      </c>
      <c r="FN21" s="56">
        <v>0</v>
      </c>
      <c r="FO21" s="56">
        <v>0</v>
      </c>
      <c r="FP21" s="34">
        <v>0</v>
      </c>
      <c r="FQ21" s="34">
        <v>0</v>
      </c>
      <c r="FR21" s="22" t="s">
        <v>164</v>
      </c>
      <c r="FS21" s="34">
        <v>0</v>
      </c>
      <c r="FT21" s="34">
        <v>1</v>
      </c>
      <c r="FU21" s="22" t="s">
        <v>164</v>
      </c>
      <c r="FV21" s="22" t="s">
        <v>164</v>
      </c>
      <c r="FW21" s="22" t="s">
        <v>164</v>
      </c>
      <c r="FX21" s="23">
        <v>0</v>
      </c>
      <c r="FY21" s="23">
        <v>0</v>
      </c>
      <c r="FZ21" s="23">
        <v>0</v>
      </c>
      <c r="GA21" s="22" t="s">
        <v>164</v>
      </c>
      <c r="GB21" s="22" t="s">
        <v>164</v>
      </c>
      <c r="GC21" s="22" t="s">
        <v>164</v>
      </c>
      <c r="GD21" s="23">
        <v>0</v>
      </c>
      <c r="GE21" s="23">
        <v>0</v>
      </c>
      <c r="GF21" s="23">
        <v>0</v>
      </c>
      <c r="GG21" s="22" t="s">
        <v>164</v>
      </c>
      <c r="GH21" s="22" t="s">
        <v>164</v>
      </c>
      <c r="GI21" s="22" t="s">
        <v>164</v>
      </c>
      <c r="GJ21" s="23">
        <v>0</v>
      </c>
      <c r="GK21" s="23">
        <v>0</v>
      </c>
      <c r="GL21" s="23">
        <v>0</v>
      </c>
      <c r="GM21" s="22" t="s">
        <v>164</v>
      </c>
      <c r="GN21" s="22" t="s">
        <v>164</v>
      </c>
      <c r="GO21" s="22" t="s">
        <v>164</v>
      </c>
      <c r="GP21" s="23">
        <v>0</v>
      </c>
      <c r="GQ21" s="23">
        <v>0</v>
      </c>
      <c r="GR21" s="23">
        <v>0</v>
      </c>
      <c r="GS21" s="22" t="s">
        <v>164</v>
      </c>
      <c r="GT21" s="22" t="s">
        <v>164</v>
      </c>
      <c r="GU21" s="22" t="s">
        <v>164</v>
      </c>
      <c r="GV21" s="23">
        <v>0</v>
      </c>
      <c r="GW21" s="23">
        <v>0</v>
      </c>
      <c r="GX21" s="23">
        <v>0</v>
      </c>
      <c r="GY21" s="22" t="s">
        <v>164</v>
      </c>
      <c r="GZ21" s="22" t="s">
        <v>164</v>
      </c>
      <c r="HA21" s="22" t="s">
        <v>164</v>
      </c>
      <c r="HB21" s="23">
        <v>0</v>
      </c>
      <c r="HC21" s="23">
        <v>0</v>
      </c>
      <c r="HD21" s="23">
        <v>0</v>
      </c>
      <c r="HE21" s="22" t="s">
        <v>164</v>
      </c>
      <c r="HF21" s="22" t="s">
        <v>164</v>
      </c>
      <c r="HG21" s="22" t="s">
        <v>164</v>
      </c>
      <c r="HH21" s="23">
        <v>0</v>
      </c>
      <c r="HI21" s="23">
        <v>0</v>
      </c>
      <c r="HJ21" s="23">
        <v>0</v>
      </c>
      <c r="HK21" s="22" t="s">
        <v>164</v>
      </c>
      <c r="HL21" s="22" t="s">
        <v>164</v>
      </c>
      <c r="HM21" s="22" t="s">
        <v>164</v>
      </c>
      <c r="HN21" s="23">
        <v>0</v>
      </c>
      <c r="HO21" s="23">
        <v>0</v>
      </c>
      <c r="HP21" s="23">
        <v>0</v>
      </c>
      <c r="HQ21" s="22" t="s">
        <v>164</v>
      </c>
      <c r="HR21" s="22" t="s">
        <v>164</v>
      </c>
      <c r="HS21" s="22" t="s">
        <v>164</v>
      </c>
      <c r="HT21" s="23">
        <v>0</v>
      </c>
      <c r="HU21" s="23">
        <v>0</v>
      </c>
      <c r="HV21" s="23">
        <v>0</v>
      </c>
      <c r="HW21" s="22" t="s">
        <v>164</v>
      </c>
      <c r="HX21" s="22" t="s">
        <v>164</v>
      </c>
      <c r="HY21" s="22" t="s">
        <v>164</v>
      </c>
      <c r="HZ21" s="23">
        <v>0</v>
      </c>
      <c r="IA21" s="23">
        <v>0</v>
      </c>
      <c r="IB21" s="23">
        <v>0</v>
      </c>
      <c r="IC21" s="22" t="s">
        <v>164</v>
      </c>
      <c r="ID21" s="22" t="s">
        <v>164</v>
      </c>
      <c r="IE21" s="22" t="s">
        <v>164</v>
      </c>
      <c r="IF21" s="23">
        <v>0</v>
      </c>
      <c r="IG21" s="23">
        <v>0</v>
      </c>
      <c r="IH21" s="23">
        <v>0</v>
      </c>
      <c r="II21" s="34">
        <v>0</v>
      </c>
      <c r="IJ21" s="34">
        <v>0</v>
      </c>
      <c r="IK21" s="16" t="s">
        <v>83</v>
      </c>
      <c r="IL21" s="34">
        <v>1</v>
      </c>
      <c r="IM21" s="16" t="s">
        <v>83</v>
      </c>
      <c r="IN21" s="34">
        <v>0</v>
      </c>
      <c r="IO21" s="34">
        <v>0</v>
      </c>
      <c r="IP21" s="34">
        <v>0</v>
      </c>
      <c r="IQ21" s="34" t="s">
        <v>164</v>
      </c>
      <c r="IR21" s="34" t="s">
        <v>164</v>
      </c>
      <c r="IS21" s="34" t="s">
        <v>164</v>
      </c>
      <c r="IT21" s="34">
        <v>0</v>
      </c>
      <c r="IU21" s="34">
        <v>0</v>
      </c>
      <c r="IV21" s="34">
        <v>0</v>
      </c>
      <c r="IW21" s="34">
        <v>0</v>
      </c>
      <c r="IX21" s="34">
        <v>0</v>
      </c>
      <c r="IY21" s="34">
        <v>1</v>
      </c>
      <c r="IZ21" s="34">
        <v>0</v>
      </c>
      <c r="JA21" s="34">
        <v>0</v>
      </c>
      <c r="JB21" s="34">
        <v>0</v>
      </c>
      <c r="JC21" s="34">
        <v>0</v>
      </c>
      <c r="JD21" s="34" t="s">
        <v>83</v>
      </c>
      <c r="JE21" s="34" t="s">
        <v>164</v>
      </c>
      <c r="JF21" s="34" t="s">
        <v>164</v>
      </c>
      <c r="JG21" s="34" t="s">
        <v>164</v>
      </c>
      <c r="JH21" s="34">
        <v>0</v>
      </c>
      <c r="JI21" s="34">
        <v>0</v>
      </c>
      <c r="JJ21" s="34" t="s">
        <v>164</v>
      </c>
      <c r="JK21" s="34">
        <v>0</v>
      </c>
      <c r="JL21" s="34">
        <v>0</v>
      </c>
      <c r="JM21" s="34" t="s">
        <v>164</v>
      </c>
      <c r="JN21" s="34" t="s">
        <v>164</v>
      </c>
      <c r="JO21" s="34" t="s">
        <v>164</v>
      </c>
      <c r="JP21" s="34">
        <v>0</v>
      </c>
      <c r="JQ21" s="34">
        <v>0</v>
      </c>
      <c r="JR21" s="34" t="s">
        <v>164</v>
      </c>
      <c r="JS21" s="34">
        <v>0</v>
      </c>
      <c r="JT21" s="34">
        <v>0</v>
      </c>
      <c r="JU21" s="34" t="s">
        <v>164</v>
      </c>
      <c r="JV21" s="34" t="s">
        <v>164</v>
      </c>
      <c r="JW21" s="34" t="s">
        <v>164</v>
      </c>
      <c r="JX21" s="34">
        <v>0</v>
      </c>
      <c r="JY21" s="34">
        <v>0</v>
      </c>
      <c r="JZ21" s="34" t="s">
        <v>164</v>
      </c>
      <c r="KA21" s="34">
        <v>0</v>
      </c>
      <c r="KB21" s="34">
        <v>0</v>
      </c>
      <c r="KC21" s="34" t="s">
        <v>164</v>
      </c>
      <c r="KD21" s="34" t="s">
        <v>164</v>
      </c>
      <c r="KE21" s="34" t="s">
        <v>164</v>
      </c>
      <c r="KF21" s="34">
        <v>0</v>
      </c>
      <c r="KG21" s="34">
        <v>0</v>
      </c>
      <c r="KH21" s="34" t="s">
        <v>164</v>
      </c>
      <c r="KI21" s="34">
        <v>0</v>
      </c>
      <c r="KJ21" s="34">
        <v>0</v>
      </c>
      <c r="KK21" s="34" t="s">
        <v>164</v>
      </c>
      <c r="KL21" s="34" t="s">
        <v>164</v>
      </c>
      <c r="KM21" s="34" t="s">
        <v>164</v>
      </c>
      <c r="KN21" s="34">
        <v>0</v>
      </c>
      <c r="KO21" s="34">
        <v>0</v>
      </c>
      <c r="KP21" s="34" t="s">
        <v>164</v>
      </c>
      <c r="KQ21" s="34">
        <v>0</v>
      </c>
      <c r="KR21" s="34">
        <v>0</v>
      </c>
      <c r="KS21" s="34" t="s">
        <v>164</v>
      </c>
      <c r="KT21" s="34" t="s">
        <v>164</v>
      </c>
      <c r="KU21" s="34" t="s">
        <v>164</v>
      </c>
      <c r="KV21" s="34">
        <v>0</v>
      </c>
      <c r="KW21" s="34">
        <v>0</v>
      </c>
      <c r="KX21" s="34" t="s">
        <v>164</v>
      </c>
      <c r="KY21" s="34">
        <v>0</v>
      </c>
      <c r="KZ21" s="34">
        <v>0</v>
      </c>
      <c r="LA21" s="34" t="s">
        <v>164</v>
      </c>
      <c r="LB21" s="34" t="s">
        <v>164</v>
      </c>
      <c r="LC21" s="34" t="s">
        <v>164</v>
      </c>
      <c r="LD21" s="34">
        <v>0</v>
      </c>
      <c r="LE21" s="34">
        <v>0</v>
      </c>
      <c r="LF21" s="34" t="s">
        <v>164</v>
      </c>
      <c r="LG21" s="34">
        <v>0</v>
      </c>
      <c r="LH21" s="34">
        <v>0</v>
      </c>
      <c r="LI21" s="34" t="s">
        <v>164</v>
      </c>
      <c r="LJ21" s="34" t="s">
        <v>164</v>
      </c>
      <c r="LK21" s="34" t="s">
        <v>164</v>
      </c>
      <c r="LL21" s="34">
        <v>0</v>
      </c>
      <c r="LM21" s="34">
        <v>0</v>
      </c>
      <c r="LN21" s="34" t="s">
        <v>164</v>
      </c>
      <c r="LO21" s="34">
        <v>0</v>
      </c>
      <c r="LP21" s="34">
        <v>0</v>
      </c>
      <c r="LQ21" s="34" t="s">
        <v>164</v>
      </c>
      <c r="LR21" s="34" t="s">
        <v>164</v>
      </c>
      <c r="LS21" s="34" t="s">
        <v>164</v>
      </c>
      <c r="LT21" s="34">
        <v>0</v>
      </c>
      <c r="LU21" s="34">
        <v>0</v>
      </c>
      <c r="LV21" s="34" t="s">
        <v>164</v>
      </c>
      <c r="LW21" s="34">
        <v>0</v>
      </c>
      <c r="LX21" s="34">
        <v>0</v>
      </c>
      <c r="LY21" s="34" t="s">
        <v>164</v>
      </c>
      <c r="LZ21" s="34" t="s">
        <v>164</v>
      </c>
      <c r="MA21" s="34" t="s">
        <v>164</v>
      </c>
      <c r="MB21" s="34">
        <v>0</v>
      </c>
      <c r="MC21" s="34">
        <v>0</v>
      </c>
      <c r="MD21" s="22" t="s">
        <v>164</v>
      </c>
      <c r="ME21" s="34">
        <v>0</v>
      </c>
      <c r="MF21" s="34">
        <v>0</v>
      </c>
      <c r="MG21" s="22" t="s">
        <v>164</v>
      </c>
      <c r="MH21" s="22" t="s">
        <v>164</v>
      </c>
      <c r="MI21" s="22" t="s">
        <v>164</v>
      </c>
      <c r="MJ21" s="34">
        <v>0</v>
      </c>
      <c r="MK21" s="34">
        <v>0</v>
      </c>
      <c r="ML21" s="22" t="s">
        <v>164</v>
      </c>
      <c r="MM21" s="22"/>
      <c r="MN21" s="22"/>
    </row>
    <row r="22" spans="1:352" s="1" customFormat="1" ht="23.25" customHeight="1" x14ac:dyDescent="0.25">
      <c r="A22" s="34" t="s">
        <v>2</v>
      </c>
      <c r="B22" s="34" t="s">
        <v>30</v>
      </c>
      <c r="C22" s="34">
        <v>0</v>
      </c>
      <c r="D22" s="34">
        <v>0</v>
      </c>
      <c r="E22" s="34" t="s">
        <v>83</v>
      </c>
      <c r="F22" s="34" t="s">
        <v>83</v>
      </c>
      <c r="G22" s="34" t="s">
        <v>83</v>
      </c>
      <c r="H22" s="34">
        <v>0</v>
      </c>
      <c r="I22" s="34">
        <v>0</v>
      </c>
      <c r="J22" s="34">
        <v>0</v>
      </c>
      <c r="K22" s="34">
        <v>0</v>
      </c>
      <c r="L22" s="34">
        <v>0</v>
      </c>
      <c r="M22" s="34">
        <v>0</v>
      </c>
      <c r="N22" s="34">
        <v>0</v>
      </c>
      <c r="O22" s="34">
        <v>0</v>
      </c>
      <c r="P22" s="34">
        <v>0</v>
      </c>
      <c r="Q22" s="34">
        <v>0</v>
      </c>
      <c r="R22" s="34">
        <v>0</v>
      </c>
      <c r="S22" s="34">
        <v>0</v>
      </c>
      <c r="T22" s="34">
        <v>0</v>
      </c>
      <c r="U22" s="34">
        <v>0</v>
      </c>
      <c r="V22" s="34">
        <v>0</v>
      </c>
      <c r="W22" s="34">
        <v>0</v>
      </c>
      <c r="X22" s="34">
        <v>0</v>
      </c>
      <c r="Y22" s="34">
        <v>0</v>
      </c>
      <c r="Z22" s="34">
        <v>0</v>
      </c>
      <c r="AA22" s="34">
        <v>0</v>
      </c>
      <c r="AB22" s="34">
        <v>0</v>
      </c>
      <c r="AC22" s="34">
        <v>0</v>
      </c>
      <c r="AD22" s="34">
        <v>0</v>
      </c>
      <c r="AE22" s="34">
        <v>0</v>
      </c>
      <c r="AF22" s="34">
        <v>0</v>
      </c>
      <c r="AG22" s="34">
        <v>0</v>
      </c>
      <c r="AH22" s="34">
        <v>0</v>
      </c>
      <c r="AI22" s="34">
        <v>0</v>
      </c>
      <c r="AJ22" s="34">
        <v>0</v>
      </c>
      <c r="AK22" s="34">
        <v>0</v>
      </c>
      <c r="AL22" s="34">
        <v>0</v>
      </c>
      <c r="AM22" s="34">
        <v>0</v>
      </c>
      <c r="AN22" s="34">
        <v>0</v>
      </c>
      <c r="AO22" s="34">
        <v>0</v>
      </c>
      <c r="AP22" s="34">
        <v>1</v>
      </c>
      <c r="AQ22" s="34">
        <v>1</v>
      </c>
      <c r="AR22" s="34">
        <v>1</v>
      </c>
      <c r="AS22" s="34">
        <v>0</v>
      </c>
      <c r="AT22" s="34">
        <v>0</v>
      </c>
      <c r="AU22" s="34">
        <v>0</v>
      </c>
      <c r="AV22" s="34">
        <v>0</v>
      </c>
      <c r="AW22" s="34">
        <v>0</v>
      </c>
      <c r="AX22" s="34">
        <v>0</v>
      </c>
      <c r="AY22" s="34">
        <v>0</v>
      </c>
      <c r="AZ22" s="34">
        <v>0</v>
      </c>
      <c r="BA22" s="34">
        <v>0</v>
      </c>
      <c r="BB22" s="34">
        <v>0</v>
      </c>
      <c r="BC22" s="34">
        <v>0</v>
      </c>
      <c r="BD22" s="34">
        <v>0</v>
      </c>
      <c r="BE22" s="34">
        <v>0</v>
      </c>
      <c r="BF22" s="34">
        <v>0</v>
      </c>
      <c r="BG22" s="34">
        <v>0</v>
      </c>
      <c r="BH22" s="34">
        <v>0</v>
      </c>
      <c r="BI22" s="34">
        <v>0</v>
      </c>
      <c r="BJ22" s="34">
        <v>0</v>
      </c>
      <c r="BK22" s="34">
        <v>0</v>
      </c>
      <c r="BL22" s="34">
        <v>0</v>
      </c>
      <c r="BM22" s="34">
        <v>0</v>
      </c>
      <c r="BN22" s="34">
        <v>1</v>
      </c>
      <c r="BO22" s="34">
        <v>0</v>
      </c>
      <c r="BP22" s="34">
        <v>0</v>
      </c>
      <c r="BQ22" s="17" t="s">
        <v>83</v>
      </c>
      <c r="BR22" s="17" t="s">
        <v>83</v>
      </c>
      <c r="BS22" s="17" t="s">
        <v>83</v>
      </c>
      <c r="BT22" s="17">
        <v>0</v>
      </c>
      <c r="BU22" s="17">
        <v>0</v>
      </c>
      <c r="BV22" s="34">
        <v>0</v>
      </c>
      <c r="BW22" s="34">
        <v>0</v>
      </c>
      <c r="BX22" s="34">
        <v>0</v>
      </c>
      <c r="BY22" s="34">
        <v>0</v>
      </c>
      <c r="BZ22" s="34">
        <v>0</v>
      </c>
      <c r="CA22" s="34">
        <v>0</v>
      </c>
      <c r="CB22" s="34">
        <v>0</v>
      </c>
      <c r="CC22" s="34">
        <v>0</v>
      </c>
      <c r="CD22" s="34">
        <v>0</v>
      </c>
      <c r="CE22" s="34">
        <v>0</v>
      </c>
      <c r="CF22" s="57" t="s">
        <v>83</v>
      </c>
      <c r="CG22" s="57" t="s">
        <v>83</v>
      </c>
      <c r="CH22" s="57" t="s">
        <v>83</v>
      </c>
      <c r="CI22" s="56">
        <v>0</v>
      </c>
      <c r="CJ22" s="56">
        <v>0</v>
      </c>
      <c r="CK22" s="56">
        <v>0</v>
      </c>
      <c r="CL22" s="56">
        <v>0</v>
      </c>
      <c r="CM22" s="56">
        <v>0</v>
      </c>
      <c r="CN22" s="57" t="s">
        <v>83</v>
      </c>
      <c r="CO22" s="57" t="s">
        <v>83</v>
      </c>
      <c r="CP22" s="57" t="s">
        <v>83</v>
      </c>
      <c r="CQ22" s="56">
        <v>0</v>
      </c>
      <c r="CR22" s="56">
        <v>0</v>
      </c>
      <c r="CS22" s="56">
        <v>0</v>
      </c>
      <c r="CT22" s="56">
        <v>0</v>
      </c>
      <c r="CU22" s="56">
        <v>0</v>
      </c>
      <c r="CV22" s="57" t="s">
        <v>83</v>
      </c>
      <c r="CW22" s="57" t="s">
        <v>83</v>
      </c>
      <c r="CX22" s="57" t="s">
        <v>83</v>
      </c>
      <c r="CY22" s="56">
        <v>0</v>
      </c>
      <c r="CZ22" s="56">
        <v>0</v>
      </c>
      <c r="DA22" s="56">
        <v>0</v>
      </c>
      <c r="DB22" s="56">
        <v>0</v>
      </c>
      <c r="DC22" s="56">
        <v>0</v>
      </c>
      <c r="DD22" s="57" t="s">
        <v>83</v>
      </c>
      <c r="DE22" s="57" t="s">
        <v>83</v>
      </c>
      <c r="DF22" s="57" t="s">
        <v>83</v>
      </c>
      <c r="DG22" s="56">
        <v>0</v>
      </c>
      <c r="DH22" s="56">
        <v>0</v>
      </c>
      <c r="DI22" s="56">
        <v>0</v>
      </c>
      <c r="DJ22" s="56">
        <v>0</v>
      </c>
      <c r="DK22" s="56">
        <v>0</v>
      </c>
      <c r="DL22" s="57" t="s">
        <v>83</v>
      </c>
      <c r="DM22" s="57" t="s">
        <v>83</v>
      </c>
      <c r="DN22" s="57" t="s">
        <v>83</v>
      </c>
      <c r="DO22" s="56">
        <v>0</v>
      </c>
      <c r="DP22" s="56">
        <v>0</v>
      </c>
      <c r="DQ22" s="56">
        <v>0</v>
      </c>
      <c r="DR22" s="56">
        <v>0</v>
      </c>
      <c r="DS22" s="56">
        <v>0</v>
      </c>
      <c r="DT22" s="57" t="s">
        <v>83</v>
      </c>
      <c r="DU22" s="57" t="s">
        <v>83</v>
      </c>
      <c r="DV22" s="57" t="s">
        <v>83</v>
      </c>
      <c r="DW22" s="56">
        <v>0</v>
      </c>
      <c r="DX22" s="56">
        <v>0</v>
      </c>
      <c r="DY22" s="56">
        <v>0</v>
      </c>
      <c r="DZ22" s="56">
        <v>0</v>
      </c>
      <c r="EA22" s="56">
        <v>0</v>
      </c>
      <c r="EB22" s="57" t="s">
        <v>83</v>
      </c>
      <c r="EC22" s="57" t="s">
        <v>83</v>
      </c>
      <c r="ED22" s="57" t="s">
        <v>83</v>
      </c>
      <c r="EE22" s="56">
        <v>0</v>
      </c>
      <c r="EF22" s="56">
        <v>0</v>
      </c>
      <c r="EG22" s="56">
        <v>0</v>
      </c>
      <c r="EH22" s="56">
        <v>0</v>
      </c>
      <c r="EI22" s="56">
        <v>0</v>
      </c>
      <c r="EJ22" s="57" t="s">
        <v>83</v>
      </c>
      <c r="EK22" s="57" t="s">
        <v>83</v>
      </c>
      <c r="EL22" s="57" t="s">
        <v>83</v>
      </c>
      <c r="EM22" s="56">
        <v>0</v>
      </c>
      <c r="EN22" s="56">
        <v>0</v>
      </c>
      <c r="EO22" s="56">
        <v>0</v>
      </c>
      <c r="EP22" s="56">
        <v>0</v>
      </c>
      <c r="EQ22" s="56">
        <v>0</v>
      </c>
      <c r="ER22" s="57" t="s">
        <v>83</v>
      </c>
      <c r="ES22" s="57" t="s">
        <v>83</v>
      </c>
      <c r="ET22" s="57" t="s">
        <v>83</v>
      </c>
      <c r="EU22" s="56">
        <v>0</v>
      </c>
      <c r="EV22" s="56">
        <v>0</v>
      </c>
      <c r="EW22" s="56">
        <v>0</v>
      </c>
      <c r="EX22" s="56">
        <v>0</v>
      </c>
      <c r="EY22" s="56">
        <v>0</v>
      </c>
      <c r="EZ22" s="57" t="s">
        <v>83</v>
      </c>
      <c r="FA22" s="57" t="s">
        <v>83</v>
      </c>
      <c r="FB22" s="57" t="s">
        <v>83</v>
      </c>
      <c r="FC22" s="56">
        <v>0</v>
      </c>
      <c r="FD22" s="56">
        <v>0</v>
      </c>
      <c r="FE22" s="56">
        <v>0</v>
      </c>
      <c r="FF22" s="56">
        <v>0</v>
      </c>
      <c r="FG22" s="56">
        <v>0</v>
      </c>
      <c r="FH22" s="57" t="s">
        <v>83</v>
      </c>
      <c r="FI22" s="57" t="s">
        <v>83</v>
      </c>
      <c r="FJ22" s="57" t="s">
        <v>83</v>
      </c>
      <c r="FK22" s="56">
        <v>0</v>
      </c>
      <c r="FL22" s="56">
        <v>0</v>
      </c>
      <c r="FM22" s="56">
        <v>0</v>
      </c>
      <c r="FN22" s="56">
        <v>0</v>
      </c>
      <c r="FO22" s="56">
        <v>0</v>
      </c>
      <c r="FP22" s="34">
        <v>0</v>
      </c>
      <c r="FQ22" s="34">
        <v>0</v>
      </c>
      <c r="FR22" s="22" t="s">
        <v>164</v>
      </c>
      <c r="FS22" s="34">
        <v>0</v>
      </c>
      <c r="FT22" s="34">
        <v>0</v>
      </c>
      <c r="FU22" s="22" t="s">
        <v>164</v>
      </c>
      <c r="FV22" s="22" t="s">
        <v>164</v>
      </c>
      <c r="FW22" s="22" t="s">
        <v>164</v>
      </c>
      <c r="FX22" s="16">
        <v>0</v>
      </c>
      <c r="FY22" s="16">
        <v>0</v>
      </c>
      <c r="FZ22" s="16">
        <v>0</v>
      </c>
      <c r="GA22" s="22" t="s">
        <v>164</v>
      </c>
      <c r="GB22" s="22" t="s">
        <v>164</v>
      </c>
      <c r="GC22" s="22" t="s">
        <v>164</v>
      </c>
      <c r="GD22" s="16">
        <v>0</v>
      </c>
      <c r="GE22" s="16">
        <v>0</v>
      </c>
      <c r="GF22" s="16">
        <v>0</v>
      </c>
      <c r="GG22" s="22" t="s">
        <v>164</v>
      </c>
      <c r="GH22" s="22" t="s">
        <v>164</v>
      </c>
      <c r="GI22" s="22" t="s">
        <v>164</v>
      </c>
      <c r="GJ22" s="16">
        <v>0</v>
      </c>
      <c r="GK22" s="16">
        <v>0</v>
      </c>
      <c r="GL22" s="16">
        <v>0</v>
      </c>
      <c r="GM22" s="22" t="s">
        <v>164</v>
      </c>
      <c r="GN22" s="22" t="s">
        <v>164</v>
      </c>
      <c r="GO22" s="22" t="s">
        <v>164</v>
      </c>
      <c r="GP22" s="16">
        <v>0</v>
      </c>
      <c r="GQ22" s="16">
        <v>0</v>
      </c>
      <c r="GR22" s="16">
        <v>0</v>
      </c>
      <c r="GS22" s="22" t="s">
        <v>164</v>
      </c>
      <c r="GT22" s="22" t="s">
        <v>164</v>
      </c>
      <c r="GU22" s="22" t="s">
        <v>164</v>
      </c>
      <c r="GV22" s="16">
        <v>0</v>
      </c>
      <c r="GW22" s="16">
        <v>0</v>
      </c>
      <c r="GX22" s="16">
        <v>0</v>
      </c>
      <c r="GY22" s="22" t="s">
        <v>164</v>
      </c>
      <c r="GZ22" s="22" t="s">
        <v>164</v>
      </c>
      <c r="HA22" s="22" t="s">
        <v>164</v>
      </c>
      <c r="HB22" s="16">
        <v>0</v>
      </c>
      <c r="HC22" s="16">
        <v>0</v>
      </c>
      <c r="HD22" s="16">
        <v>0</v>
      </c>
      <c r="HE22" s="22" t="s">
        <v>164</v>
      </c>
      <c r="HF22" s="22" t="s">
        <v>164</v>
      </c>
      <c r="HG22" s="22" t="s">
        <v>164</v>
      </c>
      <c r="HH22" s="16">
        <v>0</v>
      </c>
      <c r="HI22" s="16">
        <v>0</v>
      </c>
      <c r="HJ22" s="16">
        <v>0</v>
      </c>
      <c r="HK22" s="22" t="s">
        <v>164</v>
      </c>
      <c r="HL22" s="22" t="s">
        <v>164</v>
      </c>
      <c r="HM22" s="22" t="s">
        <v>164</v>
      </c>
      <c r="HN22" s="16">
        <v>0</v>
      </c>
      <c r="HO22" s="16">
        <v>0</v>
      </c>
      <c r="HP22" s="16">
        <v>0</v>
      </c>
      <c r="HQ22" s="22" t="s">
        <v>164</v>
      </c>
      <c r="HR22" s="22" t="s">
        <v>164</v>
      </c>
      <c r="HS22" s="22" t="s">
        <v>164</v>
      </c>
      <c r="HT22" s="16">
        <v>0</v>
      </c>
      <c r="HU22" s="16">
        <v>0</v>
      </c>
      <c r="HV22" s="16">
        <v>0</v>
      </c>
      <c r="HW22" s="22" t="s">
        <v>164</v>
      </c>
      <c r="HX22" s="22" t="s">
        <v>164</v>
      </c>
      <c r="HY22" s="22" t="s">
        <v>164</v>
      </c>
      <c r="HZ22" s="16">
        <v>0</v>
      </c>
      <c r="IA22" s="16">
        <v>0</v>
      </c>
      <c r="IB22" s="16">
        <v>0</v>
      </c>
      <c r="IC22" s="22" t="s">
        <v>164</v>
      </c>
      <c r="ID22" s="22" t="s">
        <v>164</v>
      </c>
      <c r="IE22" s="22" t="s">
        <v>164</v>
      </c>
      <c r="IF22" s="16">
        <v>0</v>
      </c>
      <c r="IG22" s="16">
        <v>0</v>
      </c>
      <c r="IH22" s="16">
        <v>0</v>
      </c>
      <c r="II22" s="34">
        <v>0</v>
      </c>
      <c r="IJ22" s="34">
        <v>0</v>
      </c>
      <c r="IK22" s="16" t="s">
        <v>83</v>
      </c>
      <c r="IL22" s="34">
        <v>0</v>
      </c>
      <c r="IM22" s="16" t="s">
        <v>83</v>
      </c>
      <c r="IN22" s="34">
        <v>0</v>
      </c>
      <c r="IO22" s="34">
        <v>0</v>
      </c>
      <c r="IP22" s="34">
        <v>0</v>
      </c>
      <c r="IQ22" s="34" t="s">
        <v>164</v>
      </c>
      <c r="IR22" s="34" t="s">
        <v>164</v>
      </c>
      <c r="IS22" s="34" t="s">
        <v>164</v>
      </c>
      <c r="IT22" s="34">
        <v>0</v>
      </c>
      <c r="IU22" s="34">
        <v>0</v>
      </c>
      <c r="IV22" s="34">
        <v>0</v>
      </c>
      <c r="IW22" s="34">
        <v>0</v>
      </c>
      <c r="IX22" s="34">
        <v>0</v>
      </c>
      <c r="IY22" s="34">
        <v>0</v>
      </c>
      <c r="IZ22" s="34">
        <v>0</v>
      </c>
      <c r="JA22" s="34">
        <v>1</v>
      </c>
      <c r="JB22" s="34">
        <v>0</v>
      </c>
      <c r="JC22" s="34">
        <v>0</v>
      </c>
      <c r="JD22" s="34" t="s">
        <v>83</v>
      </c>
      <c r="JE22" s="34" t="s">
        <v>164</v>
      </c>
      <c r="JF22" s="34" t="s">
        <v>164</v>
      </c>
      <c r="JG22" s="34" t="s">
        <v>164</v>
      </c>
      <c r="JH22" s="34">
        <v>0</v>
      </c>
      <c r="JI22" s="34">
        <v>0</v>
      </c>
      <c r="JJ22" s="34" t="s">
        <v>164</v>
      </c>
      <c r="JK22" s="34">
        <v>0</v>
      </c>
      <c r="JL22" s="34">
        <v>0</v>
      </c>
      <c r="JM22" s="34" t="s">
        <v>164</v>
      </c>
      <c r="JN22" s="34" t="s">
        <v>164</v>
      </c>
      <c r="JO22" s="34" t="s">
        <v>164</v>
      </c>
      <c r="JP22" s="34">
        <v>0</v>
      </c>
      <c r="JQ22" s="34">
        <v>0</v>
      </c>
      <c r="JR22" s="34" t="s">
        <v>164</v>
      </c>
      <c r="JS22" s="34">
        <v>0</v>
      </c>
      <c r="JT22" s="34">
        <v>0</v>
      </c>
      <c r="JU22" s="34" t="s">
        <v>164</v>
      </c>
      <c r="JV22" s="34" t="s">
        <v>164</v>
      </c>
      <c r="JW22" s="34" t="s">
        <v>164</v>
      </c>
      <c r="JX22" s="34">
        <v>0</v>
      </c>
      <c r="JY22" s="34">
        <v>0</v>
      </c>
      <c r="JZ22" s="34" t="s">
        <v>164</v>
      </c>
      <c r="KA22" s="34">
        <v>0</v>
      </c>
      <c r="KB22" s="34">
        <v>0</v>
      </c>
      <c r="KC22" s="34" t="s">
        <v>164</v>
      </c>
      <c r="KD22" s="34" t="s">
        <v>164</v>
      </c>
      <c r="KE22" s="34" t="s">
        <v>164</v>
      </c>
      <c r="KF22" s="34">
        <v>0</v>
      </c>
      <c r="KG22" s="34">
        <v>0</v>
      </c>
      <c r="KH22" s="34" t="s">
        <v>164</v>
      </c>
      <c r="KI22" s="34">
        <v>0</v>
      </c>
      <c r="KJ22" s="34">
        <v>0</v>
      </c>
      <c r="KK22" s="34" t="s">
        <v>164</v>
      </c>
      <c r="KL22" s="34" t="s">
        <v>164</v>
      </c>
      <c r="KM22" s="34" t="s">
        <v>164</v>
      </c>
      <c r="KN22" s="34">
        <v>0</v>
      </c>
      <c r="KO22" s="34">
        <v>0</v>
      </c>
      <c r="KP22" s="34" t="s">
        <v>164</v>
      </c>
      <c r="KQ22" s="34">
        <v>0</v>
      </c>
      <c r="KR22" s="34">
        <v>0</v>
      </c>
      <c r="KS22" s="34" t="s">
        <v>164</v>
      </c>
      <c r="KT22" s="34" t="s">
        <v>164</v>
      </c>
      <c r="KU22" s="34" t="s">
        <v>164</v>
      </c>
      <c r="KV22" s="34">
        <v>0</v>
      </c>
      <c r="KW22" s="34">
        <v>0</v>
      </c>
      <c r="KX22" s="34" t="s">
        <v>164</v>
      </c>
      <c r="KY22" s="34">
        <v>0</v>
      </c>
      <c r="KZ22" s="34">
        <v>0</v>
      </c>
      <c r="LA22" s="34" t="s">
        <v>164</v>
      </c>
      <c r="LB22" s="34" t="s">
        <v>164</v>
      </c>
      <c r="LC22" s="34" t="s">
        <v>164</v>
      </c>
      <c r="LD22" s="34">
        <v>0</v>
      </c>
      <c r="LE22" s="34">
        <v>0</v>
      </c>
      <c r="LF22" s="34" t="s">
        <v>164</v>
      </c>
      <c r="LG22" s="34">
        <v>0</v>
      </c>
      <c r="LH22" s="34">
        <v>0</v>
      </c>
      <c r="LI22" s="34" t="s">
        <v>164</v>
      </c>
      <c r="LJ22" s="34" t="s">
        <v>164</v>
      </c>
      <c r="LK22" s="34" t="s">
        <v>164</v>
      </c>
      <c r="LL22" s="34">
        <v>0</v>
      </c>
      <c r="LM22" s="34">
        <v>0</v>
      </c>
      <c r="LN22" s="34" t="s">
        <v>164</v>
      </c>
      <c r="LO22" s="34">
        <v>0</v>
      </c>
      <c r="LP22" s="34">
        <v>0</v>
      </c>
      <c r="LQ22" s="34" t="s">
        <v>164</v>
      </c>
      <c r="LR22" s="34" t="s">
        <v>164</v>
      </c>
      <c r="LS22" s="34" t="s">
        <v>164</v>
      </c>
      <c r="LT22" s="34">
        <v>0</v>
      </c>
      <c r="LU22" s="34">
        <v>0</v>
      </c>
      <c r="LV22" s="34" t="s">
        <v>164</v>
      </c>
      <c r="LW22" s="34">
        <v>0</v>
      </c>
      <c r="LX22" s="34">
        <v>0</v>
      </c>
      <c r="LY22" s="34" t="s">
        <v>164</v>
      </c>
      <c r="LZ22" s="34" t="s">
        <v>164</v>
      </c>
      <c r="MA22" s="34" t="s">
        <v>164</v>
      </c>
      <c r="MB22" s="34">
        <v>0</v>
      </c>
      <c r="MC22" s="34">
        <v>0</v>
      </c>
      <c r="MD22" s="22" t="s">
        <v>164</v>
      </c>
      <c r="ME22" s="34">
        <v>0</v>
      </c>
      <c r="MF22" s="34">
        <v>0</v>
      </c>
      <c r="MG22" s="22" t="s">
        <v>164</v>
      </c>
      <c r="MH22" s="22" t="s">
        <v>164</v>
      </c>
      <c r="MI22" s="22" t="s">
        <v>164</v>
      </c>
      <c r="MJ22" s="34">
        <v>0</v>
      </c>
      <c r="MK22" s="34">
        <v>0</v>
      </c>
      <c r="ML22" s="22" t="s">
        <v>164</v>
      </c>
      <c r="MM22" s="22"/>
      <c r="MN22" s="22"/>
    </row>
    <row r="23" spans="1:352" s="1" customFormat="1" ht="23.25" customHeight="1" x14ac:dyDescent="0.25">
      <c r="A23" s="34" t="s">
        <v>2</v>
      </c>
      <c r="B23" s="34" t="s">
        <v>31</v>
      </c>
      <c r="C23" s="34">
        <v>0</v>
      </c>
      <c r="D23" s="34">
        <v>0</v>
      </c>
      <c r="E23" s="34" t="s">
        <v>83</v>
      </c>
      <c r="F23" s="34" t="s">
        <v>83</v>
      </c>
      <c r="G23" s="34" t="s">
        <v>83</v>
      </c>
      <c r="H23" s="34">
        <v>0</v>
      </c>
      <c r="I23" s="34">
        <v>0</v>
      </c>
      <c r="J23" s="34">
        <v>0</v>
      </c>
      <c r="K23" s="34">
        <v>0</v>
      </c>
      <c r="L23" s="34">
        <v>0</v>
      </c>
      <c r="M23" s="34">
        <v>0</v>
      </c>
      <c r="N23" s="34">
        <v>0</v>
      </c>
      <c r="O23" s="34">
        <v>0</v>
      </c>
      <c r="P23" s="34">
        <v>0</v>
      </c>
      <c r="Q23" s="34">
        <v>0</v>
      </c>
      <c r="R23" s="34">
        <v>0</v>
      </c>
      <c r="S23" s="34">
        <v>0</v>
      </c>
      <c r="T23" s="34">
        <v>0</v>
      </c>
      <c r="U23" s="34">
        <v>0</v>
      </c>
      <c r="V23" s="34">
        <v>0</v>
      </c>
      <c r="W23" s="34">
        <v>0</v>
      </c>
      <c r="X23" s="34">
        <v>0</v>
      </c>
      <c r="Y23" s="34">
        <v>0</v>
      </c>
      <c r="Z23" s="34">
        <v>0</v>
      </c>
      <c r="AA23" s="34">
        <v>0</v>
      </c>
      <c r="AB23" s="34">
        <v>0</v>
      </c>
      <c r="AC23" s="34">
        <v>0</v>
      </c>
      <c r="AD23" s="34">
        <v>1</v>
      </c>
      <c r="AE23" s="34">
        <v>1</v>
      </c>
      <c r="AF23" s="34">
        <v>1</v>
      </c>
      <c r="AG23" s="34">
        <v>0</v>
      </c>
      <c r="AH23" s="34">
        <v>0</v>
      </c>
      <c r="AI23" s="34">
        <v>0</v>
      </c>
      <c r="AJ23" s="34">
        <v>0</v>
      </c>
      <c r="AK23" s="34">
        <v>0</v>
      </c>
      <c r="AL23" s="34">
        <v>0</v>
      </c>
      <c r="AM23" s="34">
        <v>0</v>
      </c>
      <c r="AN23" s="34">
        <v>0</v>
      </c>
      <c r="AO23" s="34">
        <v>0</v>
      </c>
      <c r="AP23" s="34">
        <v>0</v>
      </c>
      <c r="AQ23" s="34">
        <v>0</v>
      </c>
      <c r="AR23" s="34">
        <v>0</v>
      </c>
      <c r="AS23" s="34">
        <v>0</v>
      </c>
      <c r="AT23" s="34">
        <v>0</v>
      </c>
      <c r="AU23" s="34">
        <v>0</v>
      </c>
      <c r="AV23" s="34">
        <v>0</v>
      </c>
      <c r="AW23" s="34">
        <v>0</v>
      </c>
      <c r="AX23" s="34">
        <v>0</v>
      </c>
      <c r="AY23" s="34">
        <v>0</v>
      </c>
      <c r="AZ23" s="34">
        <v>0</v>
      </c>
      <c r="BA23" s="34">
        <v>0</v>
      </c>
      <c r="BB23" s="34">
        <v>0</v>
      </c>
      <c r="BC23" s="34">
        <v>0</v>
      </c>
      <c r="BD23" s="34">
        <v>0</v>
      </c>
      <c r="BE23" s="34">
        <v>0</v>
      </c>
      <c r="BF23" s="34">
        <v>0</v>
      </c>
      <c r="BG23" s="34">
        <v>0</v>
      </c>
      <c r="BH23" s="34">
        <v>0</v>
      </c>
      <c r="BI23" s="34">
        <v>0</v>
      </c>
      <c r="BJ23" s="34">
        <v>0</v>
      </c>
      <c r="BK23" s="34">
        <v>0</v>
      </c>
      <c r="BL23" s="34">
        <v>0</v>
      </c>
      <c r="BM23" s="34">
        <v>0</v>
      </c>
      <c r="BN23" s="34">
        <v>0</v>
      </c>
      <c r="BO23" s="34">
        <v>1</v>
      </c>
      <c r="BP23" s="34">
        <v>0</v>
      </c>
      <c r="BQ23" s="17" t="s">
        <v>83</v>
      </c>
      <c r="BR23" s="17" t="s">
        <v>83</v>
      </c>
      <c r="BS23" s="17" t="s">
        <v>83</v>
      </c>
      <c r="BT23" s="17">
        <v>0</v>
      </c>
      <c r="BU23" s="17">
        <v>0</v>
      </c>
      <c r="BV23" s="34">
        <v>0</v>
      </c>
      <c r="BW23" s="34">
        <v>0</v>
      </c>
      <c r="BX23" s="34">
        <v>0</v>
      </c>
      <c r="BY23" s="34">
        <v>0</v>
      </c>
      <c r="BZ23" s="34">
        <v>0</v>
      </c>
      <c r="CA23" s="34">
        <v>0</v>
      </c>
      <c r="CB23" s="34">
        <v>0</v>
      </c>
      <c r="CC23" s="34">
        <v>0</v>
      </c>
      <c r="CD23" s="34">
        <v>0</v>
      </c>
      <c r="CE23" s="34">
        <v>0</v>
      </c>
      <c r="CF23" s="57" t="s">
        <v>83</v>
      </c>
      <c r="CG23" s="57" t="s">
        <v>83</v>
      </c>
      <c r="CH23" s="57" t="s">
        <v>83</v>
      </c>
      <c r="CI23" s="56">
        <v>0</v>
      </c>
      <c r="CJ23" s="56">
        <v>0</v>
      </c>
      <c r="CK23" s="56">
        <v>0</v>
      </c>
      <c r="CL23" s="56">
        <v>0</v>
      </c>
      <c r="CM23" s="56">
        <v>0</v>
      </c>
      <c r="CN23" s="57" t="s">
        <v>83</v>
      </c>
      <c r="CO23" s="57" t="s">
        <v>83</v>
      </c>
      <c r="CP23" s="57" t="s">
        <v>83</v>
      </c>
      <c r="CQ23" s="56">
        <v>0</v>
      </c>
      <c r="CR23" s="56">
        <v>0</v>
      </c>
      <c r="CS23" s="56">
        <v>0</v>
      </c>
      <c r="CT23" s="56">
        <v>0</v>
      </c>
      <c r="CU23" s="56">
        <v>0</v>
      </c>
      <c r="CV23" s="57" t="s">
        <v>83</v>
      </c>
      <c r="CW23" s="57" t="s">
        <v>83</v>
      </c>
      <c r="CX23" s="57" t="s">
        <v>83</v>
      </c>
      <c r="CY23" s="56">
        <v>0</v>
      </c>
      <c r="CZ23" s="56">
        <v>0</v>
      </c>
      <c r="DA23" s="56">
        <v>0</v>
      </c>
      <c r="DB23" s="56">
        <v>0</v>
      </c>
      <c r="DC23" s="56">
        <v>0</v>
      </c>
      <c r="DD23" s="57" t="s">
        <v>83</v>
      </c>
      <c r="DE23" s="57" t="s">
        <v>83</v>
      </c>
      <c r="DF23" s="57" t="s">
        <v>83</v>
      </c>
      <c r="DG23" s="56">
        <v>0</v>
      </c>
      <c r="DH23" s="56">
        <v>0</v>
      </c>
      <c r="DI23" s="56">
        <v>0</v>
      </c>
      <c r="DJ23" s="56">
        <v>0</v>
      </c>
      <c r="DK23" s="56">
        <v>0</v>
      </c>
      <c r="DL23" s="57" t="s">
        <v>83</v>
      </c>
      <c r="DM23" s="57" t="s">
        <v>83</v>
      </c>
      <c r="DN23" s="57" t="s">
        <v>83</v>
      </c>
      <c r="DO23" s="56">
        <v>0</v>
      </c>
      <c r="DP23" s="56">
        <v>0</v>
      </c>
      <c r="DQ23" s="56">
        <v>0</v>
      </c>
      <c r="DR23" s="56">
        <v>0</v>
      </c>
      <c r="DS23" s="56">
        <v>0</v>
      </c>
      <c r="DT23" s="57" t="s">
        <v>83</v>
      </c>
      <c r="DU23" s="57" t="s">
        <v>83</v>
      </c>
      <c r="DV23" s="57" t="s">
        <v>83</v>
      </c>
      <c r="DW23" s="56">
        <v>0</v>
      </c>
      <c r="DX23" s="56">
        <v>0</v>
      </c>
      <c r="DY23" s="56">
        <v>0</v>
      </c>
      <c r="DZ23" s="56">
        <v>0</v>
      </c>
      <c r="EA23" s="56">
        <v>0</v>
      </c>
      <c r="EB23" s="57" t="s">
        <v>83</v>
      </c>
      <c r="EC23" s="57" t="s">
        <v>83</v>
      </c>
      <c r="ED23" s="57" t="s">
        <v>83</v>
      </c>
      <c r="EE23" s="56">
        <v>0</v>
      </c>
      <c r="EF23" s="56">
        <v>0</v>
      </c>
      <c r="EG23" s="56">
        <v>0</v>
      </c>
      <c r="EH23" s="56">
        <v>0</v>
      </c>
      <c r="EI23" s="56">
        <v>0</v>
      </c>
      <c r="EJ23" s="57" t="s">
        <v>83</v>
      </c>
      <c r="EK23" s="57" t="s">
        <v>83</v>
      </c>
      <c r="EL23" s="57" t="s">
        <v>83</v>
      </c>
      <c r="EM23" s="56">
        <v>0</v>
      </c>
      <c r="EN23" s="56">
        <v>0</v>
      </c>
      <c r="EO23" s="56">
        <v>0</v>
      </c>
      <c r="EP23" s="56">
        <v>0</v>
      </c>
      <c r="EQ23" s="56">
        <v>0</v>
      </c>
      <c r="ER23" s="57" t="s">
        <v>83</v>
      </c>
      <c r="ES23" s="57" t="s">
        <v>83</v>
      </c>
      <c r="ET23" s="57" t="s">
        <v>83</v>
      </c>
      <c r="EU23" s="56">
        <v>0</v>
      </c>
      <c r="EV23" s="56">
        <v>0</v>
      </c>
      <c r="EW23" s="56">
        <v>0</v>
      </c>
      <c r="EX23" s="56">
        <v>0</v>
      </c>
      <c r="EY23" s="56">
        <v>0</v>
      </c>
      <c r="EZ23" s="57" t="s">
        <v>83</v>
      </c>
      <c r="FA23" s="57" t="s">
        <v>83</v>
      </c>
      <c r="FB23" s="57" t="s">
        <v>83</v>
      </c>
      <c r="FC23" s="56">
        <v>0</v>
      </c>
      <c r="FD23" s="56">
        <v>0</v>
      </c>
      <c r="FE23" s="56">
        <v>0</v>
      </c>
      <c r="FF23" s="56">
        <v>0</v>
      </c>
      <c r="FG23" s="56">
        <v>0</v>
      </c>
      <c r="FH23" s="57" t="s">
        <v>83</v>
      </c>
      <c r="FI23" s="57" t="s">
        <v>83</v>
      </c>
      <c r="FJ23" s="57" t="s">
        <v>83</v>
      </c>
      <c r="FK23" s="56">
        <v>0</v>
      </c>
      <c r="FL23" s="56">
        <v>0</v>
      </c>
      <c r="FM23" s="56">
        <v>0</v>
      </c>
      <c r="FN23" s="56">
        <v>0</v>
      </c>
      <c r="FO23" s="56">
        <v>0</v>
      </c>
      <c r="FP23" s="34">
        <v>0</v>
      </c>
      <c r="FQ23" s="34">
        <v>0</v>
      </c>
      <c r="FR23" s="22" t="s">
        <v>164</v>
      </c>
      <c r="FS23" s="34">
        <v>0</v>
      </c>
      <c r="FT23" s="34">
        <v>0</v>
      </c>
      <c r="FU23" s="22" t="s">
        <v>164</v>
      </c>
      <c r="FV23" s="22" t="s">
        <v>164</v>
      </c>
      <c r="FW23" s="22" t="s">
        <v>164</v>
      </c>
      <c r="FX23" s="16">
        <v>0</v>
      </c>
      <c r="FY23" s="16">
        <v>0</v>
      </c>
      <c r="FZ23" s="16">
        <v>0</v>
      </c>
      <c r="GA23" s="22" t="s">
        <v>164</v>
      </c>
      <c r="GB23" s="22" t="s">
        <v>164</v>
      </c>
      <c r="GC23" s="22" t="s">
        <v>164</v>
      </c>
      <c r="GD23" s="16">
        <v>0</v>
      </c>
      <c r="GE23" s="16">
        <v>0</v>
      </c>
      <c r="GF23" s="16">
        <v>0</v>
      </c>
      <c r="GG23" s="22" t="s">
        <v>164</v>
      </c>
      <c r="GH23" s="22" t="s">
        <v>164</v>
      </c>
      <c r="GI23" s="22" t="s">
        <v>164</v>
      </c>
      <c r="GJ23" s="16">
        <v>0</v>
      </c>
      <c r="GK23" s="16">
        <v>0</v>
      </c>
      <c r="GL23" s="16">
        <v>0</v>
      </c>
      <c r="GM23" s="22" t="s">
        <v>164</v>
      </c>
      <c r="GN23" s="22" t="s">
        <v>164</v>
      </c>
      <c r="GO23" s="22" t="s">
        <v>164</v>
      </c>
      <c r="GP23" s="16">
        <v>0</v>
      </c>
      <c r="GQ23" s="16">
        <v>0</v>
      </c>
      <c r="GR23" s="16">
        <v>0</v>
      </c>
      <c r="GS23" s="22" t="s">
        <v>164</v>
      </c>
      <c r="GT23" s="22" t="s">
        <v>164</v>
      </c>
      <c r="GU23" s="22" t="s">
        <v>164</v>
      </c>
      <c r="GV23" s="16">
        <v>0</v>
      </c>
      <c r="GW23" s="16">
        <v>0</v>
      </c>
      <c r="GX23" s="16">
        <v>0</v>
      </c>
      <c r="GY23" s="22" t="s">
        <v>164</v>
      </c>
      <c r="GZ23" s="22" t="s">
        <v>164</v>
      </c>
      <c r="HA23" s="22" t="s">
        <v>164</v>
      </c>
      <c r="HB23" s="16">
        <v>0</v>
      </c>
      <c r="HC23" s="16">
        <v>0</v>
      </c>
      <c r="HD23" s="16">
        <v>0</v>
      </c>
      <c r="HE23" s="22" t="s">
        <v>164</v>
      </c>
      <c r="HF23" s="22" t="s">
        <v>164</v>
      </c>
      <c r="HG23" s="22" t="s">
        <v>164</v>
      </c>
      <c r="HH23" s="16">
        <v>0</v>
      </c>
      <c r="HI23" s="16">
        <v>0</v>
      </c>
      <c r="HJ23" s="16">
        <v>0</v>
      </c>
      <c r="HK23" s="22" t="s">
        <v>164</v>
      </c>
      <c r="HL23" s="22" t="s">
        <v>164</v>
      </c>
      <c r="HM23" s="22" t="s">
        <v>164</v>
      </c>
      <c r="HN23" s="16">
        <v>0</v>
      </c>
      <c r="HO23" s="16">
        <v>0</v>
      </c>
      <c r="HP23" s="16">
        <v>0</v>
      </c>
      <c r="HQ23" s="22" t="s">
        <v>164</v>
      </c>
      <c r="HR23" s="22" t="s">
        <v>164</v>
      </c>
      <c r="HS23" s="22" t="s">
        <v>164</v>
      </c>
      <c r="HT23" s="16">
        <v>0</v>
      </c>
      <c r="HU23" s="16">
        <v>0</v>
      </c>
      <c r="HV23" s="16">
        <v>0</v>
      </c>
      <c r="HW23" s="22" t="s">
        <v>164</v>
      </c>
      <c r="HX23" s="22" t="s">
        <v>164</v>
      </c>
      <c r="HY23" s="22" t="s">
        <v>164</v>
      </c>
      <c r="HZ23" s="16">
        <v>0</v>
      </c>
      <c r="IA23" s="16">
        <v>0</v>
      </c>
      <c r="IB23" s="16">
        <v>0</v>
      </c>
      <c r="IC23" s="22" t="s">
        <v>164</v>
      </c>
      <c r="ID23" s="22" t="s">
        <v>164</v>
      </c>
      <c r="IE23" s="22" t="s">
        <v>164</v>
      </c>
      <c r="IF23" s="16">
        <v>0</v>
      </c>
      <c r="IG23" s="16">
        <v>0</v>
      </c>
      <c r="IH23" s="16">
        <v>0</v>
      </c>
      <c r="II23" s="34">
        <v>0</v>
      </c>
      <c r="IJ23" s="34">
        <v>0</v>
      </c>
      <c r="IK23" s="16" t="s">
        <v>83</v>
      </c>
      <c r="IL23" s="34">
        <v>0</v>
      </c>
      <c r="IM23" s="16" t="s">
        <v>83</v>
      </c>
      <c r="IN23" s="34">
        <v>0</v>
      </c>
      <c r="IO23" s="34">
        <v>0</v>
      </c>
      <c r="IP23" s="34">
        <v>0</v>
      </c>
      <c r="IQ23" s="34" t="s">
        <v>164</v>
      </c>
      <c r="IR23" s="34" t="s">
        <v>164</v>
      </c>
      <c r="IS23" s="34" t="s">
        <v>164</v>
      </c>
      <c r="IT23" s="34">
        <v>0</v>
      </c>
      <c r="IU23" s="34">
        <v>0</v>
      </c>
      <c r="IV23" s="34">
        <v>0</v>
      </c>
      <c r="IW23" s="34">
        <v>0</v>
      </c>
      <c r="IX23" s="34">
        <v>0</v>
      </c>
      <c r="IY23" s="34">
        <v>0</v>
      </c>
      <c r="IZ23" s="34">
        <v>1</v>
      </c>
      <c r="JA23" s="34">
        <v>0</v>
      </c>
      <c r="JB23" s="34">
        <v>0</v>
      </c>
      <c r="JC23" s="34">
        <v>0</v>
      </c>
      <c r="JD23" s="34" t="s">
        <v>83</v>
      </c>
      <c r="JE23" s="34" t="s">
        <v>164</v>
      </c>
      <c r="JF23" s="34" t="s">
        <v>164</v>
      </c>
      <c r="JG23" s="34" t="s">
        <v>164</v>
      </c>
      <c r="JH23" s="34">
        <v>0</v>
      </c>
      <c r="JI23" s="34">
        <v>0</v>
      </c>
      <c r="JJ23" s="34" t="s">
        <v>164</v>
      </c>
      <c r="JK23" s="34">
        <v>0</v>
      </c>
      <c r="JL23" s="34">
        <v>0</v>
      </c>
      <c r="JM23" s="34" t="s">
        <v>164</v>
      </c>
      <c r="JN23" s="34" t="s">
        <v>164</v>
      </c>
      <c r="JO23" s="34" t="s">
        <v>164</v>
      </c>
      <c r="JP23" s="34">
        <v>0</v>
      </c>
      <c r="JQ23" s="34">
        <v>0</v>
      </c>
      <c r="JR23" s="34" t="s">
        <v>164</v>
      </c>
      <c r="JS23" s="34">
        <v>0</v>
      </c>
      <c r="JT23" s="34">
        <v>0</v>
      </c>
      <c r="JU23" s="34" t="s">
        <v>164</v>
      </c>
      <c r="JV23" s="34" t="s">
        <v>164</v>
      </c>
      <c r="JW23" s="34" t="s">
        <v>164</v>
      </c>
      <c r="JX23" s="34">
        <v>0</v>
      </c>
      <c r="JY23" s="34">
        <v>0</v>
      </c>
      <c r="JZ23" s="34" t="s">
        <v>164</v>
      </c>
      <c r="KA23" s="34">
        <v>0</v>
      </c>
      <c r="KB23" s="34">
        <v>0</v>
      </c>
      <c r="KC23" s="34" t="s">
        <v>164</v>
      </c>
      <c r="KD23" s="34" t="s">
        <v>164</v>
      </c>
      <c r="KE23" s="34" t="s">
        <v>164</v>
      </c>
      <c r="KF23" s="34">
        <v>0</v>
      </c>
      <c r="KG23" s="34">
        <v>0</v>
      </c>
      <c r="KH23" s="34" t="s">
        <v>164</v>
      </c>
      <c r="KI23" s="34">
        <v>0</v>
      </c>
      <c r="KJ23" s="34">
        <v>0</v>
      </c>
      <c r="KK23" s="34" t="s">
        <v>164</v>
      </c>
      <c r="KL23" s="34" t="s">
        <v>164</v>
      </c>
      <c r="KM23" s="34" t="s">
        <v>164</v>
      </c>
      <c r="KN23" s="34">
        <v>0</v>
      </c>
      <c r="KO23" s="34">
        <v>0</v>
      </c>
      <c r="KP23" s="34" t="s">
        <v>164</v>
      </c>
      <c r="KQ23" s="34">
        <v>0</v>
      </c>
      <c r="KR23" s="34">
        <v>0</v>
      </c>
      <c r="KS23" s="34" t="s">
        <v>164</v>
      </c>
      <c r="KT23" s="34" t="s">
        <v>164</v>
      </c>
      <c r="KU23" s="34" t="s">
        <v>164</v>
      </c>
      <c r="KV23" s="34">
        <v>0</v>
      </c>
      <c r="KW23" s="34">
        <v>0</v>
      </c>
      <c r="KX23" s="34" t="s">
        <v>164</v>
      </c>
      <c r="KY23" s="34">
        <v>0</v>
      </c>
      <c r="KZ23" s="34">
        <v>0</v>
      </c>
      <c r="LA23" s="34" t="s">
        <v>164</v>
      </c>
      <c r="LB23" s="34" t="s">
        <v>164</v>
      </c>
      <c r="LC23" s="34" t="s">
        <v>164</v>
      </c>
      <c r="LD23" s="34">
        <v>0</v>
      </c>
      <c r="LE23" s="34">
        <v>0</v>
      </c>
      <c r="LF23" s="34" t="s">
        <v>164</v>
      </c>
      <c r="LG23" s="34">
        <v>0</v>
      </c>
      <c r="LH23" s="34">
        <v>0</v>
      </c>
      <c r="LI23" s="34" t="s">
        <v>164</v>
      </c>
      <c r="LJ23" s="34" t="s">
        <v>164</v>
      </c>
      <c r="LK23" s="34" t="s">
        <v>164</v>
      </c>
      <c r="LL23" s="34">
        <v>0</v>
      </c>
      <c r="LM23" s="34">
        <v>0</v>
      </c>
      <c r="LN23" s="34" t="s">
        <v>164</v>
      </c>
      <c r="LO23" s="34">
        <v>0</v>
      </c>
      <c r="LP23" s="34">
        <v>0</v>
      </c>
      <c r="LQ23" s="34" t="s">
        <v>164</v>
      </c>
      <c r="LR23" s="34" t="s">
        <v>164</v>
      </c>
      <c r="LS23" s="34" t="s">
        <v>164</v>
      </c>
      <c r="LT23" s="34">
        <v>0</v>
      </c>
      <c r="LU23" s="34">
        <v>0</v>
      </c>
      <c r="LV23" s="34" t="s">
        <v>164</v>
      </c>
      <c r="LW23" s="34">
        <v>0</v>
      </c>
      <c r="LX23" s="34">
        <v>0</v>
      </c>
      <c r="LY23" s="34" t="s">
        <v>164</v>
      </c>
      <c r="LZ23" s="34" t="s">
        <v>164</v>
      </c>
      <c r="MA23" s="34" t="s">
        <v>164</v>
      </c>
      <c r="MB23" s="34">
        <v>0</v>
      </c>
      <c r="MC23" s="34">
        <v>0</v>
      </c>
      <c r="MD23" s="22" t="s">
        <v>164</v>
      </c>
      <c r="ME23" s="34">
        <v>0</v>
      </c>
      <c r="MF23" s="34">
        <v>0</v>
      </c>
      <c r="MG23" s="22" t="s">
        <v>164</v>
      </c>
      <c r="MH23" s="22" t="s">
        <v>164</v>
      </c>
      <c r="MI23" s="22" t="s">
        <v>164</v>
      </c>
      <c r="MJ23" s="34">
        <v>0</v>
      </c>
      <c r="MK23" s="34">
        <v>0</v>
      </c>
      <c r="ML23" s="22" t="s">
        <v>164</v>
      </c>
      <c r="MM23" s="22"/>
      <c r="MN23" s="22"/>
    </row>
    <row r="24" spans="1:352" s="1" customFormat="1" ht="23.25" customHeight="1" x14ac:dyDescent="0.25">
      <c r="A24" s="34" t="s">
        <v>2</v>
      </c>
      <c r="B24" s="34" t="s">
        <v>32</v>
      </c>
      <c r="C24" s="34">
        <v>0</v>
      </c>
      <c r="D24" s="34">
        <v>0</v>
      </c>
      <c r="E24" s="34" t="s">
        <v>83</v>
      </c>
      <c r="F24" s="34" t="s">
        <v>83</v>
      </c>
      <c r="G24" s="34" t="s">
        <v>83</v>
      </c>
      <c r="H24" s="34">
        <v>0</v>
      </c>
      <c r="I24" s="34">
        <v>0</v>
      </c>
      <c r="J24" s="34">
        <v>0</v>
      </c>
      <c r="K24" s="34">
        <v>0</v>
      </c>
      <c r="L24" s="34">
        <v>0</v>
      </c>
      <c r="M24" s="34">
        <v>0</v>
      </c>
      <c r="N24" s="34">
        <v>0</v>
      </c>
      <c r="O24" s="34">
        <v>0</v>
      </c>
      <c r="P24" s="34">
        <v>0</v>
      </c>
      <c r="Q24" s="34">
        <v>0</v>
      </c>
      <c r="R24" s="34">
        <v>0</v>
      </c>
      <c r="S24" s="34">
        <v>0</v>
      </c>
      <c r="T24" s="34">
        <v>0</v>
      </c>
      <c r="U24" s="34">
        <v>0</v>
      </c>
      <c r="V24" s="34">
        <v>0</v>
      </c>
      <c r="W24" s="34">
        <v>0</v>
      </c>
      <c r="X24" s="34">
        <v>0</v>
      </c>
      <c r="Y24" s="34">
        <v>0</v>
      </c>
      <c r="Z24" s="34">
        <v>0</v>
      </c>
      <c r="AA24" s="34">
        <v>0</v>
      </c>
      <c r="AB24" s="34">
        <v>0</v>
      </c>
      <c r="AC24" s="34">
        <v>0</v>
      </c>
      <c r="AD24" s="34">
        <v>0</v>
      </c>
      <c r="AE24" s="34">
        <v>0</v>
      </c>
      <c r="AF24" s="34">
        <v>0</v>
      </c>
      <c r="AG24" s="34">
        <v>0</v>
      </c>
      <c r="AH24" s="34">
        <v>0</v>
      </c>
      <c r="AI24" s="34">
        <v>0</v>
      </c>
      <c r="AJ24" s="34">
        <v>1</v>
      </c>
      <c r="AK24" s="34">
        <v>1</v>
      </c>
      <c r="AL24" s="34">
        <v>1</v>
      </c>
      <c r="AM24" s="34">
        <v>0</v>
      </c>
      <c r="AN24" s="34">
        <v>0</v>
      </c>
      <c r="AO24" s="34">
        <v>0</v>
      </c>
      <c r="AP24" s="34">
        <v>0</v>
      </c>
      <c r="AQ24" s="34">
        <v>0</v>
      </c>
      <c r="AR24" s="34">
        <v>0</v>
      </c>
      <c r="AS24" s="34">
        <v>0</v>
      </c>
      <c r="AT24" s="34">
        <v>0</v>
      </c>
      <c r="AU24" s="34">
        <v>0</v>
      </c>
      <c r="AV24" s="34">
        <v>0</v>
      </c>
      <c r="AW24" s="34">
        <v>0</v>
      </c>
      <c r="AX24" s="34">
        <v>0</v>
      </c>
      <c r="AY24" s="34">
        <v>0</v>
      </c>
      <c r="AZ24" s="34">
        <v>0</v>
      </c>
      <c r="BA24" s="34">
        <v>0</v>
      </c>
      <c r="BB24" s="34">
        <v>0</v>
      </c>
      <c r="BC24" s="34">
        <v>0</v>
      </c>
      <c r="BD24" s="34">
        <v>0</v>
      </c>
      <c r="BE24" s="34">
        <v>0</v>
      </c>
      <c r="BF24" s="34">
        <v>0</v>
      </c>
      <c r="BG24" s="34">
        <v>0</v>
      </c>
      <c r="BH24" s="34">
        <v>0</v>
      </c>
      <c r="BI24" s="34">
        <v>0</v>
      </c>
      <c r="BJ24" s="34">
        <v>0</v>
      </c>
      <c r="BK24" s="34">
        <v>0</v>
      </c>
      <c r="BL24" s="34">
        <v>0</v>
      </c>
      <c r="BM24" s="34">
        <v>0</v>
      </c>
      <c r="BN24" s="34">
        <v>0</v>
      </c>
      <c r="BO24" s="34">
        <v>0</v>
      </c>
      <c r="BP24" s="34">
        <v>1</v>
      </c>
      <c r="BQ24" s="17" t="s">
        <v>83</v>
      </c>
      <c r="BR24" s="17" t="s">
        <v>83</v>
      </c>
      <c r="BS24" s="17" t="s">
        <v>83</v>
      </c>
      <c r="BT24" s="17">
        <v>0</v>
      </c>
      <c r="BU24" s="17">
        <v>0</v>
      </c>
      <c r="BV24" s="34">
        <v>0</v>
      </c>
      <c r="BW24" s="34">
        <v>0</v>
      </c>
      <c r="BX24" s="34">
        <v>0</v>
      </c>
      <c r="BY24" s="34">
        <v>0</v>
      </c>
      <c r="BZ24" s="34">
        <v>0</v>
      </c>
      <c r="CA24" s="34">
        <v>0</v>
      </c>
      <c r="CB24" s="34">
        <v>0</v>
      </c>
      <c r="CC24" s="34">
        <v>0</v>
      </c>
      <c r="CD24" s="34">
        <v>0</v>
      </c>
      <c r="CE24" s="34">
        <v>0</v>
      </c>
      <c r="CF24" s="57" t="s">
        <v>83</v>
      </c>
      <c r="CG24" s="57" t="s">
        <v>83</v>
      </c>
      <c r="CH24" s="57" t="s">
        <v>83</v>
      </c>
      <c r="CI24" s="56">
        <v>0</v>
      </c>
      <c r="CJ24" s="56">
        <v>0</v>
      </c>
      <c r="CK24" s="56">
        <v>0</v>
      </c>
      <c r="CL24" s="56">
        <v>0</v>
      </c>
      <c r="CM24" s="56">
        <v>0</v>
      </c>
      <c r="CN24" s="57" t="s">
        <v>83</v>
      </c>
      <c r="CO24" s="57" t="s">
        <v>83</v>
      </c>
      <c r="CP24" s="57" t="s">
        <v>83</v>
      </c>
      <c r="CQ24" s="56">
        <v>0</v>
      </c>
      <c r="CR24" s="56">
        <v>0</v>
      </c>
      <c r="CS24" s="56">
        <v>0</v>
      </c>
      <c r="CT24" s="56">
        <v>0</v>
      </c>
      <c r="CU24" s="56">
        <v>0</v>
      </c>
      <c r="CV24" s="57" t="s">
        <v>83</v>
      </c>
      <c r="CW24" s="57" t="s">
        <v>83</v>
      </c>
      <c r="CX24" s="57" t="s">
        <v>83</v>
      </c>
      <c r="CY24" s="56">
        <v>0</v>
      </c>
      <c r="CZ24" s="56">
        <v>0</v>
      </c>
      <c r="DA24" s="56">
        <v>0</v>
      </c>
      <c r="DB24" s="56">
        <v>0</v>
      </c>
      <c r="DC24" s="56">
        <v>0</v>
      </c>
      <c r="DD24" s="57" t="s">
        <v>83</v>
      </c>
      <c r="DE24" s="57" t="s">
        <v>83</v>
      </c>
      <c r="DF24" s="57" t="s">
        <v>83</v>
      </c>
      <c r="DG24" s="56">
        <v>0</v>
      </c>
      <c r="DH24" s="56">
        <v>0</v>
      </c>
      <c r="DI24" s="56">
        <v>0</v>
      </c>
      <c r="DJ24" s="56">
        <v>0</v>
      </c>
      <c r="DK24" s="56">
        <v>0</v>
      </c>
      <c r="DL24" s="57" t="s">
        <v>83</v>
      </c>
      <c r="DM24" s="57" t="s">
        <v>83</v>
      </c>
      <c r="DN24" s="57" t="s">
        <v>83</v>
      </c>
      <c r="DO24" s="56">
        <v>0</v>
      </c>
      <c r="DP24" s="56">
        <v>0</v>
      </c>
      <c r="DQ24" s="56">
        <v>0</v>
      </c>
      <c r="DR24" s="56">
        <v>0</v>
      </c>
      <c r="DS24" s="56">
        <v>0</v>
      </c>
      <c r="DT24" s="57" t="s">
        <v>83</v>
      </c>
      <c r="DU24" s="57" t="s">
        <v>83</v>
      </c>
      <c r="DV24" s="57" t="s">
        <v>83</v>
      </c>
      <c r="DW24" s="56">
        <v>0</v>
      </c>
      <c r="DX24" s="56">
        <v>0</v>
      </c>
      <c r="DY24" s="56">
        <v>0</v>
      </c>
      <c r="DZ24" s="56">
        <v>0</v>
      </c>
      <c r="EA24" s="56">
        <v>0</v>
      </c>
      <c r="EB24" s="57" t="s">
        <v>83</v>
      </c>
      <c r="EC24" s="57" t="s">
        <v>83</v>
      </c>
      <c r="ED24" s="57" t="s">
        <v>83</v>
      </c>
      <c r="EE24" s="56">
        <v>0</v>
      </c>
      <c r="EF24" s="56">
        <v>0</v>
      </c>
      <c r="EG24" s="56">
        <v>0</v>
      </c>
      <c r="EH24" s="56">
        <v>0</v>
      </c>
      <c r="EI24" s="56">
        <v>0</v>
      </c>
      <c r="EJ24" s="57" t="s">
        <v>83</v>
      </c>
      <c r="EK24" s="57" t="s">
        <v>83</v>
      </c>
      <c r="EL24" s="57" t="s">
        <v>83</v>
      </c>
      <c r="EM24" s="56">
        <v>0</v>
      </c>
      <c r="EN24" s="56">
        <v>0</v>
      </c>
      <c r="EO24" s="56">
        <v>0</v>
      </c>
      <c r="EP24" s="56">
        <v>0</v>
      </c>
      <c r="EQ24" s="56">
        <v>0</v>
      </c>
      <c r="ER24" s="57" t="s">
        <v>83</v>
      </c>
      <c r="ES24" s="57" t="s">
        <v>83</v>
      </c>
      <c r="ET24" s="57" t="s">
        <v>83</v>
      </c>
      <c r="EU24" s="56">
        <v>0</v>
      </c>
      <c r="EV24" s="56">
        <v>0</v>
      </c>
      <c r="EW24" s="56">
        <v>0</v>
      </c>
      <c r="EX24" s="56">
        <v>0</v>
      </c>
      <c r="EY24" s="56">
        <v>0</v>
      </c>
      <c r="EZ24" s="57" t="s">
        <v>83</v>
      </c>
      <c r="FA24" s="57" t="s">
        <v>83</v>
      </c>
      <c r="FB24" s="57" t="s">
        <v>83</v>
      </c>
      <c r="FC24" s="56">
        <v>0</v>
      </c>
      <c r="FD24" s="56">
        <v>0</v>
      </c>
      <c r="FE24" s="56">
        <v>0</v>
      </c>
      <c r="FF24" s="56">
        <v>0</v>
      </c>
      <c r="FG24" s="56">
        <v>0</v>
      </c>
      <c r="FH24" s="57" t="s">
        <v>83</v>
      </c>
      <c r="FI24" s="57" t="s">
        <v>83</v>
      </c>
      <c r="FJ24" s="57" t="s">
        <v>83</v>
      </c>
      <c r="FK24" s="56">
        <v>0</v>
      </c>
      <c r="FL24" s="56">
        <v>0</v>
      </c>
      <c r="FM24" s="56">
        <v>0</v>
      </c>
      <c r="FN24" s="56">
        <v>0</v>
      </c>
      <c r="FO24" s="56">
        <v>0</v>
      </c>
      <c r="FP24" s="34">
        <v>0</v>
      </c>
      <c r="FQ24" s="34">
        <v>0</v>
      </c>
      <c r="FR24" s="22" t="s">
        <v>164</v>
      </c>
      <c r="FS24" s="34">
        <v>0</v>
      </c>
      <c r="FT24" s="34">
        <v>0</v>
      </c>
      <c r="FU24" s="22" t="s">
        <v>164</v>
      </c>
      <c r="FV24" s="22" t="s">
        <v>164</v>
      </c>
      <c r="FW24" s="22" t="s">
        <v>164</v>
      </c>
      <c r="FX24" s="16">
        <v>0</v>
      </c>
      <c r="FY24" s="16">
        <v>0</v>
      </c>
      <c r="FZ24" s="16">
        <v>0</v>
      </c>
      <c r="GA24" s="22" t="s">
        <v>164</v>
      </c>
      <c r="GB24" s="22" t="s">
        <v>164</v>
      </c>
      <c r="GC24" s="22" t="s">
        <v>164</v>
      </c>
      <c r="GD24" s="16">
        <v>0</v>
      </c>
      <c r="GE24" s="16">
        <v>0</v>
      </c>
      <c r="GF24" s="16">
        <v>0</v>
      </c>
      <c r="GG24" s="22" t="s">
        <v>164</v>
      </c>
      <c r="GH24" s="22" t="s">
        <v>164</v>
      </c>
      <c r="GI24" s="22" t="s">
        <v>164</v>
      </c>
      <c r="GJ24" s="16">
        <v>0</v>
      </c>
      <c r="GK24" s="16">
        <v>0</v>
      </c>
      <c r="GL24" s="16">
        <v>0</v>
      </c>
      <c r="GM24" s="22" t="s">
        <v>164</v>
      </c>
      <c r="GN24" s="22" t="s">
        <v>164</v>
      </c>
      <c r="GO24" s="22" t="s">
        <v>164</v>
      </c>
      <c r="GP24" s="16">
        <v>0</v>
      </c>
      <c r="GQ24" s="16">
        <v>0</v>
      </c>
      <c r="GR24" s="16">
        <v>0</v>
      </c>
      <c r="GS24" s="22" t="s">
        <v>164</v>
      </c>
      <c r="GT24" s="22" t="s">
        <v>164</v>
      </c>
      <c r="GU24" s="22" t="s">
        <v>164</v>
      </c>
      <c r="GV24" s="16">
        <v>0</v>
      </c>
      <c r="GW24" s="16">
        <v>0</v>
      </c>
      <c r="GX24" s="16">
        <v>0</v>
      </c>
      <c r="GY24" s="22" t="s">
        <v>164</v>
      </c>
      <c r="GZ24" s="22" t="s">
        <v>164</v>
      </c>
      <c r="HA24" s="22" t="s">
        <v>164</v>
      </c>
      <c r="HB24" s="16">
        <v>0</v>
      </c>
      <c r="HC24" s="16">
        <v>0</v>
      </c>
      <c r="HD24" s="16">
        <v>0</v>
      </c>
      <c r="HE24" s="22" t="s">
        <v>164</v>
      </c>
      <c r="HF24" s="22" t="s">
        <v>164</v>
      </c>
      <c r="HG24" s="22" t="s">
        <v>164</v>
      </c>
      <c r="HH24" s="16">
        <v>0</v>
      </c>
      <c r="HI24" s="16">
        <v>0</v>
      </c>
      <c r="HJ24" s="16">
        <v>0</v>
      </c>
      <c r="HK24" s="22" t="s">
        <v>164</v>
      </c>
      <c r="HL24" s="22" t="s">
        <v>164</v>
      </c>
      <c r="HM24" s="22" t="s">
        <v>164</v>
      </c>
      <c r="HN24" s="16">
        <v>0</v>
      </c>
      <c r="HO24" s="16">
        <v>0</v>
      </c>
      <c r="HP24" s="16">
        <v>0</v>
      </c>
      <c r="HQ24" s="22" t="s">
        <v>164</v>
      </c>
      <c r="HR24" s="22" t="s">
        <v>164</v>
      </c>
      <c r="HS24" s="22" t="s">
        <v>164</v>
      </c>
      <c r="HT24" s="16">
        <v>0</v>
      </c>
      <c r="HU24" s="16">
        <v>0</v>
      </c>
      <c r="HV24" s="16">
        <v>0</v>
      </c>
      <c r="HW24" s="22" t="s">
        <v>164</v>
      </c>
      <c r="HX24" s="22" t="s">
        <v>164</v>
      </c>
      <c r="HY24" s="22" t="s">
        <v>164</v>
      </c>
      <c r="HZ24" s="16">
        <v>0</v>
      </c>
      <c r="IA24" s="16">
        <v>0</v>
      </c>
      <c r="IB24" s="16">
        <v>0</v>
      </c>
      <c r="IC24" s="22" t="s">
        <v>164</v>
      </c>
      <c r="ID24" s="22" t="s">
        <v>164</v>
      </c>
      <c r="IE24" s="22" t="s">
        <v>164</v>
      </c>
      <c r="IF24" s="16">
        <v>0</v>
      </c>
      <c r="IG24" s="16">
        <v>0</v>
      </c>
      <c r="IH24" s="16">
        <v>0</v>
      </c>
      <c r="II24" s="34">
        <v>0</v>
      </c>
      <c r="IJ24" s="34">
        <v>0</v>
      </c>
      <c r="IK24" s="16" t="s">
        <v>83</v>
      </c>
      <c r="IL24" s="34">
        <v>0</v>
      </c>
      <c r="IM24" s="16" t="s">
        <v>83</v>
      </c>
      <c r="IN24" s="34">
        <v>0</v>
      </c>
      <c r="IO24" s="34">
        <v>0</v>
      </c>
      <c r="IP24" s="34">
        <v>0</v>
      </c>
      <c r="IQ24" s="34" t="s">
        <v>164</v>
      </c>
      <c r="IR24" s="34" t="s">
        <v>164</v>
      </c>
      <c r="IS24" s="34" t="s">
        <v>164</v>
      </c>
      <c r="IT24" s="34">
        <v>0</v>
      </c>
      <c r="IU24" s="34">
        <v>0</v>
      </c>
      <c r="IV24" s="34">
        <v>0</v>
      </c>
      <c r="IW24" s="34">
        <v>0</v>
      </c>
      <c r="IX24" s="34">
        <v>0</v>
      </c>
      <c r="IY24" s="34">
        <v>0</v>
      </c>
      <c r="IZ24" s="34">
        <v>0</v>
      </c>
      <c r="JA24" s="34">
        <v>0</v>
      </c>
      <c r="JB24" s="34">
        <v>1</v>
      </c>
      <c r="JC24" s="34">
        <v>1</v>
      </c>
      <c r="JD24" s="34" t="s">
        <v>83</v>
      </c>
      <c r="JE24" s="34" t="s">
        <v>164</v>
      </c>
      <c r="JF24" s="34" t="s">
        <v>164</v>
      </c>
      <c r="JG24" s="34" t="s">
        <v>164</v>
      </c>
      <c r="JH24" s="34">
        <v>1</v>
      </c>
      <c r="JI24" s="34">
        <v>1</v>
      </c>
      <c r="JJ24" s="34" t="s">
        <v>164</v>
      </c>
      <c r="JK24" s="34">
        <v>1</v>
      </c>
      <c r="JL24" s="34">
        <v>1</v>
      </c>
      <c r="JM24" s="34" t="s">
        <v>164</v>
      </c>
      <c r="JN24" s="34" t="s">
        <v>164</v>
      </c>
      <c r="JO24" s="34" t="s">
        <v>164</v>
      </c>
      <c r="JP24" s="34">
        <v>1</v>
      </c>
      <c r="JQ24" s="34">
        <v>1</v>
      </c>
      <c r="JR24" s="34" t="s">
        <v>164</v>
      </c>
      <c r="JS24" s="34">
        <v>1</v>
      </c>
      <c r="JT24" s="34">
        <v>1</v>
      </c>
      <c r="JU24" s="34" t="s">
        <v>164</v>
      </c>
      <c r="JV24" s="34" t="s">
        <v>164</v>
      </c>
      <c r="JW24" s="34" t="s">
        <v>164</v>
      </c>
      <c r="JX24" s="34">
        <v>1</v>
      </c>
      <c r="JY24" s="34">
        <v>1</v>
      </c>
      <c r="JZ24" s="34" t="s">
        <v>164</v>
      </c>
      <c r="KA24" s="34">
        <v>1</v>
      </c>
      <c r="KB24" s="34">
        <v>1</v>
      </c>
      <c r="KC24" s="34" t="s">
        <v>164</v>
      </c>
      <c r="KD24" s="34" t="s">
        <v>164</v>
      </c>
      <c r="KE24" s="34" t="s">
        <v>164</v>
      </c>
      <c r="KF24" s="34">
        <v>1</v>
      </c>
      <c r="KG24" s="34">
        <v>1</v>
      </c>
      <c r="KH24" s="34" t="s">
        <v>164</v>
      </c>
      <c r="KI24" s="34">
        <v>1</v>
      </c>
      <c r="KJ24" s="34">
        <v>1</v>
      </c>
      <c r="KK24" s="34" t="s">
        <v>164</v>
      </c>
      <c r="KL24" s="34" t="s">
        <v>164</v>
      </c>
      <c r="KM24" s="34" t="s">
        <v>164</v>
      </c>
      <c r="KN24" s="34">
        <v>1</v>
      </c>
      <c r="KO24" s="34">
        <v>1</v>
      </c>
      <c r="KP24" s="34" t="s">
        <v>164</v>
      </c>
      <c r="KQ24" s="34">
        <v>1</v>
      </c>
      <c r="KR24" s="34">
        <v>1</v>
      </c>
      <c r="KS24" s="34" t="s">
        <v>164</v>
      </c>
      <c r="KT24" s="34" t="s">
        <v>164</v>
      </c>
      <c r="KU24" s="34" t="s">
        <v>164</v>
      </c>
      <c r="KV24" s="34">
        <v>1</v>
      </c>
      <c r="KW24" s="34">
        <v>1</v>
      </c>
      <c r="KX24" s="34" t="s">
        <v>164</v>
      </c>
      <c r="KY24" s="34">
        <v>1</v>
      </c>
      <c r="KZ24" s="34">
        <v>1</v>
      </c>
      <c r="LA24" s="34" t="s">
        <v>164</v>
      </c>
      <c r="LB24" s="34" t="s">
        <v>164</v>
      </c>
      <c r="LC24" s="34" t="s">
        <v>164</v>
      </c>
      <c r="LD24" s="34">
        <v>1</v>
      </c>
      <c r="LE24" s="34">
        <v>1</v>
      </c>
      <c r="LF24" s="34" t="s">
        <v>164</v>
      </c>
      <c r="LG24" s="34">
        <v>1</v>
      </c>
      <c r="LH24" s="34">
        <v>1</v>
      </c>
      <c r="LI24" s="34" t="s">
        <v>164</v>
      </c>
      <c r="LJ24" s="34" t="s">
        <v>164</v>
      </c>
      <c r="LK24" s="34" t="s">
        <v>164</v>
      </c>
      <c r="LL24" s="34">
        <v>1</v>
      </c>
      <c r="LM24" s="34">
        <v>1</v>
      </c>
      <c r="LN24" s="34" t="s">
        <v>164</v>
      </c>
      <c r="LO24" s="34">
        <v>1</v>
      </c>
      <c r="LP24" s="34">
        <v>1</v>
      </c>
      <c r="LQ24" s="34" t="s">
        <v>164</v>
      </c>
      <c r="LR24" s="34" t="s">
        <v>164</v>
      </c>
      <c r="LS24" s="34" t="s">
        <v>164</v>
      </c>
      <c r="LT24" s="34">
        <v>1</v>
      </c>
      <c r="LU24" s="34">
        <v>1</v>
      </c>
      <c r="LV24" s="34" t="s">
        <v>164</v>
      </c>
      <c r="LW24" s="34">
        <v>1</v>
      </c>
      <c r="LX24" s="34">
        <v>1</v>
      </c>
      <c r="LY24" s="34" t="s">
        <v>164</v>
      </c>
      <c r="LZ24" s="34" t="s">
        <v>164</v>
      </c>
      <c r="MA24" s="34" t="s">
        <v>164</v>
      </c>
      <c r="MB24" s="34">
        <v>1</v>
      </c>
      <c r="MC24" s="34">
        <v>1</v>
      </c>
      <c r="MD24" s="22" t="s">
        <v>164</v>
      </c>
      <c r="ME24" s="34">
        <v>1</v>
      </c>
      <c r="MF24" s="34">
        <v>1</v>
      </c>
      <c r="MG24" s="22" t="s">
        <v>164</v>
      </c>
      <c r="MH24" s="22" t="s">
        <v>164</v>
      </c>
      <c r="MI24" s="22" t="s">
        <v>164</v>
      </c>
      <c r="MJ24" s="34">
        <v>1</v>
      </c>
      <c r="MK24" s="34">
        <v>1</v>
      </c>
      <c r="ML24" s="22" t="s">
        <v>164</v>
      </c>
      <c r="MM24" s="22"/>
      <c r="MN24" s="22"/>
    </row>
    <row r="25" spans="1:352" s="1" customFormat="1" ht="23.25" customHeight="1" x14ac:dyDescent="0.25">
      <c r="A25" s="34" t="s">
        <v>2</v>
      </c>
      <c r="B25" s="34" t="s">
        <v>33</v>
      </c>
      <c r="C25" s="34">
        <v>0</v>
      </c>
      <c r="D25" s="34">
        <v>0</v>
      </c>
      <c r="E25" s="34" t="s">
        <v>83</v>
      </c>
      <c r="F25" s="34" t="s">
        <v>83</v>
      </c>
      <c r="G25" s="34" t="s">
        <v>83</v>
      </c>
      <c r="H25" s="34">
        <v>0</v>
      </c>
      <c r="I25" s="34">
        <v>0</v>
      </c>
      <c r="J25" s="34">
        <v>0</v>
      </c>
      <c r="K25" s="34">
        <v>0</v>
      </c>
      <c r="L25" s="34">
        <v>0</v>
      </c>
      <c r="M25" s="34">
        <v>0</v>
      </c>
      <c r="N25" s="34">
        <v>0</v>
      </c>
      <c r="O25" s="34">
        <v>0</v>
      </c>
      <c r="P25" s="34">
        <v>0</v>
      </c>
      <c r="Q25" s="34">
        <v>0</v>
      </c>
      <c r="R25" s="34">
        <v>0</v>
      </c>
      <c r="S25" s="34">
        <v>0</v>
      </c>
      <c r="T25" s="34">
        <v>0</v>
      </c>
      <c r="U25" s="34">
        <v>0</v>
      </c>
      <c r="V25" s="34">
        <v>0</v>
      </c>
      <c r="W25" s="34">
        <v>0</v>
      </c>
      <c r="X25" s="34">
        <v>0</v>
      </c>
      <c r="Y25" s="34">
        <v>0</v>
      </c>
      <c r="Z25" s="34">
        <v>0</v>
      </c>
      <c r="AA25" s="34">
        <v>0</v>
      </c>
      <c r="AB25" s="34">
        <v>0</v>
      </c>
      <c r="AC25" s="34">
        <v>0</v>
      </c>
      <c r="AD25" s="34">
        <v>0</v>
      </c>
      <c r="AE25" s="34">
        <v>0</v>
      </c>
      <c r="AF25" s="34">
        <v>0</v>
      </c>
      <c r="AG25" s="34">
        <v>0</v>
      </c>
      <c r="AH25" s="34">
        <v>0</v>
      </c>
      <c r="AI25" s="34">
        <v>0</v>
      </c>
      <c r="AJ25" s="34">
        <v>0</v>
      </c>
      <c r="AK25" s="34">
        <v>0</v>
      </c>
      <c r="AL25" s="34">
        <v>0</v>
      </c>
      <c r="AM25" s="34">
        <v>0</v>
      </c>
      <c r="AN25" s="34">
        <v>0</v>
      </c>
      <c r="AO25" s="34">
        <v>0</v>
      </c>
      <c r="AP25" s="34">
        <v>0</v>
      </c>
      <c r="AQ25" s="34">
        <v>0</v>
      </c>
      <c r="AR25" s="34">
        <v>0</v>
      </c>
      <c r="AS25" s="34">
        <v>0</v>
      </c>
      <c r="AT25" s="34">
        <v>0</v>
      </c>
      <c r="AU25" s="34">
        <v>0</v>
      </c>
      <c r="AV25" s="34">
        <v>1</v>
      </c>
      <c r="AW25" s="34">
        <v>1</v>
      </c>
      <c r="AX25" s="34">
        <v>1</v>
      </c>
      <c r="AY25" s="34">
        <v>0</v>
      </c>
      <c r="AZ25" s="34">
        <v>0</v>
      </c>
      <c r="BA25" s="34">
        <v>0</v>
      </c>
      <c r="BB25" s="34">
        <v>0</v>
      </c>
      <c r="BC25" s="34">
        <v>0</v>
      </c>
      <c r="BD25" s="34">
        <v>0</v>
      </c>
      <c r="BE25" s="34">
        <v>0</v>
      </c>
      <c r="BF25" s="34">
        <v>0</v>
      </c>
      <c r="BG25" s="34">
        <v>0</v>
      </c>
      <c r="BH25" s="34">
        <v>0</v>
      </c>
      <c r="BI25" s="34">
        <v>0</v>
      </c>
      <c r="BJ25" s="34">
        <v>0</v>
      </c>
      <c r="BK25" s="34">
        <v>0</v>
      </c>
      <c r="BL25" s="34">
        <v>0</v>
      </c>
      <c r="BM25" s="34">
        <v>0</v>
      </c>
      <c r="BN25" s="34">
        <v>0</v>
      </c>
      <c r="BO25" s="34">
        <v>0</v>
      </c>
      <c r="BP25" s="34">
        <v>0</v>
      </c>
      <c r="BQ25" s="17" t="s">
        <v>83</v>
      </c>
      <c r="BR25" s="17" t="s">
        <v>83</v>
      </c>
      <c r="BS25" s="17" t="s">
        <v>83</v>
      </c>
      <c r="BT25" s="17">
        <v>0</v>
      </c>
      <c r="BU25" s="17">
        <v>0</v>
      </c>
      <c r="BV25" s="34">
        <v>0</v>
      </c>
      <c r="BW25" s="34">
        <v>0</v>
      </c>
      <c r="BX25" s="34">
        <v>0</v>
      </c>
      <c r="BY25" s="34">
        <v>0</v>
      </c>
      <c r="BZ25" s="34">
        <v>0</v>
      </c>
      <c r="CA25" s="34">
        <v>0</v>
      </c>
      <c r="CB25" s="34">
        <v>0</v>
      </c>
      <c r="CC25" s="34">
        <v>0</v>
      </c>
      <c r="CD25" s="34">
        <v>0</v>
      </c>
      <c r="CE25" s="34">
        <v>0</v>
      </c>
      <c r="CF25" s="57" t="s">
        <v>83</v>
      </c>
      <c r="CG25" s="57" t="s">
        <v>83</v>
      </c>
      <c r="CH25" s="57" t="s">
        <v>83</v>
      </c>
      <c r="CI25" s="56">
        <v>0</v>
      </c>
      <c r="CJ25" s="56">
        <v>0</v>
      </c>
      <c r="CK25" s="56">
        <v>0</v>
      </c>
      <c r="CL25" s="56">
        <v>1</v>
      </c>
      <c r="CM25" s="56">
        <v>0</v>
      </c>
      <c r="CN25" s="57" t="s">
        <v>83</v>
      </c>
      <c r="CO25" s="57" t="s">
        <v>83</v>
      </c>
      <c r="CP25" s="57" t="s">
        <v>83</v>
      </c>
      <c r="CQ25" s="56">
        <v>0</v>
      </c>
      <c r="CR25" s="56">
        <v>0</v>
      </c>
      <c r="CS25" s="56">
        <v>0</v>
      </c>
      <c r="CT25" s="56">
        <v>0</v>
      </c>
      <c r="CU25" s="56">
        <v>1</v>
      </c>
      <c r="CV25" s="57" t="s">
        <v>83</v>
      </c>
      <c r="CW25" s="57" t="s">
        <v>83</v>
      </c>
      <c r="CX25" s="57" t="s">
        <v>83</v>
      </c>
      <c r="CY25" s="56">
        <v>0</v>
      </c>
      <c r="CZ25" s="56">
        <v>0</v>
      </c>
      <c r="DA25" s="56">
        <v>0</v>
      </c>
      <c r="DB25" s="56">
        <v>0</v>
      </c>
      <c r="DC25" s="56">
        <v>1</v>
      </c>
      <c r="DD25" s="57" t="s">
        <v>83</v>
      </c>
      <c r="DE25" s="57" t="s">
        <v>83</v>
      </c>
      <c r="DF25" s="57" t="s">
        <v>83</v>
      </c>
      <c r="DG25" s="56">
        <v>0</v>
      </c>
      <c r="DH25" s="56">
        <v>0</v>
      </c>
      <c r="DI25" s="56">
        <v>0</v>
      </c>
      <c r="DJ25" s="56">
        <v>0</v>
      </c>
      <c r="DK25" s="56">
        <v>1</v>
      </c>
      <c r="DL25" s="57" t="s">
        <v>83</v>
      </c>
      <c r="DM25" s="57" t="s">
        <v>83</v>
      </c>
      <c r="DN25" s="57" t="s">
        <v>83</v>
      </c>
      <c r="DO25" s="56">
        <v>0</v>
      </c>
      <c r="DP25" s="56">
        <v>0</v>
      </c>
      <c r="DQ25" s="56">
        <v>0</v>
      </c>
      <c r="DR25" s="56">
        <v>0</v>
      </c>
      <c r="DS25" s="56">
        <v>1</v>
      </c>
      <c r="DT25" s="57" t="s">
        <v>83</v>
      </c>
      <c r="DU25" s="57" t="s">
        <v>83</v>
      </c>
      <c r="DV25" s="57" t="s">
        <v>83</v>
      </c>
      <c r="DW25" s="56">
        <v>0</v>
      </c>
      <c r="DX25" s="56">
        <v>0</v>
      </c>
      <c r="DY25" s="56">
        <v>0</v>
      </c>
      <c r="DZ25" s="56">
        <v>0</v>
      </c>
      <c r="EA25" s="56">
        <v>1</v>
      </c>
      <c r="EB25" s="57" t="s">
        <v>83</v>
      </c>
      <c r="EC25" s="57" t="s">
        <v>83</v>
      </c>
      <c r="ED25" s="57" t="s">
        <v>83</v>
      </c>
      <c r="EE25" s="56">
        <v>0</v>
      </c>
      <c r="EF25" s="56">
        <v>0</v>
      </c>
      <c r="EG25" s="56">
        <v>0</v>
      </c>
      <c r="EH25" s="56">
        <v>0</v>
      </c>
      <c r="EI25" s="56">
        <v>1</v>
      </c>
      <c r="EJ25" s="57" t="s">
        <v>83</v>
      </c>
      <c r="EK25" s="57" t="s">
        <v>83</v>
      </c>
      <c r="EL25" s="57" t="s">
        <v>83</v>
      </c>
      <c r="EM25" s="56">
        <v>0</v>
      </c>
      <c r="EN25" s="56">
        <v>0</v>
      </c>
      <c r="EO25" s="56">
        <v>0</v>
      </c>
      <c r="EP25" s="56">
        <v>0</v>
      </c>
      <c r="EQ25" s="56">
        <v>1</v>
      </c>
      <c r="ER25" s="57" t="s">
        <v>83</v>
      </c>
      <c r="ES25" s="57" t="s">
        <v>83</v>
      </c>
      <c r="ET25" s="57" t="s">
        <v>83</v>
      </c>
      <c r="EU25" s="56">
        <v>0</v>
      </c>
      <c r="EV25" s="56">
        <v>0</v>
      </c>
      <c r="EW25" s="56">
        <v>0</v>
      </c>
      <c r="EX25" s="56">
        <v>0</v>
      </c>
      <c r="EY25" s="56">
        <v>1</v>
      </c>
      <c r="EZ25" s="57" t="s">
        <v>83</v>
      </c>
      <c r="FA25" s="57" t="s">
        <v>83</v>
      </c>
      <c r="FB25" s="57" t="s">
        <v>83</v>
      </c>
      <c r="FC25" s="56">
        <v>0</v>
      </c>
      <c r="FD25" s="56">
        <v>0</v>
      </c>
      <c r="FE25" s="56">
        <v>0</v>
      </c>
      <c r="FF25" s="56">
        <v>0</v>
      </c>
      <c r="FG25" s="56">
        <v>1</v>
      </c>
      <c r="FH25" s="57" t="s">
        <v>83</v>
      </c>
      <c r="FI25" s="57" t="s">
        <v>83</v>
      </c>
      <c r="FJ25" s="57" t="s">
        <v>83</v>
      </c>
      <c r="FK25" s="56">
        <v>0</v>
      </c>
      <c r="FL25" s="56">
        <v>0</v>
      </c>
      <c r="FM25" s="56">
        <v>0</v>
      </c>
      <c r="FN25" s="56">
        <v>0</v>
      </c>
      <c r="FO25" s="56">
        <v>1</v>
      </c>
      <c r="FP25" s="34">
        <v>0</v>
      </c>
      <c r="FQ25" s="34">
        <v>0</v>
      </c>
      <c r="FR25" s="22" t="s">
        <v>164</v>
      </c>
      <c r="FS25" s="34">
        <v>0</v>
      </c>
      <c r="FT25" s="34">
        <v>0</v>
      </c>
      <c r="FU25" s="22" t="s">
        <v>164</v>
      </c>
      <c r="FV25" s="22" t="s">
        <v>164</v>
      </c>
      <c r="FW25" s="22" t="s">
        <v>164</v>
      </c>
      <c r="FX25" s="16">
        <v>0</v>
      </c>
      <c r="FY25" s="16">
        <v>0</v>
      </c>
      <c r="FZ25" s="16">
        <v>0</v>
      </c>
      <c r="GA25" s="22" t="s">
        <v>164</v>
      </c>
      <c r="GB25" s="22" t="s">
        <v>164</v>
      </c>
      <c r="GC25" s="22" t="s">
        <v>164</v>
      </c>
      <c r="GD25" s="16">
        <v>0</v>
      </c>
      <c r="GE25" s="16">
        <v>0</v>
      </c>
      <c r="GF25" s="16">
        <v>0</v>
      </c>
      <c r="GG25" s="22" t="s">
        <v>164</v>
      </c>
      <c r="GH25" s="22" t="s">
        <v>164</v>
      </c>
      <c r="GI25" s="22" t="s">
        <v>164</v>
      </c>
      <c r="GJ25" s="16">
        <v>0</v>
      </c>
      <c r="GK25" s="16">
        <v>0</v>
      </c>
      <c r="GL25" s="16">
        <v>0</v>
      </c>
      <c r="GM25" s="22" t="s">
        <v>164</v>
      </c>
      <c r="GN25" s="22" t="s">
        <v>164</v>
      </c>
      <c r="GO25" s="22" t="s">
        <v>164</v>
      </c>
      <c r="GP25" s="16">
        <v>0</v>
      </c>
      <c r="GQ25" s="16">
        <v>0</v>
      </c>
      <c r="GR25" s="16">
        <v>0</v>
      </c>
      <c r="GS25" s="22" t="s">
        <v>164</v>
      </c>
      <c r="GT25" s="22" t="s">
        <v>164</v>
      </c>
      <c r="GU25" s="22" t="s">
        <v>164</v>
      </c>
      <c r="GV25" s="16">
        <v>0</v>
      </c>
      <c r="GW25" s="16">
        <v>0</v>
      </c>
      <c r="GX25" s="16">
        <v>0</v>
      </c>
      <c r="GY25" s="22" t="s">
        <v>164</v>
      </c>
      <c r="GZ25" s="22" t="s">
        <v>164</v>
      </c>
      <c r="HA25" s="22" t="s">
        <v>164</v>
      </c>
      <c r="HB25" s="16">
        <v>0</v>
      </c>
      <c r="HC25" s="16">
        <v>0</v>
      </c>
      <c r="HD25" s="16">
        <v>0</v>
      </c>
      <c r="HE25" s="22" t="s">
        <v>164</v>
      </c>
      <c r="HF25" s="22" t="s">
        <v>164</v>
      </c>
      <c r="HG25" s="22" t="s">
        <v>164</v>
      </c>
      <c r="HH25" s="16">
        <v>0</v>
      </c>
      <c r="HI25" s="16">
        <v>0</v>
      </c>
      <c r="HJ25" s="16">
        <v>0</v>
      </c>
      <c r="HK25" s="22" t="s">
        <v>164</v>
      </c>
      <c r="HL25" s="22" t="s">
        <v>164</v>
      </c>
      <c r="HM25" s="22" t="s">
        <v>164</v>
      </c>
      <c r="HN25" s="16">
        <v>0</v>
      </c>
      <c r="HO25" s="16">
        <v>0</v>
      </c>
      <c r="HP25" s="16">
        <v>0</v>
      </c>
      <c r="HQ25" s="22" t="s">
        <v>164</v>
      </c>
      <c r="HR25" s="22" t="s">
        <v>164</v>
      </c>
      <c r="HS25" s="22" t="s">
        <v>164</v>
      </c>
      <c r="HT25" s="16">
        <v>0</v>
      </c>
      <c r="HU25" s="16">
        <v>0</v>
      </c>
      <c r="HV25" s="16">
        <v>0</v>
      </c>
      <c r="HW25" s="22" t="s">
        <v>164</v>
      </c>
      <c r="HX25" s="22" t="s">
        <v>164</v>
      </c>
      <c r="HY25" s="22" t="s">
        <v>164</v>
      </c>
      <c r="HZ25" s="16">
        <v>0</v>
      </c>
      <c r="IA25" s="16">
        <v>0</v>
      </c>
      <c r="IB25" s="16">
        <v>0</v>
      </c>
      <c r="IC25" s="22" t="s">
        <v>164</v>
      </c>
      <c r="ID25" s="22" t="s">
        <v>164</v>
      </c>
      <c r="IE25" s="22" t="s">
        <v>164</v>
      </c>
      <c r="IF25" s="16">
        <v>0</v>
      </c>
      <c r="IG25" s="16">
        <v>0</v>
      </c>
      <c r="IH25" s="16">
        <v>0</v>
      </c>
      <c r="II25" s="34">
        <v>0</v>
      </c>
      <c r="IJ25" s="34">
        <v>0</v>
      </c>
      <c r="IK25" s="16" t="s">
        <v>83</v>
      </c>
      <c r="IL25" s="34">
        <v>0</v>
      </c>
      <c r="IM25" s="16" t="s">
        <v>83</v>
      </c>
      <c r="IN25" s="34">
        <v>0</v>
      </c>
      <c r="IO25" s="34">
        <v>0</v>
      </c>
      <c r="IP25" s="34">
        <v>0</v>
      </c>
      <c r="IQ25" s="34" t="s">
        <v>164</v>
      </c>
      <c r="IR25" s="34" t="s">
        <v>164</v>
      </c>
      <c r="IS25" s="34" t="s">
        <v>164</v>
      </c>
      <c r="IT25" s="34">
        <v>0</v>
      </c>
      <c r="IU25" s="34">
        <v>0</v>
      </c>
      <c r="IV25" s="34">
        <v>0</v>
      </c>
      <c r="IW25" s="34">
        <v>0</v>
      </c>
      <c r="IX25" s="34">
        <v>0</v>
      </c>
      <c r="IY25" s="34">
        <v>0</v>
      </c>
      <c r="IZ25" s="34">
        <v>0</v>
      </c>
      <c r="JA25" s="34">
        <v>0</v>
      </c>
      <c r="JB25" s="34">
        <v>0</v>
      </c>
      <c r="JC25" s="34">
        <v>0</v>
      </c>
      <c r="JD25" s="34" t="s">
        <v>83</v>
      </c>
      <c r="JE25" s="34" t="s">
        <v>164</v>
      </c>
      <c r="JF25" s="34" t="s">
        <v>164</v>
      </c>
      <c r="JG25" s="34" t="s">
        <v>164</v>
      </c>
      <c r="JH25" s="34">
        <v>0</v>
      </c>
      <c r="JI25" s="34">
        <v>0</v>
      </c>
      <c r="JJ25" s="34" t="s">
        <v>164</v>
      </c>
      <c r="JK25" s="34">
        <v>0</v>
      </c>
      <c r="JL25" s="34">
        <v>0</v>
      </c>
      <c r="JM25" s="34" t="s">
        <v>164</v>
      </c>
      <c r="JN25" s="34" t="s">
        <v>164</v>
      </c>
      <c r="JO25" s="34" t="s">
        <v>164</v>
      </c>
      <c r="JP25" s="34">
        <v>0</v>
      </c>
      <c r="JQ25" s="34">
        <v>0</v>
      </c>
      <c r="JR25" s="34" t="s">
        <v>164</v>
      </c>
      <c r="JS25" s="34">
        <v>0</v>
      </c>
      <c r="JT25" s="34">
        <v>0</v>
      </c>
      <c r="JU25" s="34" t="s">
        <v>164</v>
      </c>
      <c r="JV25" s="34" t="s">
        <v>164</v>
      </c>
      <c r="JW25" s="34" t="s">
        <v>164</v>
      </c>
      <c r="JX25" s="34">
        <v>0</v>
      </c>
      <c r="JY25" s="34">
        <v>0</v>
      </c>
      <c r="JZ25" s="34" t="s">
        <v>164</v>
      </c>
      <c r="KA25" s="34">
        <v>0</v>
      </c>
      <c r="KB25" s="34">
        <v>0</v>
      </c>
      <c r="KC25" s="34" t="s">
        <v>164</v>
      </c>
      <c r="KD25" s="34" t="s">
        <v>164</v>
      </c>
      <c r="KE25" s="34" t="s">
        <v>164</v>
      </c>
      <c r="KF25" s="34">
        <v>0</v>
      </c>
      <c r="KG25" s="34">
        <v>0</v>
      </c>
      <c r="KH25" s="34" t="s">
        <v>164</v>
      </c>
      <c r="KI25" s="34">
        <v>0</v>
      </c>
      <c r="KJ25" s="34">
        <v>0</v>
      </c>
      <c r="KK25" s="34" t="s">
        <v>164</v>
      </c>
      <c r="KL25" s="34" t="s">
        <v>164</v>
      </c>
      <c r="KM25" s="34" t="s">
        <v>164</v>
      </c>
      <c r="KN25" s="34">
        <v>0</v>
      </c>
      <c r="KO25" s="34">
        <v>0</v>
      </c>
      <c r="KP25" s="34" t="s">
        <v>164</v>
      </c>
      <c r="KQ25" s="34">
        <v>0</v>
      </c>
      <c r="KR25" s="34">
        <v>0</v>
      </c>
      <c r="KS25" s="34" t="s">
        <v>164</v>
      </c>
      <c r="KT25" s="34" t="s">
        <v>164</v>
      </c>
      <c r="KU25" s="34" t="s">
        <v>164</v>
      </c>
      <c r="KV25" s="34">
        <v>0</v>
      </c>
      <c r="KW25" s="34">
        <v>0</v>
      </c>
      <c r="KX25" s="34" t="s">
        <v>164</v>
      </c>
      <c r="KY25" s="34">
        <v>0</v>
      </c>
      <c r="KZ25" s="34">
        <v>0</v>
      </c>
      <c r="LA25" s="34" t="s">
        <v>164</v>
      </c>
      <c r="LB25" s="34" t="s">
        <v>164</v>
      </c>
      <c r="LC25" s="34" t="s">
        <v>164</v>
      </c>
      <c r="LD25" s="34">
        <v>0</v>
      </c>
      <c r="LE25" s="34">
        <v>0</v>
      </c>
      <c r="LF25" s="34" t="s">
        <v>164</v>
      </c>
      <c r="LG25" s="34">
        <v>0</v>
      </c>
      <c r="LH25" s="34">
        <v>0</v>
      </c>
      <c r="LI25" s="34" t="s">
        <v>164</v>
      </c>
      <c r="LJ25" s="34" t="s">
        <v>164</v>
      </c>
      <c r="LK25" s="34" t="s">
        <v>164</v>
      </c>
      <c r="LL25" s="34">
        <v>0</v>
      </c>
      <c r="LM25" s="34">
        <v>0</v>
      </c>
      <c r="LN25" s="34" t="s">
        <v>164</v>
      </c>
      <c r="LO25" s="34">
        <v>0</v>
      </c>
      <c r="LP25" s="34">
        <v>0</v>
      </c>
      <c r="LQ25" s="34" t="s">
        <v>164</v>
      </c>
      <c r="LR25" s="34" t="s">
        <v>164</v>
      </c>
      <c r="LS25" s="34" t="s">
        <v>164</v>
      </c>
      <c r="LT25" s="34">
        <v>0</v>
      </c>
      <c r="LU25" s="34">
        <v>0</v>
      </c>
      <c r="LV25" s="34" t="s">
        <v>164</v>
      </c>
      <c r="LW25" s="34">
        <v>0</v>
      </c>
      <c r="LX25" s="34">
        <v>0</v>
      </c>
      <c r="LY25" s="34" t="s">
        <v>164</v>
      </c>
      <c r="LZ25" s="34" t="s">
        <v>164</v>
      </c>
      <c r="MA25" s="34" t="s">
        <v>164</v>
      </c>
      <c r="MB25" s="34">
        <v>0</v>
      </c>
      <c r="MC25" s="34">
        <v>0</v>
      </c>
      <c r="MD25" s="22" t="s">
        <v>164</v>
      </c>
      <c r="ME25" s="34">
        <v>0</v>
      </c>
      <c r="MF25" s="34">
        <v>0</v>
      </c>
      <c r="MG25" s="22" t="s">
        <v>164</v>
      </c>
      <c r="MH25" s="22" t="s">
        <v>164</v>
      </c>
      <c r="MI25" s="22" t="s">
        <v>164</v>
      </c>
      <c r="MJ25" s="34">
        <v>0</v>
      </c>
      <c r="MK25" s="34">
        <v>0</v>
      </c>
      <c r="ML25" s="22" t="s">
        <v>164</v>
      </c>
      <c r="MM25" s="22"/>
      <c r="MN25" s="22"/>
    </row>
    <row r="26" spans="1:352" s="1" customFormat="1" ht="23.25" customHeight="1" x14ac:dyDescent="0.25">
      <c r="A26" s="34" t="s">
        <v>2</v>
      </c>
      <c r="B26" s="34" t="s">
        <v>34</v>
      </c>
      <c r="C26" s="34">
        <v>0</v>
      </c>
      <c r="D26" s="34">
        <v>0</v>
      </c>
      <c r="E26" s="34" t="s">
        <v>83</v>
      </c>
      <c r="F26" s="34" t="s">
        <v>83</v>
      </c>
      <c r="G26" s="34" t="s">
        <v>83</v>
      </c>
      <c r="H26" s="34">
        <v>0</v>
      </c>
      <c r="I26" s="34">
        <v>0</v>
      </c>
      <c r="J26" s="34">
        <v>0</v>
      </c>
      <c r="K26" s="34">
        <v>0</v>
      </c>
      <c r="L26" s="34">
        <v>0</v>
      </c>
      <c r="M26" s="34">
        <v>0</v>
      </c>
      <c r="N26" s="34">
        <v>0</v>
      </c>
      <c r="O26" s="34">
        <v>0</v>
      </c>
      <c r="P26" s="34">
        <v>0</v>
      </c>
      <c r="Q26" s="34">
        <v>0</v>
      </c>
      <c r="R26" s="34">
        <v>0</v>
      </c>
      <c r="S26" s="34">
        <v>0</v>
      </c>
      <c r="T26" s="34">
        <v>0</v>
      </c>
      <c r="U26" s="34">
        <v>0</v>
      </c>
      <c r="V26" s="34">
        <v>0</v>
      </c>
      <c r="W26" s="34">
        <v>0</v>
      </c>
      <c r="X26" s="34">
        <v>0</v>
      </c>
      <c r="Y26" s="34">
        <v>0</v>
      </c>
      <c r="Z26" s="34">
        <v>0</v>
      </c>
      <c r="AA26" s="34">
        <v>0</v>
      </c>
      <c r="AB26" s="34">
        <v>0</v>
      </c>
      <c r="AC26" s="34">
        <v>0</v>
      </c>
      <c r="AD26" s="34">
        <v>0</v>
      </c>
      <c r="AE26" s="34">
        <v>0</v>
      </c>
      <c r="AF26" s="34">
        <v>0</v>
      </c>
      <c r="AG26" s="34">
        <v>0</v>
      </c>
      <c r="AH26" s="34">
        <v>0</v>
      </c>
      <c r="AI26" s="34">
        <v>0</v>
      </c>
      <c r="AJ26" s="34">
        <v>0</v>
      </c>
      <c r="AK26" s="34">
        <v>0</v>
      </c>
      <c r="AL26" s="34">
        <v>0</v>
      </c>
      <c r="AM26" s="34">
        <v>0</v>
      </c>
      <c r="AN26" s="34">
        <v>0</v>
      </c>
      <c r="AO26" s="34">
        <v>0</v>
      </c>
      <c r="AP26" s="34">
        <v>0</v>
      </c>
      <c r="AQ26" s="34">
        <v>0</v>
      </c>
      <c r="AR26" s="34">
        <v>0</v>
      </c>
      <c r="AS26" s="34">
        <v>0</v>
      </c>
      <c r="AT26" s="34">
        <v>0</v>
      </c>
      <c r="AU26" s="34">
        <v>0</v>
      </c>
      <c r="AV26" s="34">
        <v>0</v>
      </c>
      <c r="AW26" s="34">
        <v>0</v>
      </c>
      <c r="AX26" s="34">
        <v>0</v>
      </c>
      <c r="AY26" s="34">
        <v>0</v>
      </c>
      <c r="AZ26" s="34">
        <v>0</v>
      </c>
      <c r="BA26" s="34">
        <v>0</v>
      </c>
      <c r="BB26" s="34">
        <v>0</v>
      </c>
      <c r="BC26" s="34">
        <v>0</v>
      </c>
      <c r="BD26" s="34">
        <v>0</v>
      </c>
      <c r="BE26" s="34">
        <v>0</v>
      </c>
      <c r="BF26" s="34">
        <v>0</v>
      </c>
      <c r="BG26" s="34">
        <v>0</v>
      </c>
      <c r="BH26" s="34">
        <v>1</v>
      </c>
      <c r="BI26" s="34">
        <v>1</v>
      </c>
      <c r="BJ26" s="34">
        <v>1</v>
      </c>
      <c r="BK26" s="34">
        <v>0</v>
      </c>
      <c r="BL26" s="34">
        <v>0</v>
      </c>
      <c r="BM26" s="34">
        <v>0</v>
      </c>
      <c r="BN26" s="34">
        <v>0</v>
      </c>
      <c r="BO26" s="34">
        <v>0</v>
      </c>
      <c r="BP26" s="34">
        <v>0</v>
      </c>
      <c r="BQ26" s="17" t="s">
        <v>83</v>
      </c>
      <c r="BR26" s="17" t="s">
        <v>83</v>
      </c>
      <c r="BS26" s="17" t="s">
        <v>83</v>
      </c>
      <c r="BT26" s="17">
        <v>0</v>
      </c>
      <c r="BU26" s="17">
        <v>0</v>
      </c>
      <c r="BV26" s="34">
        <v>0</v>
      </c>
      <c r="BW26" s="34">
        <v>0</v>
      </c>
      <c r="BX26" s="34">
        <v>0</v>
      </c>
      <c r="BY26" s="34">
        <v>0</v>
      </c>
      <c r="BZ26" s="34">
        <v>0</v>
      </c>
      <c r="CA26" s="34">
        <v>0</v>
      </c>
      <c r="CB26" s="34">
        <v>0</v>
      </c>
      <c r="CC26" s="34">
        <v>0</v>
      </c>
      <c r="CD26" s="34">
        <v>0</v>
      </c>
      <c r="CE26" s="34">
        <v>0</v>
      </c>
      <c r="CF26" s="57" t="s">
        <v>83</v>
      </c>
      <c r="CG26" s="57" t="s">
        <v>83</v>
      </c>
      <c r="CH26" s="57" t="s">
        <v>83</v>
      </c>
      <c r="CI26" s="56">
        <v>1</v>
      </c>
      <c r="CJ26" s="56">
        <v>0</v>
      </c>
      <c r="CK26" s="56">
        <v>1</v>
      </c>
      <c r="CL26" s="56">
        <v>0</v>
      </c>
      <c r="CM26" s="56">
        <v>0</v>
      </c>
      <c r="CN26" s="57" t="s">
        <v>83</v>
      </c>
      <c r="CO26" s="57" t="s">
        <v>83</v>
      </c>
      <c r="CP26" s="57" t="s">
        <v>83</v>
      </c>
      <c r="CQ26" s="56">
        <v>0</v>
      </c>
      <c r="CR26" s="56">
        <v>0</v>
      </c>
      <c r="CS26" s="56">
        <v>0</v>
      </c>
      <c r="CT26" s="56">
        <v>1</v>
      </c>
      <c r="CU26" s="56">
        <v>0</v>
      </c>
      <c r="CV26" s="57" t="s">
        <v>83</v>
      </c>
      <c r="CW26" s="57" t="s">
        <v>83</v>
      </c>
      <c r="CX26" s="57" t="s">
        <v>83</v>
      </c>
      <c r="CY26" s="56">
        <v>0</v>
      </c>
      <c r="CZ26" s="56">
        <v>0</v>
      </c>
      <c r="DA26" s="56">
        <v>0</v>
      </c>
      <c r="DB26" s="56">
        <v>1</v>
      </c>
      <c r="DC26" s="56">
        <v>0</v>
      </c>
      <c r="DD26" s="57" t="s">
        <v>83</v>
      </c>
      <c r="DE26" s="57" t="s">
        <v>83</v>
      </c>
      <c r="DF26" s="57" t="s">
        <v>83</v>
      </c>
      <c r="DG26" s="56">
        <v>0</v>
      </c>
      <c r="DH26" s="56">
        <v>0</v>
      </c>
      <c r="DI26" s="56">
        <v>0</v>
      </c>
      <c r="DJ26" s="56">
        <v>1</v>
      </c>
      <c r="DK26" s="56">
        <v>0</v>
      </c>
      <c r="DL26" s="57" t="s">
        <v>83</v>
      </c>
      <c r="DM26" s="57" t="s">
        <v>83</v>
      </c>
      <c r="DN26" s="57" t="s">
        <v>83</v>
      </c>
      <c r="DO26" s="56">
        <v>0</v>
      </c>
      <c r="DP26" s="56">
        <v>0</v>
      </c>
      <c r="DQ26" s="56">
        <v>0</v>
      </c>
      <c r="DR26" s="56">
        <v>1</v>
      </c>
      <c r="DS26" s="56">
        <v>0</v>
      </c>
      <c r="DT26" s="57" t="s">
        <v>83</v>
      </c>
      <c r="DU26" s="57" t="s">
        <v>83</v>
      </c>
      <c r="DV26" s="57" t="s">
        <v>83</v>
      </c>
      <c r="DW26" s="56">
        <v>0</v>
      </c>
      <c r="DX26" s="56">
        <v>0</v>
      </c>
      <c r="DY26" s="56">
        <v>0</v>
      </c>
      <c r="DZ26" s="56">
        <v>1</v>
      </c>
      <c r="EA26" s="56">
        <v>0</v>
      </c>
      <c r="EB26" s="57" t="s">
        <v>83</v>
      </c>
      <c r="EC26" s="57" t="s">
        <v>83</v>
      </c>
      <c r="ED26" s="57" t="s">
        <v>83</v>
      </c>
      <c r="EE26" s="56">
        <v>0</v>
      </c>
      <c r="EF26" s="56">
        <v>0</v>
      </c>
      <c r="EG26" s="56">
        <v>0</v>
      </c>
      <c r="EH26" s="56">
        <v>1</v>
      </c>
      <c r="EI26" s="56">
        <v>0</v>
      </c>
      <c r="EJ26" s="57" t="s">
        <v>83</v>
      </c>
      <c r="EK26" s="57" t="s">
        <v>83</v>
      </c>
      <c r="EL26" s="57" t="s">
        <v>83</v>
      </c>
      <c r="EM26" s="56">
        <v>0</v>
      </c>
      <c r="EN26" s="56">
        <v>0</v>
      </c>
      <c r="EO26" s="56">
        <v>0</v>
      </c>
      <c r="EP26" s="56">
        <v>1</v>
      </c>
      <c r="EQ26" s="56">
        <v>0</v>
      </c>
      <c r="ER26" s="57" t="s">
        <v>83</v>
      </c>
      <c r="ES26" s="57" t="s">
        <v>83</v>
      </c>
      <c r="ET26" s="57" t="s">
        <v>83</v>
      </c>
      <c r="EU26" s="56">
        <v>0</v>
      </c>
      <c r="EV26" s="56">
        <v>0</v>
      </c>
      <c r="EW26" s="56">
        <v>0</v>
      </c>
      <c r="EX26" s="56">
        <v>1</v>
      </c>
      <c r="EY26" s="56">
        <v>0</v>
      </c>
      <c r="EZ26" s="57" t="s">
        <v>83</v>
      </c>
      <c r="FA26" s="57" t="s">
        <v>83</v>
      </c>
      <c r="FB26" s="57" t="s">
        <v>83</v>
      </c>
      <c r="FC26" s="56">
        <v>0</v>
      </c>
      <c r="FD26" s="56">
        <v>0</v>
      </c>
      <c r="FE26" s="56">
        <v>0</v>
      </c>
      <c r="FF26" s="56">
        <v>1</v>
      </c>
      <c r="FG26" s="56">
        <v>0</v>
      </c>
      <c r="FH26" s="57" t="s">
        <v>83</v>
      </c>
      <c r="FI26" s="57" t="s">
        <v>83</v>
      </c>
      <c r="FJ26" s="57" t="s">
        <v>83</v>
      </c>
      <c r="FK26" s="56">
        <v>0</v>
      </c>
      <c r="FL26" s="56">
        <v>0</v>
      </c>
      <c r="FM26" s="56">
        <v>0</v>
      </c>
      <c r="FN26" s="56">
        <v>1</v>
      </c>
      <c r="FO26" s="56">
        <v>0</v>
      </c>
      <c r="FP26" s="34">
        <v>0</v>
      </c>
      <c r="FQ26" s="34">
        <v>0</v>
      </c>
      <c r="FR26" s="22" t="s">
        <v>164</v>
      </c>
      <c r="FS26" s="34">
        <v>0</v>
      </c>
      <c r="FT26" s="34">
        <v>0</v>
      </c>
      <c r="FU26" s="22" t="s">
        <v>164</v>
      </c>
      <c r="FV26" s="22" t="s">
        <v>164</v>
      </c>
      <c r="FW26" s="22" t="s">
        <v>164</v>
      </c>
      <c r="FX26" s="16">
        <v>0</v>
      </c>
      <c r="FY26" s="16">
        <v>0</v>
      </c>
      <c r="FZ26" s="16">
        <v>0</v>
      </c>
      <c r="GA26" s="22" t="s">
        <v>164</v>
      </c>
      <c r="GB26" s="22" t="s">
        <v>164</v>
      </c>
      <c r="GC26" s="22" t="s">
        <v>164</v>
      </c>
      <c r="GD26" s="16">
        <v>0</v>
      </c>
      <c r="GE26" s="16">
        <v>0</v>
      </c>
      <c r="GF26" s="16">
        <v>0</v>
      </c>
      <c r="GG26" s="22" t="s">
        <v>164</v>
      </c>
      <c r="GH26" s="22" t="s">
        <v>164</v>
      </c>
      <c r="GI26" s="22" t="s">
        <v>164</v>
      </c>
      <c r="GJ26" s="16">
        <v>0</v>
      </c>
      <c r="GK26" s="16">
        <v>0</v>
      </c>
      <c r="GL26" s="16">
        <v>0</v>
      </c>
      <c r="GM26" s="22" t="s">
        <v>164</v>
      </c>
      <c r="GN26" s="22" t="s">
        <v>164</v>
      </c>
      <c r="GO26" s="22" t="s">
        <v>164</v>
      </c>
      <c r="GP26" s="16">
        <v>0</v>
      </c>
      <c r="GQ26" s="16">
        <v>0</v>
      </c>
      <c r="GR26" s="16">
        <v>0</v>
      </c>
      <c r="GS26" s="22" t="s">
        <v>164</v>
      </c>
      <c r="GT26" s="22" t="s">
        <v>164</v>
      </c>
      <c r="GU26" s="22" t="s">
        <v>164</v>
      </c>
      <c r="GV26" s="16">
        <v>0</v>
      </c>
      <c r="GW26" s="16">
        <v>0</v>
      </c>
      <c r="GX26" s="16">
        <v>0</v>
      </c>
      <c r="GY26" s="22" t="s">
        <v>164</v>
      </c>
      <c r="GZ26" s="22" t="s">
        <v>164</v>
      </c>
      <c r="HA26" s="22" t="s">
        <v>164</v>
      </c>
      <c r="HB26" s="16">
        <v>0</v>
      </c>
      <c r="HC26" s="16">
        <v>0</v>
      </c>
      <c r="HD26" s="16">
        <v>0</v>
      </c>
      <c r="HE26" s="22" t="s">
        <v>164</v>
      </c>
      <c r="HF26" s="22" t="s">
        <v>164</v>
      </c>
      <c r="HG26" s="22" t="s">
        <v>164</v>
      </c>
      <c r="HH26" s="16">
        <v>0</v>
      </c>
      <c r="HI26" s="16">
        <v>0</v>
      </c>
      <c r="HJ26" s="16">
        <v>0</v>
      </c>
      <c r="HK26" s="22" t="s">
        <v>164</v>
      </c>
      <c r="HL26" s="22" t="s">
        <v>164</v>
      </c>
      <c r="HM26" s="22" t="s">
        <v>164</v>
      </c>
      <c r="HN26" s="16">
        <v>0</v>
      </c>
      <c r="HO26" s="16">
        <v>0</v>
      </c>
      <c r="HP26" s="16">
        <v>0</v>
      </c>
      <c r="HQ26" s="22" t="s">
        <v>164</v>
      </c>
      <c r="HR26" s="22" t="s">
        <v>164</v>
      </c>
      <c r="HS26" s="22" t="s">
        <v>164</v>
      </c>
      <c r="HT26" s="16">
        <v>0</v>
      </c>
      <c r="HU26" s="16">
        <v>0</v>
      </c>
      <c r="HV26" s="16">
        <v>0</v>
      </c>
      <c r="HW26" s="22" t="s">
        <v>164</v>
      </c>
      <c r="HX26" s="22" t="s">
        <v>164</v>
      </c>
      <c r="HY26" s="22" t="s">
        <v>164</v>
      </c>
      <c r="HZ26" s="16">
        <v>0</v>
      </c>
      <c r="IA26" s="16">
        <v>0</v>
      </c>
      <c r="IB26" s="16">
        <v>0</v>
      </c>
      <c r="IC26" s="22" t="s">
        <v>164</v>
      </c>
      <c r="ID26" s="22" t="s">
        <v>164</v>
      </c>
      <c r="IE26" s="22" t="s">
        <v>164</v>
      </c>
      <c r="IF26" s="16">
        <v>0</v>
      </c>
      <c r="IG26" s="16">
        <v>0</v>
      </c>
      <c r="IH26" s="16">
        <v>0</v>
      </c>
      <c r="II26" s="34">
        <v>0</v>
      </c>
      <c r="IJ26" s="34">
        <v>0</v>
      </c>
      <c r="IK26" s="16" t="s">
        <v>83</v>
      </c>
      <c r="IL26" s="34">
        <v>0</v>
      </c>
      <c r="IM26" s="16" t="s">
        <v>83</v>
      </c>
      <c r="IN26" s="34">
        <v>0</v>
      </c>
      <c r="IO26" s="34">
        <v>0</v>
      </c>
      <c r="IP26" s="34">
        <v>0</v>
      </c>
      <c r="IQ26" s="34" t="s">
        <v>164</v>
      </c>
      <c r="IR26" s="34" t="s">
        <v>164</v>
      </c>
      <c r="IS26" s="34" t="s">
        <v>164</v>
      </c>
      <c r="IT26" s="34">
        <v>0</v>
      </c>
      <c r="IU26" s="34">
        <v>0</v>
      </c>
      <c r="IV26" s="34">
        <v>0</v>
      </c>
      <c r="IW26" s="34">
        <v>0</v>
      </c>
      <c r="IX26" s="34">
        <v>0</v>
      </c>
      <c r="IY26" s="34">
        <v>0</v>
      </c>
      <c r="IZ26" s="34">
        <v>0</v>
      </c>
      <c r="JA26" s="34">
        <v>0</v>
      </c>
      <c r="JB26" s="34">
        <v>0</v>
      </c>
      <c r="JC26" s="34">
        <v>0</v>
      </c>
      <c r="JD26" s="34" t="s">
        <v>83</v>
      </c>
      <c r="JE26" s="34" t="s">
        <v>164</v>
      </c>
      <c r="JF26" s="34" t="s">
        <v>164</v>
      </c>
      <c r="JG26" s="34" t="s">
        <v>164</v>
      </c>
      <c r="JH26" s="34">
        <v>0</v>
      </c>
      <c r="JI26" s="34">
        <v>0</v>
      </c>
      <c r="JJ26" s="34" t="s">
        <v>164</v>
      </c>
      <c r="JK26" s="34">
        <v>0</v>
      </c>
      <c r="JL26" s="34">
        <v>0</v>
      </c>
      <c r="JM26" s="34" t="s">
        <v>164</v>
      </c>
      <c r="JN26" s="34" t="s">
        <v>164</v>
      </c>
      <c r="JO26" s="34" t="s">
        <v>164</v>
      </c>
      <c r="JP26" s="34">
        <v>0</v>
      </c>
      <c r="JQ26" s="34">
        <v>0</v>
      </c>
      <c r="JR26" s="34" t="s">
        <v>164</v>
      </c>
      <c r="JS26" s="34">
        <v>0</v>
      </c>
      <c r="JT26" s="34">
        <v>0</v>
      </c>
      <c r="JU26" s="34" t="s">
        <v>164</v>
      </c>
      <c r="JV26" s="34" t="s">
        <v>164</v>
      </c>
      <c r="JW26" s="34" t="s">
        <v>164</v>
      </c>
      <c r="JX26" s="34">
        <v>0</v>
      </c>
      <c r="JY26" s="34">
        <v>0</v>
      </c>
      <c r="JZ26" s="34" t="s">
        <v>164</v>
      </c>
      <c r="KA26" s="34">
        <v>0</v>
      </c>
      <c r="KB26" s="34">
        <v>0</v>
      </c>
      <c r="KC26" s="34" t="s">
        <v>164</v>
      </c>
      <c r="KD26" s="34" t="s">
        <v>164</v>
      </c>
      <c r="KE26" s="34" t="s">
        <v>164</v>
      </c>
      <c r="KF26" s="34">
        <v>0</v>
      </c>
      <c r="KG26" s="34">
        <v>0</v>
      </c>
      <c r="KH26" s="34" t="s">
        <v>164</v>
      </c>
      <c r="KI26" s="34">
        <v>0</v>
      </c>
      <c r="KJ26" s="34">
        <v>0</v>
      </c>
      <c r="KK26" s="34" t="s">
        <v>164</v>
      </c>
      <c r="KL26" s="34" t="s">
        <v>164</v>
      </c>
      <c r="KM26" s="34" t="s">
        <v>164</v>
      </c>
      <c r="KN26" s="34">
        <v>0</v>
      </c>
      <c r="KO26" s="34">
        <v>0</v>
      </c>
      <c r="KP26" s="34" t="s">
        <v>164</v>
      </c>
      <c r="KQ26" s="34">
        <v>0</v>
      </c>
      <c r="KR26" s="34">
        <v>0</v>
      </c>
      <c r="KS26" s="34" t="s">
        <v>164</v>
      </c>
      <c r="KT26" s="34" t="s">
        <v>164</v>
      </c>
      <c r="KU26" s="34" t="s">
        <v>164</v>
      </c>
      <c r="KV26" s="34">
        <v>0</v>
      </c>
      <c r="KW26" s="34">
        <v>0</v>
      </c>
      <c r="KX26" s="34" t="s">
        <v>164</v>
      </c>
      <c r="KY26" s="34">
        <v>0</v>
      </c>
      <c r="KZ26" s="34">
        <v>0</v>
      </c>
      <c r="LA26" s="34" t="s">
        <v>164</v>
      </c>
      <c r="LB26" s="34" t="s">
        <v>164</v>
      </c>
      <c r="LC26" s="34" t="s">
        <v>164</v>
      </c>
      <c r="LD26" s="34">
        <v>0</v>
      </c>
      <c r="LE26" s="34">
        <v>0</v>
      </c>
      <c r="LF26" s="34" t="s">
        <v>164</v>
      </c>
      <c r="LG26" s="34">
        <v>0</v>
      </c>
      <c r="LH26" s="34">
        <v>0</v>
      </c>
      <c r="LI26" s="34" t="s">
        <v>164</v>
      </c>
      <c r="LJ26" s="34" t="s">
        <v>164</v>
      </c>
      <c r="LK26" s="34" t="s">
        <v>164</v>
      </c>
      <c r="LL26" s="34">
        <v>0</v>
      </c>
      <c r="LM26" s="34">
        <v>0</v>
      </c>
      <c r="LN26" s="34" t="s">
        <v>164</v>
      </c>
      <c r="LO26" s="34">
        <v>0</v>
      </c>
      <c r="LP26" s="34">
        <v>0</v>
      </c>
      <c r="LQ26" s="34" t="s">
        <v>164</v>
      </c>
      <c r="LR26" s="34" t="s">
        <v>164</v>
      </c>
      <c r="LS26" s="34" t="s">
        <v>164</v>
      </c>
      <c r="LT26" s="34">
        <v>0</v>
      </c>
      <c r="LU26" s="34">
        <v>0</v>
      </c>
      <c r="LV26" s="34" t="s">
        <v>164</v>
      </c>
      <c r="LW26" s="34">
        <v>0</v>
      </c>
      <c r="LX26" s="34">
        <v>0</v>
      </c>
      <c r="LY26" s="34" t="s">
        <v>164</v>
      </c>
      <c r="LZ26" s="34" t="s">
        <v>164</v>
      </c>
      <c r="MA26" s="34" t="s">
        <v>164</v>
      </c>
      <c r="MB26" s="34">
        <v>0</v>
      </c>
      <c r="MC26" s="34">
        <v>0</v>
      </c>
      <c r="MD26" s="22" t="s">
        <v>164</v>
      </c>
      <c r="ME26" s="34">
        <v>0</v>
      </c>
      <c r="MF26" s="34">
        <v>0</v>
      </c>
      <c r="MG26" s="22" t="s">
        <v>164</v>
      </c>
      <c r="MH26" s="22" t="s">
        <v>164</v>
      </c>
      <c r="MI26" s="22" t="s">
        <v>164</v>
      </c>
      <c r="MJ26" s="34">
        <v>0</v>
      </c>
      <c r="MK26" s="34">
        <v>0</v>
      </c>
      <c r="ML26" s="22" t="s">
        <v>164</v>
      </c>
      <c r="MM26" s="22"/>
      <c r="MN26" s="22"/>
    </row>
    <row r="27" spans="1:352" s="1" customFormat="1" ht="23.25" customHeight="1" x14ac:dyDescent="0.25">
      <c r="A27" s="34" t="s">
        <v>2</v>
      </c>
      <c r="B27" s="34" t="s">
        <v>35</v>
      </c>
      <c r="C27" s="34">
        <v>0</v>
      </c>
      <c r="D27" s="34">
        <v>0</v>
      </c>
      <c r="E27" s="34" t="s">
        <v>83</v>
      </c>
      <c r="F27" s="34" t="s">
        <v>83</v>
      </c>
      <c r="G27" s="34" t="s">
        <v>83</v>
      </c>
      <c r="H27" s="34">
        <v>0</v>
      </c>
      <c r="I27" s="34">
        <v>0</v>
      </c>
      <c r="J27" s="34">
        <v>0</v>
      </c>
      <c r="K27" s="34">
        <v>0</v>
      </c>
      <c r="L27" s="34">
        <v>0</v>
      </c>
      <c r="M27" s="34">
        <v>0</v>
      </c>
      <c r="N27" s="34">
        <v>0</v>
      </c>
      <c r="O27" s="34">
        <v>0</v>
      </c>
      <c r="P27" s="34">
        <v>0</v>
      </c>
      <c r="Q27" s="34">
        <v>0</v>
      </c>
      <c r="R27" s="34">
        <v>0</v>
      </c>
      <c r="S27" s="34">
        <v>0</v>
      </c>
      <c r="T27" s="34">
        <v>0</v>
      </c>
      <c r="U27" s="34">
        <v>0</v>
      </c>
      <c r="V27" s="34">
        <v>0</v>
      </c>
      <c r="W27" s="34">
        <v>0</v>
      </c>
      <c r="X27" s="34">
        <v>0</v>
      </c>
      <c r="Y27" s="34">
        <v>0</v>
      </c>
      <c r="Z27" s="34">
        <v>0</v>
      </c>
      <c r="AA27" s="34">
        <v>0</v>
      </c>
      <c r="AB27" s="34">
        <v>0</v>
      </c>
      <c r="AC27" s="34">
        <v>0</v>
      </c>
      <c r="AD27" s="34">
        <v>0</v>
      </c>
      <c r="AE27" s="34">
        <v>0</v>
      </c>
      <c r="AF27" s="34">
        <v>0</v>
      </c>
      <c r="AG27" s="34">
        <v>0</v>
      </c>
      <c r="AH27" s="34">
        <v>0</v>
      </c>
      <c r="AI27" s="34">
        <v>0</v>
      </c>
      <c r="AJ27" s="34">
        <v>0</v>
      </c>
      <c r="AK27" s="34">
        <v>0</v>
      </c>
      <c r="AL27" s="34">
        <v>0</v>
      </c>
      <c r="AM27" s="34">
        <v>0</v>
      </c>
      <c r="AN27" s="34">
        <v>0</v>
      </c>
      <c r="AO27" s="34">
        <v>0</v>
      </c>
      <c r="AP27" s="34">
        <v>0</v>
      </c>
      <c r="AQ27" s="34">
        <v>0</v>
      </c>
      <c r="AR27" s="34">
        <v>0</v>
      </c>
      <c r="AS27" s="34">
        <v>0</v>
      </c>
      <c r="AT27" s="34">
        <v>0</v>
      </c>
      <c r="AU27" s="34">
        <v>0</v>
      </c>
      <c r="AV27" s="34">
        <v>0</v>
      </c>
      <c r="AW27" s="34">
        <v>0</v>
      </c>
      <c r="AX27" s="34">
        <v>0</v>
      </c>
      <c r="AY27" s="34">
        <v>0</v>
      </c>
      <c r="AZ27" s="34">
        <v>0</v>
      </c>
      <c r="BA27" s="34">
        <v>0</v>
      </c>
      <c r="BB27" s="34">
        <v>1</v>
      </c>
      <c r="BC27" s="34">
        <v>1</v>
      </c>
      <c r="BD27" s="34">
        <v>1</v>
      </c>
      <c r="BE27" s="34">
        <v>0</v>
      </c>
      <c r="BF27" s="34">
        <v>0</v>
      </c>
      <c r="BG27" s="34">
        <v>0</v>
      </c>
      <c r="BH27" s="34">
        <v>0</v>
      </c>
      <c r="BI27" s="34">
        <v>0</v>
      </c>
      <c r="BJ27" s="34">
        <v>0</v>
      </c>
      <c r="BK27" s="34">
        <v>0</v>
      </c>
      <c r="BL27" s="34">
        <v>0</v>
      </c>
      <c r="BM27" s="34">
        <v>0</v>
      </c>
      <c r="BN27" s="34">
        <v>0</v>
      </c>
      <c r="BO27" s="34">
        <v>0</v>
      </c>
      <c r="BP27" s="34">
        <v>0</v>
      </c>
      <c r="BQ27" s="17" t="s">
        <v>83</v>
      </c>
      <c r="BR27" s="17" t="s">
        <v>83</v>
      </c>
      <c r="BS27" s="17" t="s">
        <v>83</v>
      </c>
      <c r="BT27" s="17">
        <v>0</v>
      </c>
      <c r="BU27" s="17">
        <v>0</v>
      </c>
      <c r="BV27" s="34">
        <v>0</v>
      </c>
      <c r="BW27" s="34">
        <v>0</v>
      </c>
      <c r="BX27" s="34">
        <v>0</v>
      </c>
      <c r="BY27" s="34">
        <v>0</v>
      </c>
      <c r="BZ27" s="34">
        <v>0</v>
      </c>
      <c r="CA27" s="34">
        <v>0</v>
      </c>
      <c r="CB27" s="34">
        <v>0</v>
      </c>
      <c r="CC27" s="34">
        <v>0</v>
      </c>
      <c r="CD27" s="34">
        <v>0</v>
      </c>
      <c r="CE27" s="34">
        <v>0</v>
      </c>
      <c r="CF27" s="57" t="s">
        <v>83</v>
      </c>
      <c r="CG27" s="57" t="s">
        <v>83</v>
      </c>
      <c r="CH27" s="57" t="s">
        <v>83</v>
      </c>
      <c r="CI27" s="56">
        <v>0</v>
      </c>
      <c r="CJ27" s="56">
        <v>1</v>
      </c>
      <c r="CK27" s="56">
        <v>0</v>
      </c>
      <c r="CL27" s="56">
        <v>0</v>
      </c>
      <c r="CM27" s="56">
        <v>1</v>
      </c>
      <c r="CN27" s="57" t="s">
        <v>83</v>
      </c>
      <c r="CO27" s="57" t="s">
        <v>83</v>
      </c>
      <c r="CP27" s="57" t="s">
        <v>83</v>
      </c>
      <c r="CQ27" s="56">
        <v>0</v>
      </c>
      <c r="CR27" s="56">
        <v>0</v>
      </c>
      <c r="CS27" s="56">
        <v>1</v>
      </c>
      <c r="CT27" s="56">
        <v>0</v>
      </c>
      <c r="CU27" s="56">
        <v>0</v>
      </c>
      <c r="CV27" s="57" t="s">
        <v>83</v>
      </c>
      <c r="CW27" s="57" t="s">
        <v>83</v>
      </c>
      <c r="CX27" s="57" t="s">
        <v>83</v>
      </c>
      <c r="CY27" s="56">
        <v>0</v>
      </c>
      <c r="CZ27" s="56">
        <v>0</v>
      </c>
      <c r="DA27" s="56">
        <v>1</v>
      </c>
      <c r="DB27" s="56">
        <v>0</v>
      </c>
      <c r="DC27" s="56">
        <v>0</v>
      </c>
      <c r="DD27" s="57" t="s">
        <v>83</v>
      </c>
      <c r="DE27" s="57" t="s">
        <v>83</v>
      </c>
      <c r="DF27" s="57" t="s">
        <v>83</v>
      </c>
      <c r="DG27" s="56">
        <v>0</v>
      </c>
      <c r="DH27" s="56">
        <v>0</v>
      </c>
      <c r="DI27" s="56">
        <v>1</v>
      </c>
      <c r="DJ27" s="56">
        <v>0</v>
      </c>
      <c r="DK27" s="56">
        <v>0</v>
      </c>
      <c r="DL27" s="57" t="s">
        <v>83</v>
      </c>
      <c r="DM27" s="57" t="s">
        <v>83</v>
      </c>
      <c r="DN27" s="57" t="s">
        <v>83</v>
      </c>
      <c r="DO27" s="56">
        <v>0</v>
      </c>
      <c r="DP27" s="56">
        <v>0</v>
      </c>
      <c r="DQ27" s="56">
        <v>1</v>
      </c>
      <c r="DR27" s="56">
        <v>0</v>
      </c>
      <c r="DS27" s="56">
        <v>0</v>
      </c>
      <c r="DT27" s="57" t="s">
        <v>83</v>
      </c>
      <c r="DU27" s="57" t="s">
        <v>83</v>
      </c>
      <c r="DV27" s="57" t="s">
        <v>83</v>
      </c>
      <c r="DW27" s="56">
        <v>0</v>
      </c>
      <c r="DX27" s="56">
        <v>0</v>
      </c>
      <c r="DY27" s="56">
        <v>1</v>
      </c>
      <c r="DZ27" s="56">
        <v>0</v>
      </c>
      <c r="EA27" s="56">
        <v>0</v>
      </c>
      <c r="EB27" s="57" t="s">
        <v>83</v>
      </c>
      <c r="EC27" s="57" t="s">
        <v>83</v>
      </c>
      <c r="ED27" s="57" t="s">
        <v>83</v>
      </c>
      <c r="EE27" s="56">
        <v>0</v>
      </c>
      <c r="EF27" s="56">
        <v>0</v>
      </c>
      <c r="EG27" s="56">
        <v>1</v>
      </c>
      <c r="EH27" s="56">
        <v>0</v>
      </c>
      <c r="EI27" s="56">
        <v>0</v>
      </c>
      <c r="EJ27" s="57" t="s">
        <v>83</v>
      </c>
      <c r="EK27" s="57" t="s">
        <v>83</v>
      </c>
      <c r="EL27" s="57" t="s">
        <v>83</v>
      </c>
      <c r="EM27" s="56">
        <v>0</v>
      </c>
      <c r="EN27" s="56">
        <v>0</v>
      </c>
      <c r="EO27" s="56">
        <v>1</v>
      </c>
      <c r="EP27" s="56">
        <v>0</v>
      </c>
      <c r="EQ27" s="56">
        <v>0</v>
      </c>
      <c r="ER27" s="57" t="s">
        <v>83</v>
      </c>
      <c r="ES27" s="57" t="s">
        <v>83</v>
      </c>
      <c r="ET27" s="57" t="s">
        <v>83</v>
      </c>
      <c r="EU27" s="56">
        <v>0</v>
      </c>
      <c r="EV27" s="56">
        <v>0</v>
      </c>
      <c r="EW27" s="56">
        <v>1</v>
      </c>
      <c r="EX27" s="56">
        <v>0</v>
      </c>
      <c r="EY27" s="56">
        <v>0</v>
      </c>
      <c r="EZ27" s="57" t="s">
        <v>83</v>
      </c>
      <c r="FA27" s="57" t="s">
        <v>83</v>
      </c>
      <c r="FB27" s="57" t="s">
        <v>83</v>
      </c>
      <c r="FC27" s="56">
        <v>0</v>
      </c>
      <c r="FD27" s="56">
        <v>0</v>
      </c>
      <c r="FE27" s="56">
        <v>1</v>
      </c>
      <c r="FF27" s="56">
        <v>0</v>
      </c>
      <c r="FG27" s="56">
        <v>0</v>
      </c>
      <c r="FH27" s="57" t="s">
        <v>83</v>
      </c>
      <c r="FI27" s="57" t="s">
        <v>83</v>
      </c>
      <c r="FJ27" s="57" t="s">
        <v>83</v>
      </c>
      <c r="FK27" s="56">
        <v>0</v>
      </c>
      <c r="FL27" s="56">
        <v>0</v>
      </c>
      <c r="FM27" s="56">
        <v>1</v>
      </c>
      <c r="FN27" s="56">
        <v>0</v>
      </c>
      <c r="FO27" s="56">
        <v>0</v>
      </c>
      <c r="FP27" s="34">
        <v>0</v>
      </c>
      <c r="FQ27" s="34">
        <v>0</v>
      </c>
      <c r="FR27" s="22" t="s">
        <v>164</v>
      </c>
      <c r="FS27" s="34">
        <v>0</v>
      </c>
      <c r="FT27" s="34">
        <v>0</v>
      </c>
      <c r="FU27" s="22" t="s">
        <v>164</v>
      </c>
      <c r="FV27" s="22" t="s">
        <v>164</v>
      </c>
      <c r="FW27" s="22" t="s">
        <v>164</v>
      </c>
      <c r="FX27" s="16">
        <v>0</v>
      </c>
      <c r="FY27" s="16">
        <v>0</v>
      </c>
      <c r="FZ27" s="16">
        <v>0</v>
      </c>
      <c r="GA27" s="22" t="s">
        <v>164</v>
      </c>
      <c r="GB27" s="22" t="s">
        <v>164</v>
      </c>
      <c r="GC27" s="22" t="s">
        <v>164</v>
      </c>
      <c r="GD27" s="16">
        <v>0</v>
      </c>
      <c r="GE27" s="16">
        <v>0</v>
      </c>
      <c r="GF27" s="16">
        <v>0</v>
      </c>
      <c r="GG27" s="22" t="s">
        <v>164</v>
      </c>
      <c r="GH27" s="22" t="s">
        <v>164</v>
      </c>
      <c r="GI27" s="22" t="s">
        <v>164</v>
      </c>
      <c r="GJ27" s="16">
        <v>0</v>
      </c>
      <c r="GK27" s="16">
        <v>0</v>
      </c>
      <c r="GL27" s="16">
        <v>0</v>
      </c>
      <c r="GM27" s="22" t="s">
        <v>164</v>
      </c>
      <c r="GN27" s="22" t="s">
        <v>164</v>
      </c>
      <c r="GO27" s="22" t="s">
        <v>164</v>
      </c>
      <c r="GP27" s="16">
        <v>0</v>
      </c>
      <c r="GQ27" s="16">
        <v>0</v>
      </c>
      <c r="GR27" s="16">
        <v>0</v>
      </c>
      <c r="GS27" s="22" t="s">
        <v>164</v>
      </c>
      <c r="GT27" s="22" t="s">
        <v>164</v>
      </c>
      <c r="GU27" s="22" t="s">
        <v>164</v>
      </c>
      <c r="GV27" s="16">
        <v>0</v>
      </c>
      <c r="GW27" s="16">
        <v>0</v>
      </c>
      <c r="GX27" s="16">
        <v>0</v>
      </c>
      <c r="GY27" s="22" t="s">
        <v>164</v>
      </c>
      <c r="GZ27" s="22" t="s">
        <v>164</v>
      </c>
      <c r="HA27" s="22" t="s">
        <v>164</v>
      </c>
      <c r="HB27" s="16">
        <v>0</v>
      </c>
      <c r="HC27" s="16">
        <v>0</v>
      </c>
      <c r="HD27" s="16">
        <v>0</v>
      </c>
      <c r="HE27" s="22" t="s">
        <v>164</v>
      </c>
      <c r="HF27" s="22" t="s">
        <v>164</v>
      </c>
      <c r="HG27" s="22" t="s">
        <v>164</v>
      </c>
      <c r="HH27" s="16">
        <v>0</v>
      </c>
      <c r="HI27" s="16">
        <v>0</v>
      </c>
      <c r="HJ27" s="16">
        <v>0</v>
      </c>
      <c r="HK27" s="22" t="s">
        <v>164</v>
      </c>
      <c r="HL27" s="22" t="s">
        <v>164</v>
      </c>
      <c r="HM27" s="22" t="s">
        <v>164</v>
      </c>
      <c r="HN27" s="16">
        <v>0</v>
      </c>
      <c r="HO27" s="16">
        <v>0</v>
      </c>
      <c r="HP27" s="16">
        <v>0</v>
      </c>
      <c r="HQ27" s="22" t="s">
        <v>164</v>
      </c>
      <c r="HR27" s="22" t="s">
        <v>164</v>
      </c>
      <c r="HS27" s="22" t="s">
        <v>164</v>
      </c>
      <c r="HT27" s="16">
        <v>0</v>
      </c>
      <c r="HU27" s="16">
        <v>0</v>
      </c>
      <c r="HV27" s="16">
        <v>0</v>
      </c>
      <c r="HW27" s="22" t="s">
        <v>164</v>
      </c>
      <c r="HX27" s="22" t="s">
        <v>164</v>
      </c>
      <c r="HY27" s="22" t="s">
        <v>164</v>
      </c>
      <c r="HZ27" s="16">
        <v>0</v>
      </c>
      <c r="IA27" s="16">
        <v>0</v>
      </c>
      <c r="IB27" s="16">
        <v>0</v>
      </c>
      <c r="IC27" s="22" t="s">
        <v>164</v>
      </c>
      <c r="ID27" s="22" t="s">
        <v>164</v>
      </c>
      <c r="IE27" s="22" t="s">
        <v>164</v>
      </c>
      <c r="IF27" s="16">
        <v>0</v>
      </c>
      <c r="IG27" s="16">
        <v>0</v>
      </c>
      <c r="IH27" s="16">
        <v>0</v>
      </c>
      <c r="II27" s="34">
        <v>0</v>
      </c>
      <c r="IJ27" s="34">
        <v>0</v>
      </c>
      <c r="IK27" s="16" t="s">
        <v>83</v>
      </c>
      <c r="IL27" s="34">
        <v>0</v>
      </c>
      <c r="IM27" s="16" t="s">
        <v>83</v>
      </c>
      <c r="IN27" s="34">
        <v>0</v>
      </c>
      <c r="IO27" s="34">
        <v>0</v>
      </c>
      <c r="IP27" s="34">
        <v>0</v>
      </c>
      <c r="IQ27" s="34" t="s">
        <v>164</v>
      </c>
      <c r="IR27" s="34" t="s">
        <v>164</v>
      </c>
      <c r="IS27" s="34" t="s">
        <v>164</v>
      </c>
      <c r="IT27" s="34">
        <v>0</v>
      </c>
      <c r="IU27" s="34">
        <v>0</v>
      </c>
      <c r="IV27" s="34">
        <v>0</v>
      </c>
      <c r="IW27" s="34">
        <v>0</v>
      </c>
      <c r="IX27" s="34">
        <v>0</v>
      </c>
      <c r="IY27" s="34">
        <v>0</v>
      </c>
      <c r="IZ27" s="34">
        <v>0</v>
      </c>
      <c r="JA27" s="34">
        <v>0</v>
      </c>
      <c r="JB27" s="34">
        <v>0</v>
      </c>
      <c r="JC27" s="34">
        <v>0</v>
      </c>
      <c r="JD27" s="34" t="s">
        <v>83</v>
      </c>
      <c r="JE27" s="34" t="s">
        <v>164</v>
      </c>
      <c r="JF27" s="34" t="s">
        <v>164</v>
      </c>
      <c r="JG27" s="34" t="s">
        <v>164</v>
      </c>
      <c r="JH27" s="34">
        <v>0</v>
      </c>
      <c r="JI27" s="34">
        <v>0</v>
      </c>
      <c r="JJ27" s="34" t="s">
        <v>164</v>
      </c>
      <c r="JK27" s="34">
        <v>0</v>
      </c>
      <c r="JL27" s="34">
        <v>0</v>
      </c>
      <c r="JM27" s="34" t="s">
        <v>164</v>
      </c>
      <c r="JN27" s="34" t="s">
        <v>164</v>
      </c>
      <c r="JO27" s="34" t="s">
        <v>164</v>
      </c>
      <c r="JP27" s="34">
        <v>0</v>
      </c>
      <c r="JQ27" s="34">
        <v>0</v>
      </c>
      <c r="JR27" s="34" t="s">
        <v>164</v>
      </c>
      <c r="JS27" s="34">
        <v>0</v>
      </c>
      <c r="JT27" s="34">
        <v>0</v>
      </c>
      <c r="JU27" s="34" t="s">
        <v>164</v>
      </c>
      <c r="JV27" s="34" t="s">
        <v>164</v>
      </c>
      <c r="JW27" s="34" t="s">
        <v>164</v>
      </c>
      <c r="JX27" s="34">
        <v>0</v>
      </c>
      <c r="JY27" s="34">
        <v>0</v>
      </c>
      <c r="JZ27" s="34" t="s">
        <v>164</v>
      </c>
      <c r="KA27" s="34">
        <v>0</v>
      </c>
      <c r="KB27" s="34">
        <v>0</v>
      </c>
      <c r="KC27" s="34" t="s">
        <v>164</v>
      </c>
      <c r="KD27" s="34" t="s">
        <v>164</v>
      </c>
      <c r="KE27" s="34" t="s">
        <v>164</v>
      </c>
      <c r="KF27" s="34">
        <v>0</v>
      </c>
      <c r="KG27" s="34">
        <v>0</v>
      </c>
      <c r="KH27" s="34" t="s">
        <v>164</v>
      </c>
      <c r="KI27" s="34">
        <v>0</v>
      </c>
      <c r="KJ27" s="34">
        <v>0</v>
      </c>
      <c r="KK27" s="34" t="s">
        <v>164</v>
      </c>
      <c r="KL27" s="34" t="s">
        <v>164</v>
      </c>
      <c r="KM27" s="34" t="s">
        <v>164</v>
      </c>
      <c r="KN27" s="34">
        <v>0</v>
      </c>
      <c r="KO27" s="34">
        <v>0</v>
      </c>
      <c r="KP27" s="34" t="s">
        <v>164</v>
      </c>
      <c r="KQ27" s="34">
        <v>0</v>
      </c>
      <c r="KR27" s="34">
        <v>0</v>
      </c>
      <c r="KS27" s="34" t="s">
        <v>164</v>
      </c>
      <c r="KT27" s="34" t="s">
        <v>164</v>
      </c>
      <c r="KU27" s="34" t="s">
        <v>164</v>
      </c>
      <c r="KV27" s="34">
        <v>0</v>
      </c>
      <c r="KW27" s="34">
        <v>0</v>
      </c>
      <c r="KX27" s="34" t="s">
        <v>164</v>
      </c>
      <c r="KY27" s="34">
        <v>0</v>
      </c>
      <c r="KZ27" s="34">
        <v>0</v>
      </c>
      <c r="LA27" s="34" t="s">
        <v>164</v>
      </c>
      <c r="LB27" s="34" t="s">
        <v>164</v>
      </c>
      <c r="LC27" s="34" t="s">
        <v>164</v>
      </c>
      <c r="LD27" s="34">
        <v>0</v>
      </c>
      <c r="LE27" s="34">
        <v>0</v>
      </c>
      <c r="LF27" s="34" t="s">
        <v>164</v>
      </c>
      <c r="LG27" s="34">
        <v>0</v>
      </c>
      <c r="LH27" s="34">
        <v>0</v>
      </c>
      <c r="LI27" s="34" t="s">
        <v>164</v>
      </c>
      <c r="LJ27" s="34" t="s">
        <v>164</v>
      </c>
      <c r="LK27" s="34" t="s">
        <v>164</v>
      </c>
      <c r="LL27" s="34">
        <v>0</v>
      </c>
      <c r="LM27" s="34">
        <v>0</v>
      </c>
      <c r="LN27" s="34" t="s">
        <v>164</v>
      </c>
      <c r="LO27" s="34">
        <v>0</v>
      </c>
      <c r="LP27" s="34">
        <v>0</v>
      </c>
      <c r="LQ27" s="34" t="s">
        <v>164</v>
      </c>
      <c r="LR27" s="34" t="s">
        <v>164</v>
      </c>
      <c r="LS27" s="34" t="s">
        <v>164</v>
      </c>
      <c r="LT27" s="34">
        <v>0</v>
      </c>
      <c r="LU27" s="34">
        <v>0</v>
      </c>
      <c r="LV27" s="34" t="s">
        <v>164</v>
      </c>
      <c r="LW27" s="34">
        <v>0</v>
      </c>
      <c r="LX27" s="34">
        <v>0</v>
      </c>
      <c r="LY27" s="34" t="s">
        <v>164</v>
      </c>
      <c r="LZ27" s="34" t="s">
        <v>164</v>
      </c>
      <c r="MA27" s="34" t="s">
        <v>164</v>
      </c>
      <c r="MB27" s="34">
        <v>0</v>
      </c>
      <c r="MC27" s="34">
        <v>0</v>
      </c>
      <c r="MD27" s="22" t="s">
        <v>164</v>
      </c>
      <c r="ME27" s="34">
        <v>0</v>
      </c>
      <c r="MF27" s="34">
        <v>0</v>
      </c>
      <c r="MG27" s="22" t="s">
        <v>164</v>
      </c>
      <c r="MH27" s="22" t="s">
        <v>164</v>
      </c>
      <c r="MI27" s="22" t="s">
        <v>164</v>
      </c>
      <c r="MJ27" s="34">
        <v>0</v>
      </c>
      <c r="MK27" s="34">
        <v>0</v>
      </c>
      <c r="ML27" s="22" t="s">
        <v>164</v>
      </c>
      <c r="MM27" s="22"/>
      <c r="MN27" s="22"/>
    </row>
    <row r="28" spans="1:352" ht="23.25" customHeight="1" x14ac:dyDescent="0.25">
      <c r="A28" s="8" t="s">
        <v>3</v>
      </c>
      <c r="B28" s="8" t="s">
        <v>36</v>
      </c>
      <c r="C28" s="17"/>
      <c r="D28" s="17">
        <f t="shared" ref="D28:DG28" si="60">IF(D58=FALSE,D18+D12,C28)</f>
        <v>0</v>
      </c>
      <c r="E28" s="17">
        <f t="shared" si="60"/>
        <v>0</v>
      </c>
      <c r="F28" s="17">
        <f t="shared" si="60"/>
        <v>0</v>
      </c>
      <c r="G28" s="17">
        <f t="shared" si="60"/>
        <v>0</v>
      </c>
      <c r="H28" s="17">
        <f t="shared" si="60"/>
        <v>270</v>
      </c>
      <c r="I28" s="17">
        <f t="shared" si="60"/>
        <v>270</v>
      </c>
      <c r="J28" s="17">
        <f t="shared" si="60"/>
        <v>270</v>
      </c>
      <c r="K28" s="17">
        <f t="shared" si="60"/>
        <v>220</v>
      </c>
      <c r="L28" s="17">
        <f>IF(L58=FALSE,L18+L12,O28)</f>
        <v>320</v>
      </c>
      <c r="M28" s="17">
        <f>IF(M58=FALSE,M18+M12,P28)</f>
        <v>320</v>
      </c>
      <c r="N28" s="17">
        <f t="shared" si="60"/>
        <v>320</v>
      </c>
      <c r="O28" s="17">
        <f t="shared" ref="O28" si="61">IF(O58=FALSE,O18+O12,N28)</f>
        <v>320</v>
      </c>
      <c r="P28" s="17">
        <f t="shared" ref="P28" si="62">IF(P58=FALSE,P18+P12,O28)</f>
        <v>320</v>
      </c>
      <c r="Q28" s="17">
        <f t="shared" ref="Q28" si="63">IF(Q58=FALSE,Q18+Q12,P28)</f>
        <v>320</v>
      </c>
      <c r="R28" s="17">
        <f t="shared" ref="R28" si="64">IF(R58=FALSE,R18+R12,Q28)</f>
        <v>320</v>
      </c>
      <c r="S28" s="17">
        <f t="shared" ref="S28" si="65">IF(S58=FALSE,S18+S12,R28)</f>
        <v>320</v>
      </c>
      <c r="T28" s="17">
        <f t="shared" ref="T28" si="66">IF(T58=FALSE,T18+T12,S28)</f>
        <v>320</v>
      </c>
      <c r="U28" s="17">
        <f t="shared" ref="U28" si="67">IF(U58=FALSE,U18+U12,T28)</f>
        <v>270</v>
      </c>
      <c r="V28" s="17">
        <f t="shared" ref="V28" si="68">IF(V58=FALSE,V18+V12,U28)</f>
        <v>270</v>
      </c>
      <c r="W28" s="17">
        <f t="shared" ref="W28" si="69">IF(W58=FALSE,W18+W12,V28)</f>
        <v>270</v>
      </c>
      <c r="X28" s="17">
        <f t="shared" ref="X28" si="70">IF(X58=FALSE,X18+X12,W28)</f>
        <v>270</v>
      </c>
      <c r="Y28" s="17">
        <f t="shared" ref="Y28" si="71">IF(Y58=FALSE,Y18+Y12,X28)</f>
        <v>270</v>
      </c>
      <c r="Z28" s="17">
        <f t="shared" ref="Z28" si="72">IF(Z58=FALSE,Z18+Z12,Y28)</f>
        <v>270</v>
      </c>
      <c r="AA28" s="17">
        <f>IF(AA58=FALSE,AA18+AA12,Z28)</f>
        <v>426</v>
      </c>
      <c r="AB28" s="17">
        <f>IF(AB58=FALSE,AB18+AB12,AA28)</f>
        <v>426</v>
      </c>
      <c r="AC28" s="17">
        <f>IF(AC58=FALSE,AC18+AC12,AB28)</f>
        <v>426</v>
      </c>
      <c r="AD28" s="17">
        <f t="shared" ref="AD28" si="73">IF(AD58=FALSE,AD18+AD12,AC28)</f>
        <v>426</v>
      </c>
      <c r="AE28" s="17">
        <f t="shared" ref="AE28" si="74">IF(AE58=FALSE,AE18+AE12,AD28)</f>
        <v>426</v>
      </c>
      <c r="AF28" s="17">
        <f t="shared" ref="AF28" si="75">IF(AF58=FALSE,AF18+AF12,AE28)</f>
        <v>426</v>
      </c>
      <c r="AG28" s="17">
        <f t="shared" ref="AG28" si="76">IF(AG58=FALSE,AG18+AG12,AF28)</f>
        <v>560</v>
      </c>
      <c r="AH28" s="17">
        <f t="shared" ref="AH28" si="77">IF(AH58=FALSE,AH18+AH12,AG28)</f>
        <v>560</v>
      </c>
      <c r="AI28" s="17">
        <f t="shared" ref="AI28" si="78">IF(AI58=FALSE,AI18+AI12,AH28)</f>
        <v>560</v>
      </c>
      <c r="AJ28" s="17">
        <f>IF(AJ58=FALSE,AJ18+AJ12,AI28)</f>
        <v>560</v>
      </c>
      <c r="AK28" s="17">
        <f t="shared" ref="AK28" si="79">IF(AK58=FALSE,AK18+AK12,AJ28)</f>
        <v>560</v>
      </c>
      <c r="AL28" s="17">
        <f t="shared" ref="AL28" si="80">IF(AL58=FALSE,AL18+AL12,AK28)</f>
        <v>560</v>
      </c>
      <c r="AM28" s="17">
        <f t="shared" ref="AM28" si="81">IF(AM58=FALSE,AM18+AM12,AL28)</f>
        <v>420</v>
      </c>
      <c r="AN28" s="17">
        <f t="shared" ref="AN28" si="82">IF(AN58=FALSE,AN18+AN12,AM28)</f>
        <v>420</v>
      </c>
      <c r="AO28" s="17">
        <f t="shared" ref="AO28" si="83">IF(AO58=FALSE,AO18+AO12,AN28)</f>
        <v>420</v>
      </c>
      <c r="AP28" s="17">
        <f>IF(AP58=FALSE,AP18+AP12,AO28)</f>
        <v>420</v>
      </c>
      <c r="AQ28" s="17">
        <f>IF(AQ58=FALSE,AQ18+AQ12,AP28)</f>
        <v>420</v>
      </c>
      <c r="AR28" s="17">
        <f>IF(AR58=FALSE,AR18+AR12,AQ28)</f>
        <v>420</v>
      </c>
      <c r="AS28" s="17">
        <f t="shared" ref="AS28" si="84">IF(AS58=FALSE,AS18+AS12,AR28)</f>
        <v>220</v>
      </c>
      <c r="AT28" s="17">
        <f t="shared" ref="AT28" si="85">IF(AT58=FALSE,AT18+AT12,AS28)</f>
        <v>220</v>
      </c>
      <c r="AU28" s="17">
        <f t="shared" ref="AU28" si="86">IF(AU58=FALSE,AU18+AU12,AT28)</f>
        <v>220</v>
      </c>
      <c r="AV28" s="17">
        <f>IF(AV58=FALSE,AV18+AV12,AU28)</f>
        <v>220</v>
      </c>
      <c r="AW28" s="17">
        <f t="shared" ref="AW28" si="87">IF(AW58=FALSE,AW18+AW12,AV28)</f>
        <v>220</v>
      </c>
      <c r="AX28" s="17">
        <f t="shared" ref="AX28" si="88">IF(AX58=FALSE,AX18+AX12,AW28)</f>
        <v>220</v>
      </c>
      <c r="AY28" s="17">
        <f t="shared" ref="AY28" si="89">IF(AY58=FALSE,AY18+AY12,AX28)</f>
        <v>320</v>
      </c>
      <c r="AZ28" s="17">
        <f t="shared" ref="AZ28" si="90">IF(AZ58=FALSE,AZ18+AZ12,AY28)</f>
        <v>320</v>
      </c>
      <c r="BA28" s="17">
        <f t="shared" ref="BA28" si="91">IF(BA58=FALSE,BA18+BA12,AZ28)</f>
        <v>320</v>
      </c>
      <c r="BB28" s="17">
        <f>IF(BB58=FALSE,BB18+BB12,BA28)</f>
        <v>320</v>
      </c>
      <c r="BC28" s="17">
        <f>IF(BC58=FALSE,BC18+BC12,BB28)</f>
        <v>320</v>
      </c>
      <c r="BD28" s="17">
        <f>IF(BD58=FALSE,BD18+BD12,BC28)</f>
        <v>320</v>
      </c>
      <c r="BE28" s="17">
        <f t="shared" ref="BE28" si="92">IF(BE58=FALSE,BE18+BE12,BD28)</f>
        <v>303</v>
      </c>
      <c r="BF28" s="17">
        <f t="shared" ref="BF28" si="93">IF(BF58=FALSE,BF18+BF12,BE28)</f>
        <v>303</v>
      </c>
      <c r="BG28" s="17">
        <f t="shared" ref="BG28" si="94">IF(BG58=FALSE,BG18+BG12,BF28)</f>
        <v>303</v>
      </c>
      <c r="BH28" s="17">
        <f>IF(BH58=FALSE,BH18+BH12,BG28)</f>
        <v>303</v>
      </c>
      <c r="BI28" s="17">
        <f t="shared" ref="BI28" si="95">IF(BI58=FALSE,BI18+BI12,BH28)</f>
        <v>303</v>
      </c>
      <c r="BJ28" s="17">
        <f t="shared" ref="BJ28" si="96">IF(BJ58=FALSE,BJ18+BJ12,BI28)</f>
        <v>303</v>
      </c>
      <c r="BK28" s="17">
        <f t="shared" ref="BK28" si="97">IF(BK58=FALSE,BK18+BK12,BJ28)</f>
        <v>320</v>
      </c>
      <c r="BL28" s="17">
        <f t="shared" ref="BL28" si="98">IF(BL58=FALSE,BL18+BL12,BK28)</f>
        <v>320</v>
      </c>
      <c r="BM28" s="17">
        <f t="shared" ref="BM28" si="99">IF(BM58=FALSE,BM18+BM12,BL28)</f>
        <v>320</v>
      </c>
      <c r="BN28" s="17">
        <f>IF(BN58=FALSE,BN18+BN12,Q28)</f>
        <v>320</v>
      </c>
      <c r="BO28" s="17">
        <f t="shared" si="60"/>
        <v>320</v>
      </c>
      <c r="BP28" s="17">
        <f t="shared" si="60"/>
        <v>320</v>
      </c>
      <c r="BQ28" s="17">
        <v>320</v>
      </c>
      <c r="BR28" s="17">
        <v>320</v>
      </c>
      <c r="BS28" s="17">
        <v>320</v>
      </c>
      <c r="BT28" s="17">
        <f t="shared" ref="BT28" si="100">IF(BT58=FALSE,BT18+BT12,BS28)</f>
        <v>274</v>
      </c>
      <c r="BU28" s="17">
        <f t="shared" si="60"/>
        <v>274</v>
      </c>
      <c r="BV28" s="17">
        <f t="shared" si="60"/>
        <v>274</v>
      </c>
      <c r="BW28" s="39">
        <f t="shared" si="60"/>
        <v>274</v>
      </c>
      <c r="BX28" s="17">
        <f t="shared" si="60"/>
        <v>274</v>
      </c>
      <c r="BY28" s="17">
        <f t="shared" si="60"/>
        <v>274</v>
      </c>
      <c r="BZ28" s="17">
        <f t="shared" si="60"/>
        <v>274</v>
      </c>
      <c r="CA28" s="17">
        <f t="shared" si="60"/>
        <v>274</v>
      </c>
      <c r="CB28" s="17">
        <f t="shared" si="60"/>
        <v>176</v>
      </c>
      <c r="CC28" s="17">
        <f t="shared" si="60"/>
        <v>176</v>
      </c>
      <c r="CD28" s="17">
        <f t="shared" si="60"/>
        <v>176</v>
      </c>
      <c r="CE28" s="17">
        <f t="shared" si="60"/>
        <v>176</v>
      </c>
      <c r="CF28" s="57">
        <f t="shared" si="60"/>
        <v>176</v>
      </c>
      <c r="CG28" s="57">
        <f t="shared" si="60"/>
        <v>176</v>
      </c>
      <c r="CH28" s="57">
        <f t="shared" si="60"/>
        <v>176</v>
      </c>
      <c r="CI28" s="57">
        <f t="shared" si="60"/>
        <v>176</v>
      </c>
      <c r="CJ28" s="57">
        <f t="shared" si="60"/>
        <v>176</v>
      </c>
      <c r="CK28" s="57">
        <f t="shared" si="60"/>
        <v>176</v>
      </c>
      <c r="CL28" s="57">
        <f t="shared" si="60"/>
        <v>176</v>
      </c>
      <c r="CM28" s="57">
        <f>IF(CM58=FALSE,CM18+CM12,CL28)</f>
        <v>176</v>
      </c>
      <c r="CN28" s="57">
        <f t="shared" si="60"/>
        <v>176</v>
      </c>
      <c r="CO28" s="57">
        <f t="shared" si="60"/>
        <v>176</v>
      </c>
      <c r="CP28" s="57">
        <f t="shared" si="60"/>
        <v>176</v>
      </c>
      <c r="CQ28" s="57">
        <f t="shared" si="60"/>
        <v>176</v>
      </c>
      <c r="CR28" s="57">
        <f t="shared" si="60"/>
        <v>176</v>
      </c>
      <c r="CS28" s="57">
        <f t="shared" si="60"/>
        <v>176</v>
      </c>
      <c r="CT28" s="57">
        <f t="shared" si="60"/>
        <v>176</v>
      </c>
      <c r="CU28" s="57">
        <f t="shared" si="60"/>
        <v>176</v>
      </c>
      <c r="CV28" s="57">
        <f t="shared" si="60"/>
        <v>176</v>
      </c>
      <c r="CW28" s="57">
        <f t="shared" si="60"/>
        <v>176</v>
      </c>
      <c r="CX28" s="57">
        <f t="shared" si="60"/>
        <v>176</v>
      </c>
      <c r="CY28" s="57">
        <f t="shared" si="60"/>
        <v>176</v>
      </c>
      <c r="CZ28" s="57">
        <f t="shared" si="60"/>
        <v>176</v>
      </c>
      <c r="DA28" s="57">
        <f t="shared" si="60"/>
        <v>176</v>
      </c>
      <c r="DB28" s="57">
        <f t="shared" si="60"/>
        <v>176</v>
      </c>
      <c r="DC28" s="57">
        <f t="shared" si="60"/>
        <v>176</v>
      </c>
      <c r="DD28" s="57">
        <f t="shared" si="60"/>
        <v>176</v>
      </c>
      <c r="DE28" s="57">
        <f t="shared" si="60"/>
        <v>176</v>
      </c>
      <c r="DF28" s="57">
        <f t="shared" si="60"/>
        <v>176</v>
      </c>
      <c r="DG28" s="57">
        <f t="shared" si="60"/>
        <v>176</v>
      </c>
      <c r="DH28" s="57">
        <f t="shared" ref="DH28:FO28" si="101">IF(DH58=FALSE,DH18+DH12,DG28)</f>
        <v>176</v>
      </c>
      <c r="DI28" s="57">
        <f t="shared" si="101"/>
        <v>176</v>
      </c>
      <c r="DJ28" s="57">
        <f t="shared" si="101"/>
        <v>176</v>
      </c>
      <c r="DK28" s="57">
        <f t="shared" si="101"/>
        <v>176</v>
      </c>
      <c r="DL28" s="57">
        <f t="shared" si="101"/>
        <v>176</v>
      </c>
      <c r="DM28" s="57">
        <f t="shared" si="101"/>
        <v>176</v>
      </c>
      <c r="DN28" s="57">
        <f t="shared" si="101"/>
        <v>176</v>
      </c>
      <c r="DO28" s="57">
        <f t="shared" si="101"/>
        <v>176</v>
      </c>
      <c r="DP28" s="57">
        <f t="shared" si="101"/>
        <v>176</v>
      </c>
      <c r="DQ28" s="57">
        <f t="shared" si="101"/>
        <v>176</v>
      </c>
      <c r="DR28" s="57">
        <f t="shared" si="101"/>
        <v>176</v>
      </c>
      <c r="DS28" s="57">
        <f t="shared" si="101"/>
        <v>176</v>
      </c>
      <c r="DT28" s="57">
        <f t="shared" si="101"/>
        <v>176</v>
      </c>
      <c r="DU28" s="57">
        <f t="shared" si="101"/>
        <v>176</v>
      </c>
      <c r="DV28" s="57">
        <f t="shared" si="101"/>
        <v>176</v>
      </c>
      <c r="DW28" s="57">
        <f t="shared" si="101"/>
        <v>176</v>
      </c>
      <c r="DX28" s="57">
        <f t="shared" si="101"/>
        <v>176</v>
      </c>
      <c r="DY28" s="57">
        <f t="shared" si="101"/>
        <v>176</v>
      </c>
      <c r="DZ28" s="57">
        <f t="shared" si="101"/>
        <v>176</v>
      </c>
      <c r="EA28" s="57">
        <f t="shared" si="101"/>
        <v>176</v>
      </c>
      <c r="EB28" s="57">
        <f t="shared" si="101"/>
        <v>176</v>
      </c>
      <c r="EC28" s="57">
        <f t="shared" si="101"/>
        <v>176</v>
      </c>
      <c r="ED28" s="57">
        <f t="shared" si="101"/>
        <v>176</v>
      </c>
      <c r="EE28" s="57">
        <f t="shared" si="101"/>
        <v>176</v>
      </c>
      <c r="EF28" s="57">
        <f t="shared" si="101"/>
        <v>176</v>
      </c>
      <c r="EG28" s="57">
        <f t="shared" si="101"/>
        <v>176</v>
      </c>
      <c r="EH28" s="57">
        <f t="shared" si="101"/>
        <v>176</v>
      </c>
      <c r="EI28" s="57">
        <f t="shared" si="101"/>
        <v>176</v>
      </c>
      <c r="EJ28" s="57">
        <f t="shared" si="101"/>
        <v>176</v>
      </c>
      <c r="EK28" s="57">
        <f t="shared" si="101"/>
        <v>176</v>
      </c>
      <c r="EL28" s="57">
        <f t="shared" si="101"/>
        <v>176</v>
      </c>
      <c r="EM28" s="57">
        <f t="shared" si="101"/>
        <v>176</v>
      </c>
      <c r="EN28" s="57">
        <f t="shared" si="101"/>
        <v>176</v>
      </c>
      <c r="EO28" s="57">
        <f t="shared" si="101"/>
        <v>176</v>
      </c>
      <c r="EP28" s="57">
        <f t="shared" si="101"/>
        <v>176</v>
      </c>
      <c r="EQ28" s="57">
        <f t="shared" si="101"/>
        <v>176</v>
      </c>
      <c r="ER28" s="57">
        <f t="shared" si="101"/>
        <v>176</v>
      </c>
      <c r="ES28" s="57">
        <f t="shared" si="101"/>
        <v>176</v>
      </c>
      <c r="ET28" s="57">
        <f t="shared" si="101"/>
        <v>176</v>
      </c>
      <c r="EU28" s="57">
        <f t="shared" si="101"/>
        <v>176</v>
      </c>
      <c r="EV28" s="57">
        <f t="shared" si="101"/>
        <v>176</v>
      </c>
      <c r="EW28" s="57">
        <f t="shared" si="101"/>
        <v>176</v>
      </c>
      <c r="EX28" s="57">
        <f t="shared" si="101"/>
        <v>176</v>
      </c>
      <c r="EY28" s="57">
        <f t="shared" si="101"/>
        <v>176</v>
      </c>
      <c r="EZ28" s="57">
        <f t="shared" si="101"/>
        <v>176</v>
      </c>
      <c r="FA28" s="57">
        <f t="shared" si="101"/>
        <v>176</v>
      </c>
      <c r="FB28" s="57">
        <f t="shared" si="101"/>
        <v>176</v>
      </c>
      <c r="FC28" s="57">
        <f t="shared" si="101"/>
        <v>176</v>
      </c>
      <c r="FD28" s="57">
        <f t="shared" si="101"/>
        <v>176</v>
      </c>
      <c r="FE28" s="57">
        <f t="shared" si="101"/>
        <v>176</v>
      </c>
      <c r="FF28" s="57">
        <f t="shared" si="101"/>
        <v>176</v>
      </c>
      <c r="FG28" s="57">
        <f t="shared" si="101"/>
        <v>176</v>
      </c>
      <c r="FH28" s="57">
        <f t="shared" si="101"/>
        <v>176</v>
      </c>
      <c r="FI28" s="57">
        <f t="shared" si="101"/>
        <v>176</v>
      </c>
      <c r="FJ28" s="57">
        <f t="shared" si="101"/>
        <v>176</v>
      </c>
      <c r="FK28" s="57">
        <f t="shared" si="101"/>
        <v>176</v>
      </c>
      <c r="FL28" s="57">
        <f t="shared" si="101"/>
        <v>176</v>
      </c>
      <c r="FM28" s="57">
        <f t="shared" si="101"/>
        <v>176</v>
      </c>
      <c r="FN28" s="57">
        <f t="shared" si="101"/>
        <v>176</v>
      </c>
      <c r="FO28" s="57">
        <f t="shared" si="101"/>
        <v>176</v>
      </c>
      <c r="FP28" s="17"/>
      <c r="FQ28" s="17">
        <f t="shared" ref="FQ28:IB28" si="102">IF(FQ58=FALSE,FQ18+FQ12,FP28)</f>
        <v>0</v>
      </c>
      <c r="FR28" s="17">
        <f t="shared" ref="FR28" si="103">IF(FR58=FALSE,FR18+FR12,FQ28)</f>
        <v>0</v>
      </c>
      <c r="FS28" s="17">
        <v>0</v>
      </c>
      <c r="FT28" s="17">
        <f t="shared" ref="FT28" si="104">IF(FT58=FALSE,FT18+FT12,FS28)</f>
        <v>0</v>
      </c>
      <c r="FU28" s="17">
        <f t="shared" ref="FU28" si="105">IF(FU58=FALSE,FU18+FU12,FT28)</f>
        <v>0</v>
      </c>
      <c r="FV28" s="17">
        <f t="shared" ref="FV28" si="106">IF(FV58=FALSE,FV18+FV12,FU28)</f>
        <v>0</v>
      </c>
      <c r="FW28" s="17">
        <f t="shared" ref="FW28" si="107">IF(FW58=FALSE,FW18+FW12,FV28)</f>
        <v>0</v>
      </c>
      <c r="FX28" s="17">
        <f t="shared" ref="FX28" si="108">IF(FX58=FALSE,FX18+FX12,FW28)</f>
        <v>0</v>
      </c>
      <c r="FY28" s="17">
        <f t="shared" ref="FY28" si="109">IF(FY58=FALSE,FY18+FY12,FX28)</f>
        <v>0</v>
      </c>
      <c r="FZ28" s="17">
        <f t="shared" ref="FZ28" si="110">IF(FZ58=FALSE,FZ18+FZ12,FY28)</f>
        <v>0</v>
      </c>
      <c r="GA28" s="17">
        <f t="shared" ref="GA28" si="111">IF(GA58=FALSE,GA18+GA12,FZ28)</f>
        <v>0</v>
      </c>
      <c r="GB28" s="17">
        <f t="shared" si="102"/>
        <v>0</v>
      </c>
      <c r="GC28" s="17">
        <f t="shared" si="102"/>
        <v>0</v>
      </c>
      <c r="GD28" s="17">
        <f t="shared" si="102"/>
        <v>0</v>
      </c>
      <c r="GE28" s="17">
        <f t="shared" si="102"/>
        <v>0</v>
      </c>
      <c r="GF28" s="17">
        <f t="shared" si="102"/>
        <v>0</v>
      </c>
      <c r="GG28" s="17">
        <f t="shared" si="102"/>
        <v>0</v>
      </c>
      <c r="GH28" s="17">
        <f t="shared" si="102"/>
        <v>0</v>
      </c>
      <c r="GI28" s="17">
        <f t="shared" si="102"/>
        <v>0</v>
      </c>
      <c r="GJ28" s="17">
        <f t="shared" si="102"/>
        <v>0</v>
      </c>
      <c r="GK28" s="17">
        <f t="shared" si="102"/>
        <v>0</v>
      </c>
      <c r="GL28" s="17">
        <f t="shared" si="102"/>
        <v>0</v>
      </c>
      <c r="GM28" s="17">
        <f t="shared" si="102"/>
        <v>0</v>
      </c>
      <c r="GN28" s="17">
        <f t="shared" si="102"/>
        <v>0</v>
      </c>
      <c r="GO28" s="17">
        <f t="shared" si="102"/>
        <v>0</v>
      </c>
      <c r="GP28" s="17">
        <f t="shared" si="102"/>
        <v>0</v>
      </c>
      <c r="GQ28" s="17">
        <f t="shared" si="102"/>
        <v>0</v>
      </c>
      <c r="GR28" s="17">
        <f t="shared" si="102"/>
        <v>0</v>
      </c>
      <c r="GS28" s="17">
        <f t="shared" si="102"/>
        <v>0</v>
      </c>
      <c r="GT28" s="17">
        <f t="shared" si="102"/>
        <v>0</v>
      </c>
      <c r="GU28" s="17">
        <f t="shared" si="102"/>
        <v>0</v>
      </c>
      <c r="GV28" s="17">
        <f t="shared" si="102"/>
        <v>0</v>
      </c>
      <c r="GW28" s="17">
        <f t="shared" si="102"/>
        <v>0</v>
      </c>
      <c r="GX28" s="17">
        <f t="shared" si="102"/>
        <v>0</v>
      </c>
      <c r="GY28" s="17">
        <f t="shared" si="102"/>
        <v>0</v>
      </c>
      <c r="GZ28" s="17">
        <f t="shared" si="102"/>
        <v>0</v>
      </c>
      <c r="HA28" s="17">
        <f t="shared" si="102"/>
        <v>0</v>
      </c>
      <c r="HB28" s="17">
        <f t="shared" si="102"/>
        <v>0</v>
      </c>
      <c r="HC28" s="17">
        <f t="shared" si="102"/>
        <v>0</v>
      </c>
      <c r="HD28" s="17">
        <f t="shared" si="102"/>
        <v>0</v>
      </c>
      <c r="HE28" s="17">
        <f t="shared" si="102"/>
        <v>0</v>
      </c>
      <c r="HF28" s="17">
        <f t="shared" si="102"/>
        <v>0</v>
      </c>
      <c r="HG28" s="17">
        <f t="shared" si="102"/>
        <v>0</v>
      </c>
      <c r="HH28" s="17">
        <f t="shared" si="102"/>
        <v>0</v>
      </c>
      <c r="HI28" s="17">
        <f t="shared" si="102"/>
        <v>0</v>
      </c>
      <c r="HJ28" s="17">
        <f t="shared" si="102"/>
        <v>0</v>
      </c>
      <c r="HK28" s="17">
        <f t="shared" si="102"/>
        <v>0</v>
      </c>
      <c r="HL28" s="17">
        <f t="shared" si="102"/>
        <v>0</v>
      </c>
      <c r="HM28" s="17">
        <f t="shared" si="102"/>
        <v>0</v>
      </c>
      <c r="HN28" s="17">
        <f t="shared" si="102"/>
        <v>0</v>
      </c>
      <c r="HO28" s="17">
        <f t="shared" si="102"/>
        <v>0</v>
      </c>
      <c r="HP28" s="17">
        <f t="shared" si="102"/>
        <v>0</v>
      </c>
      <c r="HQ28" s="17">
        <f t="shared" si="102"/>
        <v>0</v>
      </c>
      <c r="HR28" s="17">
        <f t="shared" si="102"/>
        <v>0</v>
      </c>
      <c r="HS28" s="17">
        <f t="shared" si="102"/>
        <v>0</v>
      </c>
      <c r="HT28" s="17">
        <f t="shared" si="102"/>
        <v>0</v>
      </c>
      <c r="HU28" s="17">
        <f t="shared" si="102"/>
        <v>0</v>
      </c>
      <c r="HV28" s="17">
        <f t="shared" si="102"/>
        <v>0</v>
      </c>
      <c r="HW28" s="17">
        <f t="shared" si="102"/>
        <v>0</v>
      </c>
      <c r="HX28" s="17">
        <f t="shared" si="102"/>
        <v>0</v>
      </c>
      <c r="HY28" s="17">
        <f t="shared" si="102"/>
        <v>0</v>
      </c>
      <c r="HZ28" s="17">
        <f t="shared" si="102"/>
        <v>0</v>
      </c>
      <c r="IA28" s="17">
        <f t="shared" si="102"/>
        <v>0</v>
      </c>
      <c r="IB28" s="17">
        <f t="shared" si="102"/>
        <v>0</v>
      </c>
      <c r="IC28" s="17">
        <f t="shared" ref="IC28:IH28" si="112">IF(IC58=FALSE,IC18+IC12,IB28)</f>
        <v>0</v>
      </c>
      <c r="ID28" s="17">
        <f t="shared" si="112"/>
        <v>0</v>
      </c>
      <c r="IE28" s="17">
        <f t="shared" si="112"/>
        <v>0</v>
      </c>
      <c r="IF28" s="17">
        <f t="shared" si="112"/>
        <v>0</v>
      </c>
      <c r="IG28" s="17">
        <f t="shared" si="112"/>
        <v>0</v>
      </c>
      <c r="IH28" s="17">
        <f t="shared" si="112"/>
        <v>0</v>
      </c>
      <c r="II28" s="17"/>
      <c r="IJ28" s="17">
        <f t="shared" ref="IJ28:KK28" si="113">IF(IJ58=FALSE,IJ18+IJ12,II28)</f>
        <v>700</v>
      </c>
      <c r="IK28" s="17">
        <f t="shared" si="113"/>
        <v>700</v>
      </c>
      <c r="IL28" s="17">
        <f t="shared" si="113"/>
        <v>700</v>
      </c>
      <c r="IM28" s="39">
        <f t="shared" si="113"/>
        <v>700</v>
      </c>
      <c r="IN28" s="39">
        <f t="shared" si="113"/>
        <v>701</v>
      </c>
      <c r="IO28" s="39">
        <f t="shared" si="113"/>
        <v>559.9</v>
      </c>
      <c r="IP28" s="17">
        <f t="shared" si="113"/>
        <v>559.9</v>
      </c>
      <c r="IQ28" s="17">
        <f t="shared" ref="IQ28" si="114">IF(IQ58=FALSE,IQ18+IQ12,IP28)</f>
        <v>559.9</v>
      </c>
      <c r="IR28" s="17">
        <f t="shared" ref="IR28" si="115">IF(IR58=FALSE,IR18+IR12,IQ28)</f>
        <v>559.9</v>
      </c>
      <c r="IS28" s="17">
        <f t="shared" ref="IS28" si="116">IF(IS58=FALSE,IS18+IS12,IR28)</f>
        <v>559.9</v>
      </c>
      <c r="IT28" s="17">
        <f t="shared" ref="IT28" si="117">IF(IT58=FALSE,IT18+IT12,IS28)</f>
        <v>656</v>
      </c>
      <c r="IU28" s="17">
        <f t="shared" si="113"/>
        <v>656</v>
      </c>
      <c r="IV28" s="17">
        <f t="shared" si="113"/>
        <v>700</v>
      </c>
      <c r="IW28" s="17">
        <f t="shared" si="113"/>
        <v>705</v>
      </c>
      <c r="IX28" s="17">
        <f t="shared" si="113"/>
        <v>700</v>
      </c>
      <c r="IY28" s="17">
        <f t="shared" si="113"/>
        <v>700</v>
      </c>
      <c r="IZ28" s="17">
        <f t="shared" si="113"/>
        <v>700</v>
      </c>
      <c r="JA28" s="17">
        <f t="shared" si="113"/>
        <v>700</v>
      </c>
      <c r="JB28" s="17">
        <f t="shared" si="113"/>
        <v>700</v>
      </c>
      <c r="JC28" s="17">
        <f t="shared" si="113"/>
        <v>700</v>
      </c>
      <c r="JD28" s="17">
        <f t="shared" si="113"/>
        <v>700</v>
      </c>
      <c r="JE28" s="17">
        <f t="shared" si="113"/>
        <v>700</v>
      </c>
      <c r="JF28" s="17">
        <f t="shared" si="113"/>
        <v>700</v>
      </c>
      <c r="JG28" s="17">
        <f t="shared" si="113"/>
        <v>700</v>
      </c>
      <c r="JH28" s="17">
        <f t="shared" si="113"/>
        <v>700</v>
      </c>
      <c r="JI28" s="17">
        <f t="shared" si="113"/>
        <v>700</v>
      </c>
      <c r="JJ28" s="17">
        <f t="shared" si="113"/>
        <v>700</v>
      </c>
      <c r="JK28" s="17">
        <f t="shared" si="113"/>
        <v>700</v>
      </c>
      <c r="JL28" s="17">
        <f t="shared" si="113"/>
        <v>700</v>
      </c>
      <c r="JM28" s="17">
        <f t="shared" si="113"/>
        <v>700</v>
      </c>
      <c r="JN28" s="17">
        <f t="shared" si="113"/>
        <v>700</v>
      </c>
      <c r="JO28" s="17">
        <f t="shared" si="113"/>
        <v>700</v>
      </c>
      <c r="JP28" s="17">
        <f t="shared" si="113"/>
        <v>700</v>
      </c>
      <c r="JQ28" s="17">
        <f t="shared" si="113"/>
        <v>700</v>
      </c>
      <c r="JR28" s="17">
        <f t="shared" si="113"/>
        <v>700</v>
      </c>
      <c r="JS28" s="17">
        <f t="shared" si="113"/>
        <v>700</v>
      </c>
      <c r="JT28" s="17">
        <f t="shared" si="113"/>
        <v>700</v>
      </c>
      <c r="JU28" s="17">
        <f t="shared" si="113"/>
        <v>700</v>
      </c>
      <c r="JV28" s="17">
        <f t="shared" si="113"/>
        <v>700</v>
      </c>
      <c r="JW28" s="17">
        <f t="shared" si="113"/>
        <v>700</v>
      </c>
      <c r="JX28" s="17">
        <f t="shared" si="113"/>
        <v>700</v>
      </c>
      <c r="JY28" s="17">
        <f t="shared" si="113"/>
        <v>700</v>
      </c>
      <c r="JZ28" s="17">
        <f t="shared" si="113"/>
        <v>700</v>
      </c>
      <c r="KA28" s="17">
        <f t="shared" si="113"/>
        <v>700</v>
      </c>
      <c r="KB28" s="17">
        <f t="shared" si="113"/>
        <v>700</v>
      </c>
      <c r="KC28" s="17">
        <f t="shared" si="113"/>
        <v>700</v>
      </c>
      <c r="KD28" s="17">
        <f t="shared" si="113"/>
        <v>700</v>
      </c>
      <c r="KE28" s="17">
        <f t="shared" si="113"/>
        <v>700</v>
      </c>
      <c r="KF28" s="17">
        <f t="shared" si="113"/>
        <v>700</v>
      </c>
      <c r="KG28" s="17">
        <f t="shared" si="113"/>
        <v>700</v>
      </c>
      <c r="KH28" s="17">
        <f t="shared" si="113"/>
        <v>700</v>
      </c>
      <c r="KI28" s="17">
        <f t="shared" si="113"/>
        <v>700</v>
      </c>
      <c r="KJ28" s="17">
        <f t="shared" si="113"/>
        <v>700</v>
      </c>
      <c r="KK28" s="17">
        <f t="shared" si="113"/>
        <v>700</v>
      </c>
      <c r="KL28" s="17">
        <f t="shared" ref="KL28:ML28" si="118">IF(KL58=FALSE,KL18+KL12,KK28)</f>
        <v>700</v>
      </c>
      <c r="KM28" s="17">
        <f t="shared" si="118"/>
        <v>700</v>
      </c>
      <c r="KN28" s="17">
        <f t="shared" si="118"/>
        <v>700</v>
      </c>
      <c r="KO28" s="17">
        <f t="shared" si="118"/>
        <v>700</v>
      </c>
      <c r="KP28" s="17">
        <f t="shared" si="118"/>
        <v>700</v>
      </c>
      <c r="KQ28" s="17">
        <f t="shared" si="118"/>
        <v>700</v>
      </c>
      <c r="KR28" s="17">
        <f t="shared" si="118"/>
        <v>700</v>
      </c>
      <c r="KS28" s="17">
        <f t="shared" si="118"/>
        <v>700</v>
      </c>
      <c r="KT28" s="17">
        <f t="shared" si="118"/>
        <v>700</v>
      </c>
      <c r="KU28" s="17">
        <f t="shared" si="118"/>
        <v>700</v>
      </c>
      <c r="KV28" s="17">
        <f t="shared" si="118"/>
        <v>700</v>
      </c>
      <c r="KW28" s="17">
        <f t="shared" si="118"/>
        <v>700</v>
      </c>
      <c r="KX28" s="17">
        <f t="shared" si="118"/>
        <v>700</v>
      </c>
      <c r="KY28" s="17">
        <f t="shared" si="118"/>
        <v>700</v>
      </c>
      <c r="KZ28" s="17">
        <f t="shared" si="118"/>
        <v>700</v>
      </c>
      <c r="LA28" s="17">
        <f t="shared" si="118"/>
        <v>700</v>
      </c>
      <c r="LB28" s="17">
        <f t="shared" si="118"/>
        <v>700</v>
      </c>
      <c r="LC28" s="17">
        <f t="shared" si="118"/>
        <v>700</v>
      </c>
      <c r="LD28" s="17">
        <f t="shared" si="118"/>
        <v>700</v>
      </c>
      <c r="LE28" s="17">
        <f t="shared" si="118"/>
        <v>700</v>
      </c>
      <c r="LF28" s="17">
        <f t="shared" si="118"/>
        <v>700</v>
      </c>
      <c r="LG28" s="17">
        <f t="shared" si="118"/>
        <v>700</v>
      </c>
      <c r="LH28" s="17">
        <f t="shared" si="118"/>
        <v>700</v>
      </c>
      <c r="LI28" s="17">
        <f t="shared" si="118"/>
        <v>700</v>
      </c>
      <c r="LJ28" s="17">
        <f t="shared" si="118"/>
        <v>700</v>
      </c>
      <c r="LK28" s="17">
        <f t="shared" si="118"/>
        <v>700</v>
      </c>
      <c r="LL28" s="17">
        <f t="shared" si="118"/>
        <v>700</v>
      </c>
      <c r="LM28" s="17">
        <f t="shared" si="118"/>
        <v>700</v>
      </c>
      <c r="LN28" s="17">
        <f t="shared" si="118"/>
        <v>700</v>
      </c>
      <c r="LO28" s="17">
        <f t="shared" si="118"/>
        <v>700</v>
      </c>
      <c r="LP28" s="17">
        <f t="shared" si="118"/>
        <v>700</v>
      </c>
      <c r="LQ28" s="17">
        <f t="shared" si="118"/>
        <v>700</v>
      </c>
      <c r="LR28" s="17">
        <f t="shared" si="118"/>
        <v>700</v>
      </c>
      <c r="LS28" s="17">
        <f t="shared" si="118"/>
        <v>700</v>
      </c>
      <c r="LT28" s="17">
        <f t="shared" si="118"/>
        <v>700</v>
      </c>
      <c r="LU28" s="17">
        <f t="shared" si="118"/>
        <v>700</v>
      </c>
      <c r="LV28" s="17">
        <f t="shared" si="118"/>
        <v>700</v>
      </c>
      <c r="LW28" s="17">
        <f t="shared" si="118"/>
        <v>700</v>
      </c>
      <c r="LX28" s="17">
        <f t="shared" si="118"/>
        <v>700</v>
      </c>
      <c r="LY28" s="17">
        <f t="shared" si="118"/>
        <v>700</v>
      </c>
      <c r="LZ28" s="17">
        <f t="shared" si="118"/>
        <v>700</v>
      </c>
      <c r="MA28" s="17">
        <f t="shared" si="118"/>
        <v>700</v>
      </c>
      <c r="MB28" s="17">
        <f t="shared" si="118"/>
        <v>700</v>
      </c>
      <c r="MC28" s="17">
        <f t="shared" si="118"/>
        <v>700</v>
      </c>
      <c r="MD28" s="17">
        <f t="shared" si="118"/>
        <v>700</v>
      </c>
      <c r="ME28" s="17">
        <f t="shared" si="118"/>
        <v>700</v>
      </c>
      <c r="MF28" s="17">
        <f t="shared" si="118"/>
        <v>700</v>
      </c>
      <c r="MG28" s="17">
        <f t="shared" si="118"/>
        <v>700</v>
      </c>
      <c r="MH28" s="17">
        <f t="shared" si="118"/>
        <v>700</v>
      </c>
      <c r="MI28" s="17">
        <f t="shared" si="118"/>
        <v>700</v>
      </c>
      <c r="MJ28" s="17">
        <f t="shared" si="118"/>
        <v>700</v>
      </c>
      <c r="MK28" s="17">
        <f t="shared" si="118"/>
        <v>700</v>
      </c>
      <c r="ML28" s="17">
        <f t="shared" si="118"/>
        <v>700</v>
      </c>
      <c r="MM28" s="17"/>
      <c r="MN28" s="17"/>
    </row>
    <row r="29" spans="1:352" ht="23.25" customHeight="1" x14ac:dyDescent="0.25">
      <c r="A29" s="8" t="s">
        <v>3</v>
      </c>
      <c r="B29" s="9" t="s">
        <v>37</v>
      </c>
      <c r="C29" s="17"/>
      <c r="D29" s="17">
        <f t="shared" ref="D29:DG29" si="119">IF(D58=FALSE,D19,D15)</f>
        <v>250</v>
      </c>
      <c r="E29" s="17">
        <f t="shared" si="119"/>
        <v>235</v>
      </c>
      <c r="F29" s="17">
        <f t="shared" si="119"/>
        <v>235</v>
      </c>
      <c r="G29" s="17">
        <f t="shared" si="119"/>
        <v>235</v>
      </c>
      <c r="H29" s="17">
        <f t="shared" si="119"/>
        <v>-250</v>
      </c>
      <c r="I29" s="17">
        <f t="shared" si="119"/>
        <v>-250</v>
      </c>
      <c r="J29" s="17">
        <f t="shared" si="119"/>
        <v>-250</v>
      </c>
      <c r="K29" s="17">
        <f t="shared" si="119"/>
        <v>0</v>
      </c>
      <c r="L29" s="17">
        <f>IF(L58=FALSE,L19,L15)</f>
        <v>235</v>
      </c>
      <c r="M29" s="17">
        <f t="shared" si="119"/>
        <v>235</v>
      </c>
      <c r="N29" s="17">
        <f t="shared" si="119"/>
        <v>235</v>
      </c>
      <c r="O29" s="17">
        <f t="shared" si="119"/>
        <v>125</v>
      </c>
      <c r="P29" s="17">
        <f>IF(P58=FALSE,P19,P15)</f>
        <v>125</v>
      </c>
      <c r="Q29" s="17">
        <f t="shared" ref="Q29:W29" si="120">IF(Q58=FALSE,Q19,Q15)</f>
        <v>125</v>
      </c>
      <c r="R29" s="17">
        <f t="shared" si="120"/>
        <v>235</v>
      </c>
      <c r="S29" s="17">
        <f t="shared" si="120"/>
        <v>235</v>
      </c>
      <c r="T29" s="17">
        <f t="shared" si="120"/>
        <v>235</v>
      </c>
      <c r="U29" s="17">
        <f t="shared" si="120"/>
        <v>-250</v>
      </c>
      <c r="V29" s="17">
        <f t="shared" si="120"/>
        <v>-250</v>
      </c>
      <c r="W29" s="17">
        <f t="shared" si="120"/>
        <v>-250</v>
      </c>
      <c r="X29" s="17">
        <f>IF(X58=FALSE,X19,X15)</f>
        <v>235</v>
      </c>
      <c r="Y29" s="17">
        <f t="shared" ref="Y29:Z29" si="121">IF(Y58=FALSE,Y19,Y15)</f>
        <v>235</v>
      </c>
      <c r="Z29" s="17">
        <f t="shared" si="121"/>
        <v>235</v>
      </c>
      <c r="AA29" s="17">
        <f>IF(AA58=FALSE,AA19,AA15)</f>
        <v>0</v>
      </c>
      <c r="AB29" s="17">
        <f>IF(AB58=FALSE,AB19,AB15)</f>
        <v>0</v>
      </c>
      <c r="AC29" s="17">
        <f>IF(AC58=FALSE,AC19,AC15)</f>
        <v>0</v>
      </c>
      <c r="AD29" s="17">
        <f t="shared" ref="AD29:AI29" si="122">IF(AD58=FALSE,AD19,AD15)</f>
        <v>235</v>
      </c>
      <c r="AE29" s="17">
        <f t="shared" si="122"/>
        <v>235</v>
      </c>
      <c r="AF29" s="17">
        <f t="shared" si="122"/>
        <v>235</v>
      </c>
      <c r="AG29" s="17">
        <f t="shared" si="122"/>
        <v>1</v>
      </c>
      <c r="AH29" s="17">
        <f t="shared" si="122"/>
        <v>1</v>
      </c>
      <c r="AI29" s="17">
        <f t="shared" si="122"/>
        <v>1</v>
      </c>
      <c r="AJ29" s="17">
        <f>IF(AJ58=FALSE,AJ19,AJ15)</f>
        <v>235</v>
      </c>
      <c r="AK29" s="17">
        <f t="shared" ref="AK29:AM29" si="123">IF(AK58=FALSE,AK19,AK15)</f>
        <v>235</v>
      </c>
      <c r="AL29" s="17">
        <f t="shared" si="123"/>
        <v>235</v>
      </c>
      <c r="AM29" s="17">
        <f t="shared" si="123"/>
        <v>-1</v>
      </c>
      <c r="AN29" s="17">
        <f>IF(AN58=FALSE,AN19,AN15)</f>
        <v>-1</v>
      </c>
      <c r="AO29" s="17">
        <f t="shared" ref="AO29:AU29" si="124">IF(AO58=FALSE,AO19,AO15)</f>
        <v>-1</v>
      </c>
      <c r="AP29" s="17">
        <f>IF(AP58=FALSE,AP19,AP15)</f>
        <v>235</v>
      </c>
      <c r="AQ29" s="17">
        <f>IF(AQ58=FALSE,AQ19,AQ15)</f>
        <v>235</v>
      </c>
      <c r="AR29" s="17">
        <f>IF(AR58=FALSE,AR19,AR15)</f>
        <v>235</v>
      </c>
      <c r="AS29" s="17">
        <f t="shared" si="124"/>
        <v>0</v>
      </c>
      <c r="AT29" s="17">
        <f t="shared" si="124"/>
        <v>0</v>
      </c>
      <c r="AU29" s="17">
        <f t="shared" si="124"/>
        <v>0</v>
      </c>
      <c r="AV29" s="17">
        <f>IF(AV58=FALSE,AV19,AV15)</f>
        <v>235</v>
      </c>
      <c r="AW29" s="17">
        <f t="shared" ref="AW29:AY29" si="125">IF(AW58=FALSE,AW19,AW15)</f>
        <v>235</v>
      </c>
      <c r="AX29" s="17">
        <f t="shared" si="125"/>
        <v>235</v>
      </c>
      <c r="AY29" s="17">
        <f t="shared" si="125"/>
        <v>125</v>
      </c>
      <c r="AZ29" s="17">
        <f>IF(AZ58=FALSE,AZ19,AZ15)</f>
        <v>125</v>
      </c>
      <c r="BA29" s="17">
        <f t="shared" ref="BA29" si="126">IF(BA58=FALSE,BA19,BA15)</f>
        <v>125</v>
      </c>
      <c r="BB29" s="17">
        <f>IF(BB58=FALSE,BB19,BB15)</f>
        <v>235</v>
      </c>
      <c r="BC29" s="17">
        <f>IF(BC58=FALSE,BC19,BC15)</f>
        <v>235</v>
      </c>
      <c r="BD29" s="17">
        <f>IF(BD58=FALSE,BD19,BD15)</f>
        <v>235</v>
      </c>
      <c r="BE29" s="17">
        <f t="shared" ref="BE29:BG29" si="127">IF(BE58=FALSE,BE19,BE15)</f>
        <v>0</v>
      </c>
      <c r="BF29" s="17">
        <f t="shared" si="127"/>
        <v>0</v>
      </c>
      <c r="BG29" s="17">
        <f t="shared" si="127"/>
        <v>0</v>
      </c>
      <c r="BH29" s="17">
        <f>IF(BH58=FALSE,BH19,BH15)</f>
        <v>235</v>
      </c>
      <c r="BI29" s="17">
        <f t="shared" ref="BI29:BK29" si="128">IF(BI58=FALSE,BI19,BI15)</f>
        <v>235</v>
      </c>
      <c r="BJ29" s="17">
        <f t="shared" si="128"/>
        <v>235</v>
      </c>
      <c r="BK29" s="17">
        <f t="shared" si="128"/>
        <v>125</v>
      </c>
      <c r="BL29" s="17">
        <f>IF(BL58=FALSE,BL19,BL15)</f>
        <v>125</v>
      </c>
      <c r="BM29" s="17">
        <f t="shared" ref="BM29" si="129">IF(BM58=FALSE,BM19,BM15)</f>
        <v>125</v>
      </c>
      <c r="BN29" s="17">
        <f t="shared" si="119"/>
        <v>235</v>
      </c>
      <c r="BO29" s="17">
        <f t="shared" si="119"/>
        <v>235</v>
      </c>
      <c r="BP29" s="17">
        <f t="shared" si="119"/>
        <v>235</v>
      </c>
      <c r="BQ29" s="17">
        <v>235</v>
      </c>
      <c r="BR29" s="17">
        <v>235</v>
      </c>
      <c r="BS29" s="17">
        <v>235</v>
      </c>
      <c r="BT29" s="17">
        <f t="shared" si="119"/>
        <v>14</v>
      </c>
      <c r="BU29" s="17">
        <f t="shared" si="119"/>
        <v>14</v>
      </c>
      <c r="BV29" s="17">
        <f t="shared" si="119"/>
        <v>14</v>
      </c>
      <c r="BW29" s="39">
        <f t="shared" si="119"/>
        <v>14</v>
      </c>
      <c r="BX29" s="17">
        <f t="shared" si="119"/>
        <v>14</v>
      </c>
      <c r="BY29" s="17">
        <f t="shared" si="119"/>
        <v>14</v>
      </c>
      <c r="BZ29" s="17">
        <f t="shared" si="119"/>
        <v>14</v>
      </c>
      <c r="CA29" s="17">
        <f t="shared" si="119"/>
        <v>17</v>
      </c>
      <c r="CB29" s="17">
        <f t="shared" si="119"/>
        <v>-156</v>
      </c>
      <c r="CC29" s="17">
        <f t="shared" si="119"/>
        <v>235</v>
      </c>
      <c r="CD29" s="17">
        <f t="shared" si="119"/>
        <v>235</v>
      </c>
      <c r="CE29" s="17">
        <f t="shared" si="119"/>
        <v>235</v>
      </c>
      <c r="CF29" s="57">
        <f t="shared" si="119"/>
        <v>235</v>
      </c>
      <c r="CG29" s="57">
        <f t="shared" si="119"/>
        <v>235</v>
      </c>
      <c r="CH29" s="57">
        <f t="shared" si="119"/>
        <v>235</v>
      </c>
      <c r="CI29" s="57">
        <f t="shared" si="119"/>
        <v>235</v>
      </c>
      <c r="CJ29" s="57">
        <f t="shared" si="119"/>
        <v>235</v>
      </c>
      <c r="CK29" s="57">
        <f t="shared" si="119"/>
        <v>235</v>
      </c>
      <c r="CL29" s="57">
        <f t="shared" si="119"/>
        <v>235</v>
      </c>
      <c r="CM29" s="57">
        <f t="shared" si="119"/>
        <v>235</v>
      </c>
      <c r="CN29" s="57">
        <f t="shared" si="119"/>
        <v>235</v>
      </c>
      <c r="CO29" s="57">
        <f t="shared" si="119"/>
        <v>235</v>
      </c>
      <c r="CP29" s="57">
        <f t="shared" si="119"/>
        <v>235</v>
      </c>
      <c r="CQ29" s="57">
        <f t="shared" si="119"/>
        <v>235</v>
      </c>
      <c r="CR29" s="57">
        <f t="shared" si="119"/>
        <v>235</v>
      </c>
      <c r="CS29" s="57">
        <f t="shared" si="119"/>
        <v>235</v>
      </c>
      <c r="CT29" s="57">
        <f t="shared" si="119"/>
        <v>235</v>
      </c>
      <c r="CU29" s="57">
        <f t="shared" si="119"/>
        <v>235</v>
      </c>
      <c r="CV29" s="57">
        <f t="shared" si="119"/>
        <v>235</v>
      </c>
      <c r="CW29" s="57">
        <f t="shared" si="119"/>
        <v>235</v>
      </c>
      <c r="CX29" s="57">
        <f t="shared" si="119"/>
        <v>235</v>
      </c>
      <c r="CY29" s="57">
        <f t="shared" si="119"/>
        <v>235</v>
      </c>
      <c r="CZ29" s="57">
        <f t="shared" si="119"/>
        <v>235</v>
      </c>
      <c r="DA29" s="57">
        <f t="shared" si="119"/>
        <v>235</v>
      </c>
      <c r="DB29" s="57">
        <f t="shared" si="119"/>
        <v>235</v>
      </c>
      <c r="DC29" s="57">
        <f t="shared" si="119"/>
        <v>235</v>
      </c>
      <c r="DD29" s="57">
        <f t="shared" si="119"/>
        <v>235</v>
      </c>
      <c r="DE29" s="57">
        <f t="shared" si="119"/>
        <v>235</v>
      </c>
      <c r="DF29" s="57">
        <f t="shared" si="119"/>
        <v>235</v>
      </c>
      <c r="DG29" s="57">
        <f t="shared" si="119"/>
        <v>235</v>
      </c>
      <c r="DH29" s="57">
        <f t="shared" ref="DH29:FO29" si="130">IF(DH58=FALSE,DH19,DH15)</f>
        <v>235</v>
      </c>
      <c r="DI29" s="57">
        <f t="shared" si="130"/>
        <v>235</v>
      </c>
      <c r="DJ29" s="57">
        <f t="shared" si="130"/>
        <v>235</v>
      </c>
      <c r="DK29" s="57">
        <f t="shared" si="130"/>
        <v>235</v>
      </c>
      <c r="DL29" s="57">
        <f t="shared" si="130"/>
        <v>235</v>
      </c>
      <c r="DM29" s="57">
        <f t="shared" si="130"/>
        <v>235</v>
      </c>
      <c r="DN29" s="57">
        <f t="shared" si="130"/>
        <v>235</v>
      </c>
      <c r="DO29" s="57">
        <f t="shared" si="130"/>
        <v>235</v>
      </c>
      <c r="DP29" s="57">
        <f t="shared" si="130"/>
        <v>235</v>
      </c>
      <c r="DQ29" s="57">
        <f t="shared" si="130"/>
        <v>235</v>
      </c>
      <c r="DR29" s="57">
        <f t="shared" si="130"/>
        <v>235</v>
      </c>
      <c r="DS29" s="57">
        <f t="shared" si="130"/>
        <v>235</v>
      </c>
      <c r="DT29" s="57">
        <f t="shared" si="130"/>
        <v>235</v>
      </c>
      <c r="DU29" s="57">
        <f t="shared" si="130"/>
        <v>235</v>
      </c>
      <c r="DV29" s="57">
        <f t="shared" si="130"/>
        <v>235</v>
      </c>
      <c r="DW29" s="57">
        <f t="shared" si="130"/>
        <v>235</v>
      </c>
      <c r="DX29" s="57">
        <f t="shared" si="130"/>
        <v>235</v>
      </c>
      <c r="DY29" s="57">
        <f t="shared" si="130"/>
        <v>235</v>
      </c>
      <c r="DZ29" s="57">
        <f t="shared" si="130"/>
        <v>235</v>
      </c>
      <c r="EA29" s="57">
        <f t="shared" si="130"/>
        <v>235</v>
      </c>
      <c r="EB29" s="57">
        <f t="shared" si="130"/>
        <v>235</v>
      </c>
      <c r="EC29" s="57">
        <f t="shared" si="130"/>
        <v>235</v>
      </c>
      <c r="ED29" s="57">
        <f t="shared" si="130"/>
        <v>235</v>
      </c>
      <c r="EE29" s="57">
        <f t="shared" si="130"/>
        <v>235</v>
      </c>
      <c r="EF29" s="57">
        <f t="shared" si="130"/>
        <v>235</v>
      </c>
      <c r="EG29" s="57">
        <f t="shared" si="130"/>
        <v>235</v>
      </c>
      <c r="EH29" s="57">
        <f t="shared" si="130"/>
        <v>235</v>
      </c>
      <c r="EI29" s="57">
        <f t="shared" si="130"/>
        <v>235</v>
      </c>
      <c r="EJ29" s="57">
        <f t="shared" si="130"/>
        <v>235</v>
      </c>
      <c r="EK29" s="57">
        <f t="shared" si="130"/>
        <v>235</v>
      </c>
      <c r="EL29" s="57">
        <f t="shared" si="130"/>
        <v>235</v>
      </c>
      <c r="EM29" s="57">
        <f t="shared" si="130"/>
        <v>235</v>
      </c>
      <c r="EN29" s="57">
        <f t="shared" si="130"/>
        <v>235</v>
      </c>
      <c r="EO29" s="57">
        <f t="shared" si="130"/>
        <v>235</v>
      </c>
      <c r="EP29" s="57">
        <f t="shared" si="130"/>
        <v>235</v>
      </c>
      <c r="EQ29" s="57">
        <f t="shared" si="130"/>
        <v>235</v>
      </c>
      <c r="ER29" s="57">
        <f t="shared" si="130"/>
        <v>235</v>
      </c>
      <c r="ES29" s="57">
        <f t="shared" si="130"/>
        <v>235</v>
      </c>
      <c r="ET29" s="57">
        <f t="shared" si="130"/>
        <v>235</v>
      </c>
      <c r="EU29" s="57">
        <f t="shared" si="130"/>
        <v>235</v>
      </c>
      <c r="EV29" s="57">
        <f t="shared" si="130"/>
        <v>235</v>
      </c>
      <c r="EW29" s="57">
        <f t="shared" si="130"/>
        <v>235</v>
      </c>
      <c r="EX29" s="57">
        <f t="shared" si="130"/>
        <v>235</v>
      </c>
      <c r="EY29" s="57">
        <f t="shared" si="130"/>
        <v>235</v>
      </c>
      <c r="EZ29" s="57">
        <f t="shared" si="130"/>
        <v>235</v>
      </c>
      <c r="FA29" s="57">
        <f t="shared" si="130"/>
        <v>235</v>
      </c>
      <c r="FB29" s="57">
        <f t="shared" si="130"/>
        <v>235</v>
      </c>
      <c r="FC29" s="57">
        <f t="shared" si="130"/>
        <v>235</v>
      </c>
      <c r="FD29" s="57">
        <f t="shared" si="130"/>
        <v>235</v>
      </c>
      <c r="FE29" s="57">
        <f t="shared" si="130"/>
        <v>235</v>
      </c>
      <c r="FF29" s="57">
        <f t="shared" si="130"/>
        <v>235</v>
      </c>
      <c r="FG29" s="57">
        <f t="shared" si="130"/>
        <v>235</v>
      </c>
      <c r="FH29" s="57">
        <f t="shared" si="130"/>
        <v>235</v>
      </c>
      <c r="FI29" s="57">
        <f t="shared" si="130"/>
        <v>235</v>
      </c>
      <c r="FJ29" s="57">
        <f t="shared" si="130"/>
        <v>235</v>
      </c>
      <c r="FK29" s="57">
        <f t="shared" si="130"/>
        <v>235</v>
      </c>
      <c r="FL29" s="57">
        <f t="shared" si="130"/>
        <v>235</v>
      </c>
      <c r="FM29" s="57">
        <f t="shared" si="130"/>
        <v>235</v>
      </c>
      <c r="FN29" s="57">
        <f t="shared" si="130"/>
        <v>235</v>
      </c>
      <c r="FO29" s="57">
        <f t="shared" si="130"/>
        <v>235</v>
      </c>
      <c r="FP29" s="17"/>
      <c r="FQ29" s="17">
        <f t="shared" ref="FQ29:IB29" si="131">IF(FQ58=FALSE,FQ19,FQ15)</f>
        <v>1</v>
      </c>
      <c r="FR29" s="17">
        <f t="shared" si="131"/>
        <v>1</v>
      </c>
      <c r="FS29" s="17">
        <v>1</v>
      </c>
      <c r="FT29" s="17">
        <f t="shared" si="131"/>
        <v>1</v>
      </c>
      <c r="FU29" s="17">
        <f t="shared" si="131"/>
        <v>1</v>
      </c>
      <c r="FV29" s="17">
        <f t="shared" si="131"/>
        <v>1</v>
      </c>
      <c r="FW29" s="17">
        <f t="shared" si="131"/>
        <v>1</v>
      </c>
      <c r="FX29" s="17">
        <f t="shared" si="131"/>
        <v>1</v>
      </c>
      <c r="FY29" s="17">
        <f t="shared" si="131"/>
        <v>1</v>
      </c>
      <c r="FZ29" s="17">
        <f t="shared" si="131"/>
        <v>1</v>
      </c>
      <c r="GA29" s="17">
        <f t="shared" si="131"/>
        <v>1</v>
      </c>
      <c r="GB29" s="17">
        <f t="shared" si="131"/>
        <v>1</v>
      </c>
      <c r="GC29" s="17">
        <f t="shared" si="131"/>
        <v>1</v>
      </c>
      <c r="GD29" s="17">
        <f t="shared" si="131"/>
        <v>1</v>
      </c>
      <c r="GE29" s="17">
        <f t="shared" si="131"/>
        <v>1</v>
      </c>
      <c r="GF29" s="17">
        <f t="shared" si="131"/>
        <v>1</v>
      </c>
      <c r="GG29" s="17">
        <f t="shared" si="131"/>
        <v>1</v>
      </c>
      <c r="GH29" s="17">
        <f t="shared" si="131"/>
        <v>1</v>
      </c>
      <c r="GI29" s="17">
        <f t="shared" si="131"/>
        <v>1</v>
      </c>
      <c r="GJ29" s="17">
        <f t="shared" si="131"/>
        <v>1</v>
      </c>
      <c r="GK29" s="17">
        <f t="shared" si="131"/>
        <v>1</v>
      </c>
      <c r="GL29" s="17">
        <f t="shared" si="131"/>
        <v>1</v>
      </c>
      <c r="GM29" s="17">
        <f t="shared" si="131"/>
        <v>1</v>
      </c>
      <c r="GN29" s="17">
        <f t="shared" si="131"/>
        <v>1</v>
      </c>
      <c r="GO29" s="17">
        <f t="shared" si="131"/>
        <v>1</v>
      </c>
      <c r="GP29" s="17">
        <f t="shared" si="131"/>
        <v>1</v>
      </c>
      <c r="GQ29" s="17">
        <f t="shared" si="131"/>
        <v>1</v>
      </c>
      <c r="GR29" s="17">
        <f t="shared" si="131"/>
        <v>1</v>
      </c>
      <c r="GS29" s="17">
        <f t="shared" si="131"/>
        <v>1</v>
      </c>
      <c r="GT29" s="17">
        <f t="shared" si="131"/>
        <v>1</v>
      </c>
      <c r="GU29" s="17">
        <f t="shared" si="131"/>
        <v>1</v>
      </c>
      <c r="GV29" s="17">
        <f t="shared" si="131"/>
        <v>1</v>
      </c>
      <c r="GW29" s="17">
        <f t="shared" si="131"/>
        <v>1</v>
      </c>
      <c r="GX29" s="17">
        <f t="shared" si="131"/>
        <v>1</v>
      </c>
      <c r="GY29" s="17">
        <f t="shared" si="131"/>
        <v>1</v>
      </c>
      <c r="GZ29" s="17">
        <f t="shared" si="131"/>
        <v>1</v>
      </c>
      <c r="HA29" s="17">
        <f t="shared" si="131"/>
        <v>1</v>
      </c>
      <c r="HB29" s="17">
        <f t="shared" si="131"/>
        <v>1</v>
      </c>
      <c r="HC29" s="17">
        <f t="shared" si="131"/>
        <v>1</v>
      </c>
      <c r="HD29" s="17">
        <f t="shared" si="131"/>
        <v>1</v>
      </c>
      <c r="HE29" s="17">
        <f t="shared" si="131"/>
        <v>1</v>
      </c>
      <c r="HF29" s="17">
        <f t="shared" si="131"/>
        <v>1</v>
      </c>
      <c r="HG29" s="17">
        <f t="shared" si="131"/>
        <v>1</v>
      </c>
      <c r="HH29" s="17">
        <f t="shared" si="131"/>
        <v>1</v>
      </c>
      <c r="HI29" s="17">
        <f t="shared" si="131"/>
        <v>1</v>
      </c>
      <c r="HJ29" s="17">
        <f t="shared" si="131"/>
        <v>1</v>
      </c>
      <c r="HK29" s="17">
        <f t="shared" si="131"/>
        <v>1</v>
      </c>
      <c r="HL29" s="17">
        <f t="shared" si="131"/>
        <v>1</v>
      </c>
      <c r="HM29" s="17">
        <f t="shared" si="131"/>
        <v>1</v>
      </c>
      <c r="HN29" s="17">
        <f t="shared" si="131"/>
        <v>1</v>
      </c>
      <c r="HO29" s="17">
        <f t="shared" si="131"/>
        <v>1</v>
      </c>
      <c r="HP29" s="17">
        <f t="shared" si="131"/>
        <v>1</v>
      </c>
      <c r="HQ29" s="17">
        <f t="shared" si="131"/>
        <v>1</v>
      </c>
      <c r="HR29" s="17">
        <f t="shared" si="131"/>
        <v>1</v>
      </c>
      <c r="HS29" s="17">
        <f t="shared" si="131"/>
        <v>1</v>
      </c>
      <c r="HT29" s="17">
        <f t="shared" si="131"/>
        <v>1</v>
      </c>
      <c r="HU29" s="17">
        <f t="shared" si="131"/>
        <v>1</v>
      </c>
      <c r="HV29" s="17">
        <f t="shared" si="131"/>
        <v>1</v>
      </c>
      <c r="HW29" s="17">
        <f t="shared" si="131"/>
        <v>1</v>
      </c>
      <c r="HX29" s="17">
        <f t="shared" si="131"/>
        <v>1</v>
      </c>
      <c r="HY29" s="17">
        <f t="shared" si="131"/>
        <v>1</v>
      </c>
      <c r="HZ29" s="17">
        <f t="shared" si="131"/>
        <v>1</v>
      </c>
      <c r="IA29" s="17">
        <f t="shared" si="131"/>
        <v>1</v>
      </c>
      <c r="IB29" s="17">
        <f t="shared" si="131"/>
        <v>1</v>
      </c>
      <c r="IC29" s="17">
        <f t="shared" ref="IC29:IH29" si="132">IF(IC58=FALSE,IC19,IC15)</f>
        <v>1</v>
      </c>
      <c r="ID29" s="17">
        <f t="shared" si="132"/>
        <v>1</v>
      </c>
      <c r="IE29" s="17">
        <f t="shared" si="132"/>
        <v>1</v>
      </c>
      <c r="IF29" s="17">
        <f t="shared" si="132"/>
        <v>1</v>
      </c>
      <c r="IG29" s="17">
        <f t="shared" si="132"/>
        <v>1</v>
      </c>
      <c r="IH29" s="17">
        <f t="shared" si="132"/>
        <v>1</v>
      </c>
      <c r="II29" s="17"/>
      <c r="IJ29" s="17">
        <f t="shared" ref="IJ29:KK29" si="133">IF(IJ58=FALSE,IJ19,IJ15)</f>
        <v>-22</v>
      </c>
      <c r="IK29" s="17">
        <f t="shared" si="133"/>
        <v>560</v>
      </c>
      <c r="IL29" s="17">
        <f t="shared" si="133"/>
        <v>560</v>
      </c>
      <c r="IM29" s="39">
        <f t="shared" si="133"/>
        <v>560</v>
      </c>
      <c r="IN29" s="39">
        <f t="shared" si="133"/>
        <v>-21</v>
      </c>
      <c r="IO29" s="39">
        <f t="shared" si="133"/>
        <v>-21</v>
      </c>
      <c r="IP29" s="17">
        <f t="shared" si="133"/>
        <v>560</v>
      </c>
      <c r="IQ29" s="17">
        <f t="shared" si="133"/>
        <v>560</v>
      </c>
      <c r="IR29" s="17">
        <f t="shared" si="133"/>
        <v>560</v>
      </c>
      <c r="IS29" s="17">
        <f t="shared" si="133"/>
        <v>560</v>
      </c>
      <c r="IT29" s="17">
        <f t="shared" si="133"/>
        <v>16</v>
      </c>
      <c r="IU29" s="17">
        <f t="shared" si="133"/>
        <v>16</v>
      </c>
      <c r="IV29" s="17">
        <f t="shared" si="133"/>
        <v>16</v>
      </c>
      <c r="IW29" s="17">
        <f t="shared" si="133"/>
        <v>16</v>
      </c>
      <c r="IX29" s="17">
        <f t="shared" si="133"/>
        <v>100</v>
      </c>
      <c r="IY29" s="17">
        <f t="shared" si="133"/>
        <v>560</v>
      </c>
      <c r="IZ29" s="17">
        <f t="shared" si="133"/>
        <v>560</v>
      </c>
      <c r="JA29" s="17">
        <f t="shared" si="133"/>
        <v>560</v>
      </c>
      <c r="JB29" s="17">
        <f t="shared" si="133"/>
        <v>560</v>
      </c>
      <c r="JC29" s="17">
        <f t="shared" si="133"/>
        <v>560</v>
      </c>
      <c r="JD29" s="17">
        <f t="shared" si="133"/>
        <v>560</v>
      </c>
      <c r="JE29" s="17">
        <f t="shared" si="133"/>
        <v>560</v>
      </c>
      <c r="JF29" s="17">
        <f t="shared" si="133"/>
        <v>560</v>
      </c>
      <c r="JG29" s="17">
        <f t="shared" si="133"/>
        <v>560</v>
      </c>
      <c r="JH29" s="17">
        <f t="shared" si="133"/>
        <v>560</v>
      </c>
      <c r="JI29" s="17">
        <f t="shared" si="133"/>
        <v>560</v>
      </c>
      <c r="JJ29" s="17">
        <f t="shared" si="133"/>
        <v>560</v>
      </c>
      <c r="JK29" s="17">
        <f t="shared" si="133"/>
        <v>560</v>
      </c>
      <c r="JL29" s="17">
        <f t="shared" si="133"/>
        <v>560</v>
      </c>
      <c r="JM29" s="17">
        <f t="shared" si="133"/>
        <v>560</v>
      </c>
      <c r="JN29" s="17">
        <f t="shared" si="133"/>
        <v>560</v>
      </c>
      <c r="JO29" s="17">
        <f t="shared" si="133"/>
        <v>560</v>
      </c>
      <c r="JP29" s="17">
        <f t="shared" si="133"/>
        <v>560</v>
      </c>
      <c r="JQ29" s="17">
        <f t="shared" si="133"/>
        <v>560</v>
      </c>
      <c r="JR29" s="17">
        <f t="shared" si="133"/>
        <v>560</v>
      </c>
      <c r="JS29" s="17">
        <f t="shared" si="133"/>
        <v>560</v>
      </c>
      <c r="JT29" s="17">
        <f t="shared" si="133"/>
        <v>560</v>
      </c>
      <c r="JU29" s="17">
        <f t="shared" si="133"/>
        <v>560</v>
      </c>
      <c r="JV29" s="17">
        <f t="shared" si="133"/>
        <v>560</v>
      </c>
      <c r="JW29" s="17">
        <f t="shared" si="133"/>
        <v>560</v>
      </c>
      <c r="JX29" s="17">
        <f t="shared" si="133"/>
        <v>560</v>
      </c>
      <c r="JY29" s="17">
        <f t="shared" si="133"/>
        <v>560</v>
      </c>
      <c r="JZ29" s="17">
        <f t="shared" si="133"/>
        <v>560</v>
      </c>
      <c r="KA29" s="17">
        <f t="shared" si="133"/>
        <v>560</v>
      </c>
      <c r="KB29" s="17">
        <f t="shared" si="133"/>
        <v>560</v>
      </c>
      <c r="KC29" s="17">
        <f t="shared" si="133"/>
        <v>560</v>
      </c>
      <c r="KD29" s="17">
        <f t="shared" si="133"/>
        <v>560</v>
      </c>
      <c r="KE29" s="17">
        <f t="shared" si="133"/>
        <v>560</v>
      </c>
      <c r="KF29" s="17">
        <f t="shared" si="133"/>
        <v>560</v>
      </c>
      <c r="KG29" s="17">
        <f t="shared" si="133"/>
        <v>560</v>
      </c>
      <c r="KH29" s="17">
        <f t="shared" si="133"/>
        <v>560</v>
      </c>
      <c r="KI29" s="17">
        <f t="shared" si="133"/>
        <v>560</v>
      </c>
      <c r="KJ29" s="17">
        <f t="shared" si="133"/>
        <v>560</v>
      </c>
      <c r="KK29" s="17">
        <f t="shared" si="133"/>
        <v>560</v>
      </c>
      <c r="KL29" s="17">
        <f t="shared" ref="KL29:ML29" si="134">IF(KL58=FALSE,KL19,KL15)</f>
        <v>560</v>
      </c>
      <c r="KM29" s="17">
        <f t="shared" si="134"/>
        <v>560</v>
      </c>
      <c r="KN29" s="17">
        <f t="shared" si="134"/>
        <v>560</v>
      </c>
      <c r="KO29" s="17">
        <f t="shared" si="134"/>
        <v>560</v>
      </c>
      <c r="KP29" s="17">
        <f t="shared" si="134"/>
        <v>560</v>
      </c>
      <c r="KQ29" s="17">
        <f t="shared" si="134"/>
        <v>560</v>
      </c>
      <c r="KR29" s="17">
        <f t="shared" si="134"/>
        <v>560</v>
      </c>
      <c r="KS29" s="17">
        <f t="shared" si="134"/>
        <v>560</v>
      </c>
      <c r="KT29" s="17">
        <f t="shared" si="134"/>
        <v>560</v>
      </c>
      <c r="KU29" s="17">
        <f t="shared" si="134"/>
        <v>560</v>
      </c>
      <c r="KV29" s="17">
        <f t="shared" si="134"/>
        <v>560</v>
      </c>
      <c r="KW29" s="17">
        <f t="shared" si="134"/>
        <v>560</v>
      </c>
      <c r="KX29" s="17">
        <f t="shared" si="134"/>
        <v>560</v>
      </c>
      <c r="KY29" s="17">
        <f t="shared" si="134"/>
        <v>560</v>
      </c>
      <c r="KZ29" s="17">
        <f t="shared" si="134"/>
        <v>560</v>
      </c>
      <c r="LA29" s="17">
        <f t="shared" si="134"/>
        <v>560</v>
      </c>
      <c r="LB29" s="17">
        <f t="shared" si="134"/>
        <v>560</v>
      </c>
      <c r="LC29" s="17">
        <f t="shared" si="134"/>
        <v>560</v>
      </c>
      <c r="LD29" s="17">
        <f t="shared" si="134"/>
        <v>560</v>
      </c>
      <c r="LE29" s="17">
        <f t="shared" si="134"/>
        <v>560</v>
      </c>
      <c r="LF29" s="17">
        <f t="shared" si="134"/>
        <v>560</v>
      </c>
      <c r="LG29" s="17">
        <f t="shared" si="134"/>
        <v>560</v>
      </c>
      <c r="LH29" s="17">
        <f t="shared" si="134"/>
        <v>560</v>
      </c>
      <c r="LI29" s="17">
        <f t="shared" si="134"/>
        <v>560</v>
      </c>
      <c r="LJ29" s="17">
        <f t="shared" si="134"/>
        <v>560</v>
      </c>
      <c r="LK29" s="17">
        <f t="shared" si="134"/>
        <v>560</v>
      </c>
      <c r="LL29" s="17">
        <f t="shared" si="134"/>
        <v>560</v>
      </c>
      <c r="LM29" s="17">
        <f t="shared" si="134"/>
        <v>560</v>
      </c>
      <c r="LN29" s="17">
        <f t="shared" si="134"/>
        <v>560</v>
      </c>
      <c r="LO29" s="17">
        <f t="shared" si="134"/>
        <v>560</v>
      </c>
      <c r="LP29" s="17">
        <f t="shared" si="134"/>
        <v>560</v>
      </c>
      <c r="LQ29" s="17">
        <f t="shared" si="134"/>
        <v>560</v>
      </c>
      <c r="LR29" s="17">
        <f t="shared" si="134"/>
        <v>560</v>
      </c>
      <c r="LS29" s="17">
        <f t="shared" si="134"/>
        <v>560</v>
      </c>
      <c r="LT29" s="17">
        <f t="shared" si="134"/>
        <v>560</v>
      </c>
      <c r="LU29" s="17">
        <f t="shared" si="134"/>
        <v>560</v>
      </c>
      <c r="LV29" s="17">
        <f t="shared" si="134"/>
        <v>560</v>
      </c>
      <c r="LW29" s="17">
        <f t="shared" si="134"/>
        <v>560</v>
      </c>
      <c r="LX29" s="17">
        <f t="shared" si="134"/>
        <v>560</v>
      </c>
      <c r="LY29" s="17">
        <f t="shared" si="134"/>
        <v>560</v>
      </c>
      <c r="LZ29" s="17">
        <f t="shared" si="134"/>
        <v>560</v>
      </c>
      <c r="MA29" s="17">
        <f t="shared" si="134"/>
        <v>560</v>
      </c>
      <c r="MB29" s="17">
        <f t="shared" si="134"/>
        <v>560</v>
      </c>
      <c r="MC29" s="17">
        <f t="shared" si="134"/>
        <v>560</v>
      </c>
      <c r="MD29" s="17">
        <f t="shared" si="134"/>
        <v>560</v>
      </c>
      <c r="ME29" s="17">
        <f t="shared" si="134"/>
        <v>560</v>
      </c>
      <c r="MF29" s="17">
        <f t="shared" si="134"/>
        <v>560</v>
      </c>
      <c r="MG29" s="17">
        <f t="shared" si="134"/>
        <v>560</v>
      </c>
      <c r="MH29" s="17">
        <f t="shared" si="134"/>
        <v>560</v>
      </c>
      <c r="MI29" s="17">
        <f t="shared" si="134"/>
        <v>560</v>
      </c>
      <c r="MJ29" s="17">
        <f t="shared" si="134"/>
        <v>560</v>
      </c>
      <c r="MK29" s="17">
        <f t="shared" si="134"/>
        <v>560</v>
      </c>
      <c r="ML29" s="17">
        <f t="shared" si="134"/>
        <v>560</v>
      </c>
      <c r="MM29" s="17"/>
      <c r="MN29" s="17"/>
    </row>
    <row r="30" spans="1:352" ht="23.25" customHeight="1" x14ac:dyDescent="0.25">
      <c r="A30" s="3" t="s">
        <v>3</v>
      </c>
      <c r="B30" s="10" t="s">
        <v>38</v>
      </c>
      <c r="C30" s="34"/>
      <c r="D30" s="34" t="s">
        <v>86</v>
      </c>
      <c r="E30" s="34" t="s">
        <v>86</v>
      </c>
      <c r="F30" s="34" t="s">
        <v>86</v>
      </c>
      <c r="G30" s="34" t="s">
        <v>87</v>
      </c>
      <c r="H30" s="34" t="s">
        <v>87</v>
      </c>
      <c r="I30" s="34" t="s">
        <v>87</v>
      </c>
      <c r="J30" s="34" t="s">
        <v>86</v>
      </c>
      <c r="K30" s="34" t="s">
        <v>86</v>
      </c>
      <c r="L30" s="34" t="s">
        <v>86</v>
      </c>
      <c r="M30" s="34" t="s">
        <v>86</v>
      </c>
      <c r="N30" s="34" t="s">
        <v>87</v>
      </c>
      <c r="O30" s="34" t="s">
        <v>87</v>
      </c>
      <c r="P30" s="34" t="s">
        <v>87</v>
      </c>
      <c r="Q30" s="34" t="s">
        <v>86</v>
      </c>
      <c r="R30" s="34" t="s">
        <v>86</v>
      </c>
      <c r="S30" s="34" t="s">
        <v>86</v>
      </c>
      <c r="T30" s="34" t="s">
        <v>87</v>
      </c>
      <c r="U30" s="34" t="s">
        <v>87</v>
      </c>
      <c r="V30" s="34" t="s">
        <v>87</v>
      </c>
      <c r="W30" s="34" t="s">
        <v>86</v>
      </c>
      <c r="X30" s="34" t="s">
        <v>86</v>
      </c>
      <c r="Y30" s="34" t="s">
        <v>86</v>
      </c>
      <c r="Z30" s="34" t="s">
        <v>87</v>
      </c>
      <c r="AA30" s="34" t="s">
        <v>87</v>
      </c>
      <c r="AB30" s="34" t="s">
        <v>87</v>
      </c>
      <c r="AC30" s="34" t="s">
        <v>86</v>
      </c>
      <c r="AD30" s="34" t="s">
        <v>86</v>
      </c>
      <c r="AE30" s="34" t="s">
        <v>86</v>
      </c>
      <c r="AF30" s="34" t="s">
        <v>87</v>
      </c>
      <c r="AG30" s="34" t="s">
        <v>87</v>
      </c>
      <c r="AH30" s="34" t="s">
        <v>87</v>
      </c>
      <c r="AI30" s="34" t="s">
        <v>86</v>
      </c>
      <c r="AJ30" s="34" t="s">
        <v>86</v>
      </c>
      <c r="AK30" s="34" t="s">
        <v>86</v>
      </c>
      <c r="AL30" s="34" t="s">
        <v>87</v>
      </c>
      <c r="AM30" s="34" t="s">
        <v>87</v>
      </c>
      <c r="AN30" s="34" t="s">
        <v>87</v>
      </c>
      <c r="AO30" s="34" t="s">
        <v>86</v>
      </c>
      <c r="AP30" s="34" t="s">
        <v>86</v>
      </c>
      <c r="AQ30" s="34" t="s">
        <v>86</v>
      </c>
      <c r="AR30" s="34" t="s">
        <v>87</v>
      </c>
      <c r="AS30" s="34" t="s">
        <v>87</v>
      </c>
      <c r="AT30" s="34" t="s">
        <v>87</v>
      </c>
      <c r="AU30" s="34" t="s">
        <v>86</v>
      </c>
      <c r="AV30" s="34" t="s">
        <v>86</v>
      </c>
      <c r="AW30" s="34" t="s">
        <v>86</v>
      </c>
      <c r="AX30" s="34" t="s">
        <v>87</v>
      </c>
      <c r="AY30" s="34" t="s">
        <v>87</v>
      </c>
      <c r="AZ30" s="34" t="s">
        <v>87</v>
      </c>
      <c r="BA30" s="34" t="s">
        <v>86</v>
      </c>
      <c r="BB30" s="34" t="s">
        <v>86</v>
      </c>
      <c r="BC30" s="34" t="s">
        <v>86</v>
      </c>
      <c r="BD30" s="34" t="s">
        <v>87</v>
      </c>
      <c r="BE30" s="34" t="s">
        <v>87</v>
      </c>
      <c r="BF30" s="34" t="s">
        <v>87</v>
      </c>
      <c r="BG30" s="34" t="s">
        <v>86</v>
      </c>
      <c r="BH30" s="34" t="s">
        <v>86</v>
      </c>
      <c r="BI30" s="34" t="s">
        <v>86</v>
      </c>
      <c r="BJ30" s="34" t="s">
        <v>87</v>
      </c>
      <c r="BK30" s="34" t="s">
        <v>87</v>
      </c>
      <c r="BL30" s="34" t="s">
        <v>87</v>
      </c>
      <c r="BM30" s="34" t="s">
        <v>86</v>
      </c>
      <c r="BN30" s="10" t="s">
        <v>86</v>
      </c>
      <c r="BO30" s="10" t="s">
        <v>86</v>
      </c>
      <c r="BP30" s="10" t="s">
        <v>86</v>
      </c>
      <c r="BQ30" s="10" t="s">
        <v>87</v>
      </c>
      <c r="BR30" s="10" t="s">
        <v>87</v>
      </c>
      <c r="BS30" s="10" t="s">
        <v>87</v>
      </c>
      <c r="BT30" s="10" t="s">
        <v>87</v>
      </c>
      <c r="BU30" s="10" t="s">
        <v>87</v>
      </c>
      <c r="BV30" s="10" t="s">
        <v>87</v>
      </c>
      <c r="BW30" s="35" t="s">
        <v>87</v>
      </c>
      <c r="BX30" s="10" t="s">
        <v>86</v>
      </c>
      <c r="BY30" s="10" t="s">
        <v>86</v>
      </c>
      <c r="BZ30" s="10" t="s">
        <v>86</v>
      </c>
      <c r="CA30" s="10" t="s">
        <v>86</v>
      </c>
      <c r="CB30" s="10" t="s">
        <v>86</v>
      </c>
      <c r="CC30" s="10" t="s">
        <v>86</v>
      </c>
      <c r="CD30" s="10" t="s">
        <v>86</v>
      </c>
      <c r="CE30" s="10" t="s">
        <v>87</v>
      </c>
      <c r="CF30" s="56" t="s">
        <v>87</v>
      </c>
      <c r="CG30" s="56" t="s">
        <v>87</v>
      </c>
      <c r="CH30" s="56" t="s">
        <v>87</v>
      </c>
      <c r="CI30" s="56" t="s">
        <v>87</v>
      </c>
      <c r="CJ30" s="56" t="s">
        <v>87</v>
      </c>
      <c r="CK30" s="56" t="s">
        <v>87</v>
      </c>
      <c r="CL30" s="56" t="s">
        <v>87</v>
      </c>
      <c r="CM30" s="56" t="s">
        <v>87</v>
      </c>
      <c r="CN30" s="56" t="s">
        <v>87</v>
      </c>
      <c r="CO30" s="56" t="s">
        <v>87</v>
      </c>
      <c r="CP30" s="56" t="s">
        <v>87</v>
      </c>
      <c r="CQ30" s="56" t="s">
        <v>87</v>
      </c>
      <c r="CR30" s="56" t="s">
        <v>87</v>
      </c>
      <c r="CS30" s="56" t="s">
        <v>87</v>
      </c>
      <c r="CT30" s="56" t="s">
        <v>87</v>
      </c>
      <c r="CU30" s="56" t="s">
        <v>87</v>
      </c>
      <c r="CV30" s="56" t="s">
        <v>87</v>
      </c>
      <c r="CW30" s="56" t="s">
        <v>87</v>
      </c>
      <c r="CX30" s="56" t="s">
        <v>87</v>
      </c>
      <c r="CY30" s="56" t="s">
        <v>87</v>
      </c>
      <c r="CZ30" s="56" t="s">
        <v>87</v>
      </c>
      <c r="DA30" s="56" t="s">
        <v>87</v>
      </c>
      <c r="DB30" s="56" t="s">
        <v>87</v>
      </c>
      <c r="DC30" s="56" t="s">
        <v>87</v>
      </c>
      <c r="DD30" s="56" t="s">
        <v>87</v>
      </c>
      <c r="DE30" s="56" t="s">
        <v>87</v>
      </c>
      <c r="DF30" s="56" t="s">
        <v>87</v>
      </c>
      <c r="DG30" s="56" t="s">
        <v>87</v>
      </c>
      <c r="DH30" s="56" t="s">
        <v>87</v>
      </c>
      <c r="DI30" s="56" t="s">
        <v>87</v>
      </c>
      <c r="DJ30" s="56" t="s">
        <v>87</v>
      </c>
      <c r="DK30" s="56" t="s">
        <v>87</v>
      </c>
      <c r="DL30" s="56" t="s">
        <v>87</v>
      </c>
      <c r="DM30" s="56" t="s">
        <v>87</v>
      </c>
      <c r="DN30" s="56" t="s">
        <v>87</v>
      </c>
      <c r="DO30" s="56" t="s">
        <v>87</v>
      </c>
      <c r="DP30" s="56" t="s">
        <v>87</v>
      </c>
      <c r="DQ30" s="56" t="s">
        <v>87</v>
      </c>
      <c r="DR30" s="56" t="s">
        <v>87</v>
      </c>
      <c r="DS30" s="56" t="s">
        <v>87</v>
      </c>
      <c r="DT30" s="56" t="s">
        <v>87</v>
      </c>
      <c r="DU30" s="56" t="s">
        <v>87</v>
      </c>
      <c r="DV30" s="56" t="s">
        <v>87</v>
      </c>
      <c r="DW30" s="56" t="s">
        <v>87</v>
      </c>
      <c r="DX30" s="56" t="s">
        <v>87</v>
      </c>
      <c r="DY30" s="56" t="s">
        <v>87</v>
      </c>
      <c r="DZ30" s="56" t="s">
        <v>87</v>
      </c>
      <c r="EA30" s="56" t="s">
        <v>87</v>
      </c>
      <c r="EB30" s="56" t="s">
        <v>87</v>
      </c>
      <c r="EC30" s="56" t="s">
        <v>87</v>
      </c>
      <c r="ED30" s="56" t="s">
        <v>87</v>
      </c>
      <c r="EE30" s="56" t="s">
        <v>87</v>
      </c>
      <c r="EF30" s="56" t="s">
        <v>87</v>
      </c>
      <c r="EG30" s="56" t="s">
        <v>87</v>
      </c>
      <c r="EH30" s="56" t="s">
        <v>87</v>
      </c>
      <c r="EI30" s="56" t="s">
        <v>87</v>
      </c>
      <c r="EJ30" s="56" t="s">
        <v>87</v>
      </c>
      <c r="EK30" s="56" t="s">
        <v>87</v>
      </c>
      <c r="EL30" s="56" t="s">
        <v>87</v>
      </c>
      <c r="EM30" s="56" t="s">
        <v>87</v>
      </c>
      <c r="EN30" s="56" t="s">
        <v>87</v>
      </c>
      <c r="EO30" s="56" t="s">
        <v>87</v>
      </c>
      <c r="EP30" s="56" t="s">
        <v>87</v>
      </c>
      <c r="EQ30" s="56" t="s">
        <v>87</v>
      </c>
      <c r="ER30" s="56" t="s">
        <v>87</v>
      </c>
      <c r="ES30" s="56" t="s">
        <v>87</v>
      </c>
      <c r="ET30" s="56" t="s">
        <v>87</v>
      </c>
      <c r="EU30" s="56" t="s">
        <v>87</v>
      </c>
      <c r="EV30" s="56" t="s">
        <v>87</v>
      </c>
      <c r="EW30" s="56" t="s">
        <v>87</v>
      </c>
      <c r="EX30" s="56" t="s">
        <v>87</v>
      </c>
      <c r="EY30" s="56" t="s">
        <v>87</v>
      </c>
      <c r="EZ30" s="56" t="s">
        <v>87</v>
      </c>
      <c r="FA30" s="56" t="s">
        <v>87</v>
      </c>
      <c r="FB30" s="56" t="s">
        <v>87</v>
      </c>
      <c r="FC30" s="56" t="s">
        <v>87</v>
      </c>
      <c r="FD30" s="56" t="s">
        <v>87</v>
      </c>
      <c r="FE30" s="56" t="s">
        <v>87</v>
      </c>
      <c r="FF30" s="56" t="s">
        <v>87</v>
      </c>
      <c r="FG30" s="56" t="s">
        <v>87</v>
      </c>
      <c r="FH30" s="56" t="s">
        <v>87</v>
      </c>
      <c r="FI30" s="56" t="s">
        <v>87</v>
      </c>
      <c r="FJ30" s="56" t="s">
        <v>87</v>
      </c>
      <c r="FK30" s="56" t="s">
        <v>87</v>
      </c>
      <c r="FL30" s="56" t="s">
        <v>87</v>
      </c>
      <c r="FM30" s="56" t="s">
        <v>87</v>
      </c>
      <c r="FN30" s="56" t="s">
        <v>87</v>
      </c>
      <c r="FO30" s="56" t="s">
        <v>87</v>
      </c>
      <c r="FP30" s="14"/>
      <c r="FQ30" s="16" t="s">
        <v>87</v>
      </c>
      <c r="FR30" s="16" t="s">
        <v>87</v>
      </c>
      <c r="FS30" s="16" t="s">
        <v>87</v>
      </c>
      <c r="FT30" s="16" t="s">
        <v>87</v>
      </c>
      <c r="FU30" s="24" t="s">
        <v>87</v>
      </c>
      <c r="FV30" s="24" t="s">
        <v>87</v>
      </c>
      <c r="FW30" s="24" t="s">
        <v>87</v>
      </c>
      <c r="FX30" s="24" t="s">
        <v>87</v>
      </c>
      <c r="FY30" s="24" t="s">
        <v>87</v>
      </c>
      <c r="FZ30" s="24" t="s">
        <v>87</v>
      </c>
      <c r="GA30" s="24" t="s">
        <v>87</v>
      </c>
      <c r="GB30" s="24" t="s">
        <v>87</v>
      </c>
      <c r="GC30" s="24" t="s">
        <v>87</v>
      </c>
      <c r="GD30" s="24" t="s">
        <v>87</v>
      </c>
      <c r="GE30" s="24" t="s">
        <v>87</v>
      </c>
      <c r="GF30" s="24" t="s">
        <v>87</v>
      </c>
      <c r="GG30" s="24" t="s">
        <v>87</v>
      </c>
      <c r="GH30" s="24" t="s">
        <v>87</v>
      </c>
      <c r="GI30" s="24" t="s">
        <v>87</v>
      </c>
      <c r="GJ30" s="24" t="s">
        <v>87</v>
      </c>
      <c r="GK30" s="24" t="s">
        <v>87</v>
      </c>
      <c r="GL30" s="24" t="s">
        <v>87</v>
      </c>
      <c r="GM30" s="24" t="s">
        <v>87</v>
      </c>
      <c r="GN30" s="24" t="s">
        <v>87</v>
      </c>
      <c r="GO30" s="24" t="s">
        <v>87</v>
      </c>
      <c r="GP30" s="24" t="s">
        <v>87</v>
      </c>
      <c r="GQ30" s="24" t="s">
        <v>87</v>
      </c>
      <c r="GR30" s="24" t="s">
        <v>87</v>
      </c>
      <c r="GS30" s="24" t="s">
        <v>87</v>
      </c>
      <c r="GT30" s="24" t="s">
        <v>87</v>
      </c>
      <c r="GU30" s="24" t="s">
        <v>87</v>
      </c>
      <c r="GV30" s="24" t="s">
        <v>87</v>
      </c>
      <c r="GW30" s="24" t="s">
        <v>87</v>
      </c>
      <c r="GX30" s="24" t="s">
        <v>87</v>
      </c>
      <c r="GY30" s="24" t="s">
        <v>87</v>
      </c>
      <c r="GZ30" s="24" t="s">
        <v>87</v>
      </c>
      <c r="HA30" s="24" t="s">
        <v>87</v>
      </c>
      <c r="HB30" s="24" t="s">
        <v>87</v>
      </c>
      <c r="HC30" s="24" t="s">
        <v>87</v>
      </c>
      <c r="HD30" s="24" t="s">
        <v>87</v>
      </c>
      <c r="HE30" s="24" t="s">
        <v>87</v>
      </c>
      <c r="HF30" s="24" t="s">
        <v>87</v>
      </c>
      <c r="HG30" s="24" t="s">
        <v>87</v>
      </c>
      <c r="HH30" s="24" t="s">
        <v>87</v>
      </c>
      <c r="HI30" s="24" t="s">
        <v>87</v>
      </c>
      <c r="HJ30" s="24" t="s">
        <v>87</v>
      </c>
      <c r="HK30" s="24" t="s">
        <v>87</v>
      </c>
      <c r="HL30" s="24" t="s">
        <v>87</v>
      </c>
      <c r="HM30" s="24" t="s">
        <v>87</v>
      </c>
      <c r="HN30" s="24" t="s">
        <v>87</v>
      </c>
      <c r="HO30" s="24" t="s">
        <v>87</v>
      </c>
      <c r="HP30" s="24" t="s">
        <v>87</v>
      </c>
      <c r="HQ30" s="24" t="s">
        <v>87</v>
      </c>
      <c r="HR30" s="24" t="s">
        <v>87</v>
      </c>
      <c r="HS30" s="24" t="s">
        <v>87</v>
      </c>
      <c r="HT30" s="24" t="s">
        <v>87</v>
      </c>
      <c r="HU30" s="24" t="s">
        <v>87</v>
      </c>
      <c r="HV30" s="24" t="s">
        <v>87</v>
      </c>
      <c r="HW30" s="24" t="s">
        <v>87</v>
      </c>
      <c r="HX30" s="24" t="s">
        <v>87</v>
      </c>
      <c r="HY30" s="24" t="s">
        <v>87</v>
      </c>
      <c r="HZ30" s="24" t="s">
        <v>87</v>
      </c>
      <c r="IA30" s="24" t="s">
        <v>87</v>
      </c>
      <c r="IB30" s="24" t="s">
        <v>87</v>
      </c>
      <c r="IC30" s="24" t="s">
        <v>87</v>
      </c>
      <c r="ID30" s="24" t="s">
        <v>87</v>
      </c>
      <c r="IE30" s="24" t="s">
        <v>87</v>
      </c>
      <c r="IF30" s="24" t="s">
        <v>87</v>
      </c>
      <c r="IG30" s="24" t="s">
        <v>87</v>
      </c>
      <c r="IH30" s="24" t="s">
        <v>87</v>
      </c>
      <c r="II30" s="14"/>
      <c r="IJ30" s="16" t="s">
        <v>86</v>
      </c>
      <c r="IK30" s="16" t="s">
        <v>86</v>
      </c>
      <c r="IL30" s="16" t="s">
        <v>86</v>
      </c>
      <c r="IM30" s="38" t="s">
        <v>87</v>
      </c>
      <c r="IN30" s="38" t="s">
        <v>87</v>
      </c>
      <c r="IO30" s="38" t="s">
        <v>87</v>
      </c>
      <c r="IP30" s="16" t="s">
        <v>86</v>
      </c>
      <c r="IQ30" s="16" t="s">
        <v>87</v>
      </c>
      <c r="IR30" s="16" t="s">
        <v>87</v>
      </c>
      <c r="IS30" s="16" t="s">
        <v>87</v>
      </c>
      <c r="IT30" s="16" t="s">
        <v>87</v>
      </c>
      <c r="IU30" s="16" t="s">
        <v>86</v>
      </c>
      <c r="IV30" s="16" t="s">
        <v>86</v>
      </c>
      <c r="IW30" s="16" t="s">
        <v>86</v>
      </c>
      <c r="IX30" s="16" t="s">
        <v>86</v>
      </c>
      <c r="IY30" s="16" t="s">
        <v>86</v>
      </c>
      <c r="IZ30" s="16" t="s">
        <v>86</v>
      </c>
      <c r="JA30" s="16" t="s">
        <v>86</v>
      </c>
      <c r="JB30" s="16" t="s">
        <v>86</v>
      </c>
      <c r="JC30" s="16" t="s">
        <v>86</v>
      </c>
      <c r="JD30" s="16" t="s">
        <v>87</v>
      </c>
      <c r="JE30" s="16" t="s">
        <v>87</v>
      </c>
      <c r="JF30" s="16" t="s">
        <v>87</v>
      </c>
      <c r="JG30" s="16" t="s">
        <v>87</v>
      </c>
      <c r="JH30" s="16" t="s">
        <v>87</v>
      </c>
      <c r="JI30" s="16" t="s">
        <v>87</v>
      </c>
      <c r="JJ30" s="16" t="s">
        <v>87</v>
      </c>
      <c r="JK30" s="16" t="s">
        <v>87</v>
      </c>
      <c r="JL30" s="16" t="s">
        <v>87</v>
      </c>
      <c r="JM30" s="16" t="s">
        <v>87</v>
      </c>
      <c r="JN30" s="16" t="s">
        <v>87</v>
      </c>
      <c r="JO30" s="16" t="s">
        <v>87</v>
      </c>
      <c r="JP30" s="16" t="s">
        <v>87</v>
      </c>
      <c r="JQ30" s="16" t="s">
        <v>87</v>
      </c>
      <c r="JR30" s="16" t="s">
        <v>87</v>
      </c>
      <c r="JS30" s="16" t="s">
        <v>87</v>
      </c>
      <c r="JT30" s="16" t="s">
        <v>87</v>
      </c>
      <c r="JU30" s="16" t="s">
        <v>87</v>
      </c>
      <c r="JV30" s="16" t="s">
        <v>87</v>
      </c>
      <c r="JW30" s="16" t="s">
        <v>87</v>
      </c>
      <c r="JX30" s="16" t="s">
        <v>87</v>
      </c>
      <c r="JY30" s="16" t="s">
        <v>87</v>
      </c>
      <c r="JZ30" s="16" t="s">
        <v>87</v>
      </c>
      <c r="KA30" s="16" t="s">
        <v>87</v>
      </c>
      <c r="KB30" s="16" t="s">
        <v>87</v>
      </c>
      <c r="KC30" s="16" t="s">
        <v>87</v>
      </c>
      <c r="KD30" s="16" t="s">
        <v>87</v>
      </c>
      <c r="KE30" s="16" t="s">
        <v>87</v>
      </c>
      <c r="KF30" s="16" t="s">
        <v>87</v>
      </c>
      <c r="KG30" s="16" t="s">
        <v>87</v>
      </c>
      <c r="KH30" s="16" t="s">
        <v>87</v>
      </c>
      <c r="KI30" s="16" t="s">
        <v>87</v>
      </c>
      <c r="KJ30" s="16" t="s">
        <v>87</v>
      </c>
      <c r="KK30" s="16" t="s">
        <v>87</v>
      </c>
      <c r="KL30" s="16" t="s">
        <v>87</v>
      </c>
      <c r="KM30" s="16" t="s">
        <v>87</v>
      </c>
      <c r="KN30" s="16" t="s">
        <v>87</v>
      </c>
      <c r="KO30" s="16" t="s">
        <v>87</v>
      </c>
      <c r="KP30" s="16" t="s">
        <v>87</v>
      </c>
      <c r="KQ30" s="16" t="s">
        <v>87</v>
      </c>
      <c r="KR30" s="16" t="s">
        <v>87</v>
      </c>
      <c r="KS30" s="16" t="s">
        <v>87</v>
      </c>
      <c r="KT30" s="16" t="s">
        <v>87</v>
      </c>
      <c r="KU30" s="16" t="s">
        <v>87</v>
      </c>
      <c r="KV30" s="16" t="s">
        <v>87</v>
      </c>
      <c r="KW30" s="16" t="s">
        <v>87</v>
      </c>
      <c r="KX30" s="16" t="s">
        <v>87</v>
      </c>
      <c r="KY30" s="16" t="s">
        <v>87</v>
      </c>
      <c r="KZ30" s="16" t="s">
        <v>87</v>
      </c>
      <c r="LA30" s="16" t="s">
        <v>87</v>
      </c>
      <c r="LB30" s="16" t="s">
        <v>87</v>
      </c>
      <c r="LC30" s="16" t="s">
        <v>87</v>
      </c>
      <c r="LD30" s="16" t="s">
        <v>87</v>
      </c>
      <c r="LE30" s="16" t="s">
        <v>87</v>
      </c>
      <c r="LF30" s="16" t="s">
        <v>87</v>
      </c>
      <c r="LG30" s="16" t="s">
        <v>87</v>
      </c>
      <c r="LH30" s="16" t="s">
        <v>87</v>
      </c>
      <c r="LI30" s="16" t="s">
        <v>87</v>
      </c>
      <c r="LJ30" s="16" t="s">
        <v>87</v>
      </c>
      <c r="LK30" s="16" t="s">
        <v>87</v>
      </c>
      <c r="LL30" s="16" t="s">
        <v>87</v>
      </c>
      <c r="LM30" s="16" t="s">
        <v>87</v>
      </c>
      <c r="LN30" s="16" t="s">
        <v>87</v>
      </c>
      <c r="LO30" s="16" t="s">
        <v>87</v>
      </c>
      <c r="LP30" s="16" t="s">
        <v>87</v>
      </c>
      <c r="LQ30" s="16" t="s">
        <v>87</v>
      </c>
      <c r="LR30" s="16" t="s">
        <v>87</v>
      </c>
      <c r="LS30" s="16" t="s">
        <v>87</v>
      </c>
      <c r="LT30" s="16" t="s">
        <v>87</v>
      </c>
      <c r="LU30" s="16" t="s">
        <v>87</v>
      </c>
      <c r="LV30" s="16" t="s">
        <v>87</v>
      </c>
      <c r="LW30" s="16" t="s">
        <v>87</v>
      </c>
      <c r="LX30" s="16" t="s">
        <v>87</v>
      </c>
      <c r="LY30" s="16" t="s">
        <v>87</v>
      </c>
      <c r="LZ30" s="16" t="s">
        <v>87</v>
      </c>
      <c r="MA30" s="16" t="s">
        <v>87</v>
      </c>
      <c r="MB30" s="16" t="s">
        <v>87</v>
      </c>
      <c r="MC30" s="16" t="s">
        <v>87</v>
      </c>
      <c r="MD30" s="16" t="s">
        <v>87</v>
      </c>
      <c r="ME30" s="16" t="s">
        <v>87</v>
      </c>
      <c r="MF30" s="16" t="s">
        <v>87</v>
      </c>
      <c r="MG30" s="16" t="s">
        <v>87</v>
      </c>
      <c r="MH30" s="16" t="s">
        <v>87</v>
      </c>
      <c r="MI30" s="16" t="s">
        <v>87</v>
      </c>
      <c r="MJ30" s="16" t="s">
        <v>87</v>
      </c>
      <c r="MK30" s="16" t="s">
        <v>87</v>
      </c>
      <c r="ML30" s="16" t="s">
        <v>87</v>
      </c>
      <c r="MM30" s="16"/>
      <c r="MN30" s="16"/>
    </row>
    <row r="31" spans="1:352" ht="23.25" customHeight="1" x14ac:dyDescent="0.25">
      <c r="A31" s="3" t="s">
        <v>3</v>
      </c>
      <c r="B31" s="3" t="s">
        <v>39</v>
      </c>
      <c r="C31" s="32"/>
      <c r="D31" s="32" t="s">
        <v>88</v>
      </c>
      <c r="E31" s="32" t="s">
        <v>88</v>
      </c>
      <c r="F31" s="32" t="s">
        <v>88</v>
      </c>
      <c r="G31" s="32" t="s">
        <v>89</v>
      </c>
      <c r="H31" s="32" t="s">
        <v>89</v>
      </c>
      <c r="I31" s="32" t="s">
        <v>89</v>
      </c>
      <c r="J31" s="32" t="s">
        <v>88</v>
      </c>
      <c r="K31" s="32" t="s">
        <v>88</v>
      </c>
      <c r="L31" s="32" t="s">
        <v>88</v>
      </c>
      <c r="M31" s="32" t="s">
        <v>88</v>
      </c>
      <c r="N31" s="32" t="s">
        <v>89</v>
      </c>
      <c r="O31" s="32" t="s">
        <v>89</v>
      </c>
      <c r="P31" s="32" t="s">
        <v>89</v>
      </c>
      <c r="Q31" s="32" t="s">
        <v>88</v>
      </c>
      <c r="R31" s="32" t="s">
        <v>88</v>
      </c>
      <c r="S31" s="32" t="s">
        <v>88</v>
      </c>
      <c r="T31" s="32" t="s">
        <v>89</v>
      </c>
      <c r="U31" s="32" t="s">
        <v>89</v>
      </c>
      <c r="V31" s="32" t="s">
        <v>89</v>
      </c>
      <c r="W31" s="32" t="s">
        <v>88</v>
      </c>
      <c r="X31" s="32" t="s">
        <v>88</v>
      </c>
      <c r="Y31" s="32" t="s">
        <v>88</v>
      </c>
      <c r="Z31" s="32" t="s">
        <v>89</v>
      </c>
      <c r="AA31" s="32" t="s">
        <v>89</v>
      </c>
      <c r="AB31" s="32" t="s">
        <v>89</v>
      </c>
      <c r="AC31" s="32" t="s">
        <v>88</v>
      </c>
      <c r="AD31" s="32" t="s">
        <v>88</v>
      </c>
      <c r="AE31" s="32" t="s">
        <v>88</v>
      </c>
      <c r="AF31" s="32" t="s">
        <v>89</v>
      </c>
      <c r="AG31" s="32" t="s">
        <v>89</v>
      </c>
      <c r="AH31" s="32" t="s">
        <v>89</v>
      </c>
      <c r="AI31" s="32" t="s">
        <v>88</v>
      </c>
      <c r="AJ31" s="32" t="s">
        <v>88</v>
      </c>
      <c r="AK31" s="32" t="s">
        <v>88</v>
      </c>
      <c r="AL31" s="32" t="s">
        <v>89</v>
      </c>
      <c r="AM31" s="32" t="s">
        <v>89</v>
      </c>
      <c r="AN31" s="32" t="s">
        <v>89</v>
      </c>
      <c r="AO31" s="32" t="s">
        <v>88</v>
      </c>
      <c r="AP31" s="32" t="s">
        <v>88</v>
      </c>
      <c r="AQ31" s="32" t="s">
        <v>88</v>
      </c>
      <c r="AR31" s="32" t="s">
        <v>89</v>
      </c>
      <c r="AS31" s="32" t="s">
        <v>89</v>
      </c>
      <c r="AT31" s="32" t="s">
        <v>89</v>
      </c>
      <c r="AU31" s="32" t="s">
        <v>88</v>
      </c>
      <c r="AV31" s="32" t="s">
        <v>88</v>
      </c>
      <c r="AW31" s="32" t="s">
        <v>88</v>
      </c>
      <c r="AX31" s="32" t="s">
        <v>89</v>
      </c>
      <c r="AY31" s="32" t="s">
        <v>89</v>
      </c>
      <c r="AZ31" s="32" t="s">
        <v>89</v>
      </c>
      <c r="BA31" s="32" t="s">
        <v>88</v>
      </c>
      <c r="BB31" s="32" t="s">
        <v>88</v>
      </c>
      <c r="BC31" s="32" t="s">
        <v>88</v>
      </c>
      <c r="BD31" s="32" t="s">
        <v>89</v>
      </c>
      <c r="BE31" s="32" t="s">
        <v>89</v>
      </c>
      <c r="BF31" s="32" t="s">
        <v>89</v>
      </c>
      <c r="BG31" s="32" t="s">
        <v>88</v>
      </c>
      <c r="BH31" s="32" t="s">
        <v>88</v>
      </c>
      <c r="BI31" s="32" t="s">
        <v>88</v>
      </c>
      <c r="BJ31" s="32" t="s">
        <v>89</v>
      </c>
      <c r="BK31" s="32" t="s">
        <v>89</v>
      </c>
      <c r="BL31" s="32" t="s">
        <v>89</v>
      </c>
      <c r="BM31" s="32" t="s">
        <v>88</v>
      </c>
      <c r="BN31" s="7" t="s">
        <v>88</v>
      </c>
      <c r="BO31" s="7" t="s">
        <v>88</v>
      </c>
      <c r="BP31" s="7" t="s">
        <v>88</v>
      </c>
      <c r="BQ31" s="19" t="s">
        <v>89</v>
      </c>
      <c r="BR31" s="19" t="s">
        <v>89</v>
      </c>
      <c r="BS31" s="19" t="s">
        <v>89</v>
      </c>
      <c r="BT31" s="19" t="s">
        <v>89</v>
      </c>
      <c r="BU31" s="19" t="s">
        <v>89</v>
      </c>
      <c r="BV31" s="19" t="s">
        <v>89</v>
      </c>
      <c r="BW31" s="41" t="s">
        <v>89</v>
      </c>
      <c r="BX31" s="7" t="s">
        <v>88</v>
      </c>
      <c r="BY31" s="7" t="s">
        <v>88</v>
      </c>
      <c r="BZ31" s="7" t="s">
        <v>88</v>
      </c>
      <c r="CA31" s="7" t="s">
        <v>88</v>
      </c>
      <c r="CB31" s="7" t="s">
        <v>88</v>
      </c>
      <c r="CC31" s="7" t="s">
        <v>88</v>
      </c>
      <c r="CD31" s="7" t="s">
        <v>88</v>
      </c>
      <c r="CE31" s="19" t="s">
        <v>89</v>
      </c>
      <c r="CF31" s="60" t="s">
        <v>89</v>
      </c>
      <c r="CG31" s="60" t="s">
        <v>89</v>
      </c>
      <c r="CH31" s="60" t="s">
        <v>89</v>
      </c>
      <c r="CI31" s="60" t="s">
        <v>89</v>
      </c>
      <c r="CJ31" s="60" t="s">
        <v>89</v>
      </c>
      <c r="CK31" s="55" t="s">
        <v>89</v>
      </c>
      <c r="CL31" s="60" t="s">
        <v>89</v>
      </c>
      <c r="CM31" s="60" t="s">
        <v>89</v>
      </c>
      <c r="CN31" s="60" t="s">
        <v>89</v>
      </c>
      <c r="CO31" s="60" t="s">
        <v>89</v>
      </c>
      <c r="CP31" s="60" t="s">
        <v>89</v>
      </c>
      <c r="CQ31" s="60" t="s">
        <v>89</v>
      </c>
      <c r="CR31" s="60" t="s">
        <v>89</v>
      </c>
      <c r="CS31" s="60" t="s">
        <v>89</v>
      </c>
      <c r="CT31" s="55" t="s">
        <v>89</v>
      </c>
      <c r="CU31" s="60" t="s">
        <v>89</v>
      </c>
      <c r="CV31" s="60" t="s">
        <v>89</v>
      </c>
      <c r="CW31" s="60" t="s">
        <v>89</v>
      </c>
      <c r="CX31" s="60" t="s">
        <v>89</v>
      </c>
      <c r="CY31" s="60" t="s">
        <v>89</v>
      </c>
      <c r="CZ31" s="60" t="s">
        <v>89</v>
      </c>
      <c r="DA31" s="60" t="s">
        <v>89</v>
      </c>
      <c r="DB31" s="55" t="s">
        <v>89</v>
      </c>
      <c r="DC31" s="60" t="s">
        <v>89</v>
      </c>
      <c r="DD31" s="60" t="s">
        <v>89</v>
      </c>
      <c r="DE31" s="60" t="s">
        <v>89</v>
      </c>
      <c r="DF31" s="60" t="s">
        <v>89</v>
      </c>
      <c r="DG31" s="60" t="s">
        <v>89</v>
      </c>
      <c r="DH31" s="60" t="s">
        <v>89</v>
      </c>
      <c r="DI31" s="60" t="s">
        <v>89</v>
      </c>
      <c r="DJ31" s="55" t="s">
        <v>89</v>
      </c>
      <c r="DK31" s="60" t="s">
        <v>89</v>
      </c>
      <c r="DL31" s="60" t="s">
        <v>89</v>
      </c>
      <c r="DM31" s="60" t="s">
        <v>89</v>
      </c>
      <c r="DN31" s="60" t="s">
        <v>89</v>
      </c>
      <c r="DO31" s="60" t="s">
        <v>89</v>
      </c>
      <c r="DP31" s="60" t="s">
        <v>89</v>
      </c>
      <c r="DQ31" s="60" t="s">
        <v>89</v>
      </c>
      <c r="DR31" s="55" t="s">
        <v>89</v>
      </c>
      <c r="DS31" s="60" t="s">
        <v>89</v>
      </c>
      <c r="DT31" s="60" t="s">
        <v>89</v>
      </c>
      <c r="DU31" s="60" t="s">
        <v>89</v>
      </c>
      <c r="DV31" s="60" t="s">
        <v>89</v>
      </c>
      <c r="DW31" s="60" t="s">
        <v>89</v>
      </c>
      <c r="DX31" s="60" t="s">
        <v>89</v>
      </c>
      <c r="DY31" s="60" t="s">
        <v>89</v>
      </c>
      <c r="DZ31" s="55" t="s">
        <v>89</v>
      </c>
      <c r="EA31" s="60" t="s">
        <v>89</v>
      </c>
      <c r="EB31" s="60" t="s">
        <v>89</v>
      </c>
      <c r="EC31" s="60" t="s">
        <v>89</v>
      </c>
      <c r="ED31" s="60" t="s">
        <v>89</v>
      </c>
      <c r="EE31" s="60" t="s">
        <v>89</v>
      </c>
      <c r="EF31" s="60" t="s">
        <v>89</v>
      </c>
      <c r="EG31" s="60" t="s">
        <v>89</v>
      </c>
      <c r="EH31" s="55" t="s">
        <v>89</v>
      </c>
      <c r="EI31" s="60" t="s">
        <v>89</v>
      </c>
      <c r="EJ31" s="60" t="s">
        <v>89</v>
      </c>
      <c r="EK31" s="60" t="s">
        <v>89</v>
      </c>
      <c r="EL31" s="60" t="s">
        <v>89</v>
      </c>
      <c r="EM31" s="60" t="s">
        <v>89</v>
      </c>
      <c r="EN31" s="60" t="s">
        <v>89</v>
      </c>
      <c r="EO31" s="60" t="s">
        <v>89</v>
      </c>
      <c r="EP31" s="55" t="s">
        <v>89</v>
      </c>
      <c r="EQ31" s="60" t="s">
        <v>89</v>
      </c>
      <c r="ER31" s="60" t="s">
        <v>89</v>
      </c>
      <c r="ES31" s="60" t="s">
        <v>89</v>
      </c>
      <c r="ET31" s="60" t="s">
        <v>89</v>
      </c>
      <c r="EU31" s="60" t="s">
        <v>89</v>
      </c>
      <c r="EV31" s="60" t="s">
        <v>89</v>
      </c>
      <c r="EW31" s="60" t="s">
        <v>89</v>
      </c>
      <c r="EX31" s="55" t="s">
        <v>89</v>
      </c>
      <c r="EY31" s="60" t="s">
        <v>89</v>
      </c>
      <c r="EZ31" s="60" t="s">
        <v>89</v>
      </c>
      <c r="FA31" s="60" t="s">
        <v>89</v>
      </c>
      <c r="FB31" s="60" t="s">
        <v>89</v>
      </c>
      <c r="FC31" s="60" t="s">
        <v>89</v>
      </c>
      <c r="FD31" s="60" t="s">
        <v>89</v>
      </c>
      <c r="FE31" s="60" t="s">
        <v>89</v>
      </c>
      <c r="FF31" s="55" t="s">
        <v>89</v>
      </c>
      <c r="FG31" s="60" t="s">
        <v>89</v>
      </c>
      <c r="FH31" s="60" t="s">
        <v>89</v>
      </c>
      <c r="FI31" s="60" t="s">
        <v>89</v>
      </c>
      <c r="FJ31" s="60" t="s">
        <v>89</v>
      </c>
      <c r="FK31" s="60" t="s">
        <v>89</v>
      </c>
      <c r="FL31" s="60" t="s">
        <v>89</v>
      </c>
      <c r="FM31" s="60" t="s">
        <v>89</v>
      </c>
      <c r="FN31" s="55" t="s">
        <v>89</v>
      </c>
      <c r="FO31" s="60" t="s">
        <v>89</v>
      </c>
      <c r="FP31" s="19"/>
      <c r="FQ31" s="19" t="s">
        <v>89</v>
      </c>
      <c r="FR31" s="19" t="s">
        <v>89</v>
      </c>
      <c r="FS31" s="19" t="s">
        <v>89</v>
      </c>
      <c r="FT31" s="19" t="s">
        <v>89</v>
      </c>
      <c r="FU31" s="16" t="s">
        <v>89</v>
      </c>
      <c r="FV31" s="16" t="s">
        <v>89</v>
      </c>
      <c r="FW31" s="16" t="s">
        <v>89</v>
      </c>
      <c r="FX31" s="16" t="s">
        <v>89</v>
      </c>
      <c r="FY31" s="16" t="s">
        <v>89</v>
      </c>
      <c r="FZ31" s="16" t="s">
        <v>89</v>
      </c>
      <c r="GA31" s="16" t="s">
        <v>89</v>
      </c>
      <c r="GB31" s="16" t="s">
        <v>89</v>
      </c>
      <c r="GC31" s="16" t="s">
        <v>89</v>
      </c>
      <c r="GD31" s="16" t="s">
        <v>89</v>
      </c>
      <c r="GE31" s="16" t="s">
        <v>89</v>
      </c>
      <c r="GF31" s="16" t="s">
        <v>89</v>
      </c>
      <c r="GG31" s="16" t="s">
        <v>89</v>
      </c>
      <c r="GH31" s="16" t="s">
        <v>89</v>
      </c>
      <c r="GI31" s="16" t="s">
        <v>89</v>
      </c>
      <c r="GJ31" s="16" t="s">
        <v>89</v>
      </c>
      <c r="GK31" s="16" t="s">
        <v>89</v>
      </c>
      <c r="GL31" s="16" t="s">
        <v>89</v>
      </c>
      <c r="GM31" s="16" t="s">
        <v>89</v>
      </c>
      <c r="GN31" s="16" t="s">
        <v>89</v>
      </c>
      <c r="GO31" s="16" t="s">
        <v>89</v>
      </c>
      <c r="GP31" s="16" t="s">
        <v>89</v>
      </c>
      <c r="GQ31" s="16" t="s">
        <v>89</v>
      </c>
      <c r="GR31" s="16" t="s">
        <v>89</v>
      </c>
      <c r="GS31" s="16" t="s">
        <v>89</v>
      </c>
      <c r="GT31" s="16" t="s">
        <v>89</v>
      </c>
      <c r="GU31" s="16" t="s">
        <v>89</v>
      </c>
      <c r="GV31" s="16" t="s">
        <v>89</v>
      </c>
      <c r="GW31" s="16" t="s">
        <v>89</v>
      </c>
      <c r="GX31" s="16" t="s">
        <v>89</v>
      </c>
      <c r="GY31" s="16" t="s">
        <v>89</v>
      </c>
      <c r="GZ31" s="16" t="s">
        <v>89</v>
      </c>
      <c r="HA31" s="16" t="s">
        <v>89</v>
      </c>
      <c r="HB31" s="16" t="s">
        <v>89</v>
      </c>
      <c r="HC31" s="16" t="s">
        <v>89</v>
      </c>
      <c r="HD31" s="16" t="s">
        <v>89</v>
      </c>
      <c r="HE31" s="16" t="s">
        <v>89</v>
      </c>
      <c r="HF31" s="16" t="s">
        <v>89</v>
      </c>
      <c r="HG31" s="16" t="s">
        <v>89</v>
      </c>
      <c r="HH31" s="16" t="s">
        <v>89</v>
      </c>
      <c r="HI31" s="16" t="s">
        <v>89</v>
      </c>
      <c r="HJ31" s="16" t="s">
        <v>89</v>
      </c>
      <c r="HK31" s="16" t="s">
        <v>89</v>
      </c>
      <c r="HL31" s="16" t="s">
        <v>89</v>
      </c>
      <c r="HM31" s="16" t="s">
        <v>89</v>
      </c>
      <c r="HN31" s="16" t="s">
        <v>89</v>
      </c>
      <c r="HO31" s="16" t="s">
        <v>89</v>
      </c>
      <c r="HP31" s="16" t="s">
        <v>89</v>
      </c>
      <c r="HQ31" s="16" t="s">
        <v>89</v>
      </c>
      <c r="HR31" s="16" t="s">
        <v>89</v>
      </c>
      <c r="HS31" s="16" t="s">
        <v>89</v>
      </c>
      <c r="HT31" s="16" t="s">
        <v>89</v>
      </c>
      <c r="HU31" s="16" t="s">
        <v>89</v>
      </c>
      <c r="HV31" s="16" t="s">
        <v>89</v>
      </c>
      <c r="HW31" s="16" t="s">
        <v>89</v>
      </c>
      <c r="HX31" s="16" t="s">
        <v>89</v>
      </c>
      <c r="HY31" s="16" t="s">
        <v>89</v>
      </c>
      <c r="HZ31" s="16" t="s">
        <v>89</v>
      </c>
      <c r="IA31" s="16" t="s">
        <v>89</v>
      </c>
      <c r="IB31" s="16" t="s">
        <v>89</v>
      </c>
      <c r="IC31" s="16" t="s">
        <v>89</v>
      </c>
      <c r="ID31" s="16" t="s">
        <v>89</v>
      </c>
      <c r="IE31" s="16" t="s">
        <v>89</v>
      </c>
      <c r="IF31" s="16" t="s">
        <v>89</v>
      </c>
      <c r="IG31" s="16" t="s">
        <v>89</v>
      </c>
      <c r="IH31" s="16" t="s">
        <v>89</v>
      </c>
      <c r="II31" s="19"/>
      <c r="IJ31" s="19" t="s">
        <v>88</v>
      </c>
      <c r="IK31" s="19" t="s">
        <v>88</v>
      </c>
      <c r="IL31" s="19" t="s">
        <v>88</v>
      </c>
      <c r="IM31" s="19" t="s">
        <v>89</v>
      </c>
      <c r="IN31" s="19" t="s">
        <v>89</v>
      </c>
      <c r="IO31" s="19" t="s">
        <v>89</v>
      </c>
      <c r="IP31" s="19" t="s">
        <v>88</v>
      </c>
      <c r="IQ31" s="19" t="s">
        <v>89</v>
      </c>
      <c r="IR31" s="19" t="s">
        <v>89</v>
      </c>
      <c r="IS31" s="19" t="s">
        <v>89</v>
      </c>
      <c r="IT31" s="19" t="s">
        <v>89</v>
      </c>
      <c r="IU31" s="19" t="s">
        <v>88</v>
      </c>
      <c r="IV31" s="19" t="s">
        <v>88</v>
      </c>
      <c r="IW31" s="19" t="s">
        <v>88</v>
      </c>
      <c r="IX31" s="19" t="s">
        <v>88</v>
      </c>
      <c r="IY31" s="19" t="s">
        <v>88</v>
      </c>
      <c r="IZ31" s="19" t="s">
        <v>88</v>
      </c>
      <c r="JA31" s="19" t="s">
        <v>88</v>
      </c>
      <c r="JB31" s="19" t="s">
        <v>88</v>
      </c>
      <c r="JC31" s="19" t="s">
        <v>88</v>
      </c>
      <c r="JD31" s="19" t="s">
        <v>89</v>
      </c>
      <c r="JE31" s="19" t="s">
        <v>89</v>
      </c>
      <c r="JF31" s="19" t="s">
        <v>89</v>
      </c>
      <c r="JG31" s="19" t="s">
        <v>89</v>
      </c>
      <c r="JH31" s="19" t="s">
        <v>89</v>
      </c>
      <c r="JI31" s="19" t="s">
        <v>89</v>
      </c>
      <c r="JJ31" s="19" t="s">
        <v>89</v>
      </c>
      <c r="JK31" s="19" t="s">
        <v>89</v>
      </c>
      <c r="JL31" s="19" t="s">
        <v>89</v>
      </c>
      <c r="JM31" s="19" t="s">
        <v>89</v>
      </c>
      <c r="JN31" s="19" t="s">
        <v>89</v>
      </c>
      <c r="JO31" s="19" t="s">
        <v>89</v>
      </c>
      <c r="JP31" s="19" t="s">
        <v>89</v>
      </c>
      <c r="JQ31" s="19" t="s">
        <v>89</v>
      </c>
      <c r="JR31" s="19" t="s">
        <v>89</v>
      </c>
      <c r="JS31" s="19" t="s">
        <v>89</v>
      </c>
      <c r="JT31" s="19" t="s">
        <v>89</v>
      </c>
      <c r="JU31" s="19" t="s">
        <v>89</v>
      </c>
      <c r="JV31" s="19" t="s">
        <v>89</v>
      </c>
      <c r="JW31" s="19" t="s">
        <v>89</v>
      </c>
      <c r="JX31" s="19" t="s">
        <v>89</v>
      </c>
      <c r="JY31" s="19" t="s">
        <v>89</v>
      </c>
      <c r="JZ31" s="19" t="s">
        <v>89</v>
      </c>
      <c r="KA31" s="19" t="s">
        <v>89</v>
      </c>
      <c r="KB31" s="19" t="s">
        <v>89</v>
      </c>
      <c r="KC31" s="19" t="s">
        <v>89</v>
      </c>
      <c r="KD31" s="19" t="s">
        <v>89</v>
      </c>
      <c r="KE31" s="19" t="s">
        <v>89</v>
      </c>
      <c r="KF31" s="19" t="s">
        <v>89</v>
      </c>
      <c r="KG31" s="19" t="s">
        <v>89</v>
      </c>
      <c r="KH31" s="19" t="s">
        <v>89</v>
      </c>
      <c r="KI31" s="19" t="s">
        <v>89</v>
      </c>
      <c r="KJ31" s="19" t="s">
        <v>89</v>
      </c>
      <c r="KK31" s="19" t="s">
        <v>89</v>
      </c>
      <c r="KL31" s="19" t="s">
        <v>89</v>
      </c>
      <c r="KM31" s="19" t="s">
        <v>89</v>
      </c>
      <c r="KN31" s="19" t="s">
        <v>89</v>
      </c>
      <c r="KO31" s="19" t="s">
        <v>89</v>
      </c>
      <c r="KP31" s="19" t="s">
        <v>89</v>
      </c>
      <c r="KQ31" s="19" t="s">
        <v>89</v>
      </c>
      <c r="KR31" s="19" t="s">
        <v>89</v>
      </c>
      <c r="KS31" s="19" t="s">
        <v>89</v>
      </c>
      <c r="KT31" s="19" t="s">
        <v>89</v>
      </c>
      <c r="KU31" s="19" t="s">
        <v>89</v>
      </c>
      <c r="KV31" s="19" t="s">
        <v>89</v>
      </c>
      <c r="KW31" s="19" t="s">
        <v>89</v>
      </c>
      <c r="KX31" s="19" t="s">
        <v>89</v>
      </c>
      <c r="KY31" s="19" t="s">
        <v>89</v>
      </c>
      <c r="KZ31" s="19" t="s">
        <v>89</v>
      </c>
      <c r="LA31" s="19" t="s">
        <v>89</v>
      </c>
      <c r="LB31" s="19" t="s">
        <v>89</v>
      </c>
      <c r="LC31" s="19" t="s">
        <v>89</v>
      </c>
      <c r="LD31" s="19" t="s">
        <v>89</v>
      </c>
      <c r="LE31" s="19" t="s">
        <v>89</v>
      </c>
      <c r="LF31" s="19" t="s">
        <v>89</v>
      </c>
      <c r="LG31" s="19" t="s">
        <v>89</v>
      </c>
      <c r="LH31" s="19" t="s">
        <v>89</v>
      </c>
      <c r="LI31" s="19" t="s">
        <v>89</v>
      </c>
      <c r="LJ31" s="19" t="s">
        <v>89</v>
      </c>
      <c r="LK31" s="19" t="s">
        <v>89</v>
      </c>
      <c r="LL31" s="19" t="s">
        <v>89</v>
      </c>
      <c r="LM31" s="19" t="s">
        <v>89</v>
      </c>
      <c r="LN31" s="19" t="s">
        <v>89</v>
      </c>
      <c r="LO31" s="19" t="s">
        <v>89</v>
      </c>
      <c r="LP31" s="19" t="s">
        <v>89</v>
      </c>
      <c r="LQ31" s="19" t="s">
        <v>89</v>
      </c>
      <c r="LR31" s="19" t="s">
        <v>89</v>
      </c>
      <c r="LS31" s="19" t="s">
        <v>89</v>
      </c>
      <c r="LT31" s="19" t="s">
        <v>89</v>
      </c>
      <c r="LU31" s="19" t="s">
        <v>89</v>
      </c>
      <c r="LV31" s="19" t="s">
        <v>89</v>
      </c>
      <c r="LW31" s="19" t="s">
        <v>89</v>
      </c>
      <c r="LX31" s="19" t="s">
        <v>89</v>
      </c>
      <c r="LY31" s="19" t="s">
        <v>89</v>
      </c>
      <c r="LZ31" s="19" t="s">
        <v>89</v>
      </c>
      <c r="MA31" s="19" t="s">
        <v>89</v>
      </c>
      <c r="MB31" s="19" t="s">
        <v>89</v>
      </c>
      <c r="MC31" s="19" t="s">
        <v>89</v>
      </c>
      <c r="MD31" s="19" t="s">
        <v>89</v>
      </c>
      <c r="ME31" s="19" t="s">
        <v>89</v>
      </c>
      <c r="MF31" s="19" t="s">
        <v>89</v>
      </c>
      <c r="MG31" s="19" t="s">
        <v>89</v>
      </c>
      <c r="MH31" s="19" t="s">
        <v>89</v>
      </c>
      <c r="MI31" s="19" t="s">
        <v>89</v>
      </c>
      <c r="MJ31" s="19" t="s">
        <v>89</v>
      </c>
      <c r="MK31" s="19" t="s">
        <v>89</v>
      </c>
      <c r="ML31" s="19" t="s">
        <v>89</v>
      </c>
      <c r="MM31" s="19"/>
      <c r="MN31" s="19"/>
    </row>
    <row r="32" spans="1:352" ht="23.25" customHeight="1" x14ac:dyDescent="0.25">
      <c r="A32" s="3" t="s">
        <v>3</v>
      </c>
      <c r="B32" s="3" t="s">
        <v>40</v>
      </c>
      <c r="C32" s="34"/>
      <c r="D32" s="34">
        <f t="shared" ref="D32:D39" si="135">IF(D20="Not Received",C32,D20)</f>
        <v>1</v>
      </c>
      <c r="E32" s="34">
        <f t="shared" ref="E32:E39" si="136">IF(E20="Not Received",D32,E20)</f>
        <v>1</v>
      </c>
      <c r="F32" s="34">
        <f t="shared" ref="F32:F39" si="137">IF(F20="Not Received",E32,F20)</f>
        <v>1</v>
      </c>
      <c r="G32" s="34">
        <f t="shared" ref="G32:G39" si="138">IF(G20="Not Received",F32,G20)</f>
        <v>1</v>
      </c>
      <c r="H32" s="34">
        <f t="shared" ref="H32:H39" si="139">IF(H20="Not Received",G32,H20)</f>
        <v>1</v>
      </c>
      <c r="I32" s="34">
        <f t="shared" ref="I32:I39" si="140">IF(I20="Not Received",H32,I20)</f>
        <v>1</v>
      </c>
      <c r="J32" s="34">
        <f t="shared" ref="J32:J39" si="141">IF(J20="Not Received",I32,J20)</f>
        <v>1</v>
      </c>
      <c r="K32" s="34">
        <f t="shared" ref="K32:K39" si="142">IF(K20="Not Received",J32,K20)</f>
        <v>1</v>
      </c>
      <c r="L32" s="34">
        <f t="shared" ref="L32:L39" si="143">IF(L20="Not Received",K32,L20)</f>
        <v>1</v>
      </c>
      <c r="M32" s="34">
        <f t="shared" ref="M32:M39" si="144">IF(M20="Not Received",L32,M20)</f>
        <v>1</v>
      </c>
      <c r="N32" s="34">
        <f t="shared" ref="N32:N39" si="145">IF(N20="Not Received",M32,N20)</f>
        <v>1</v>
      </c>
      <c r="O32" s="34">
        <f t="shared" ref="O32:O39" si="146">IF(O20="Not Received",N32,O20)</f>
        <v>1</v>
      </c>
      <c r="P32" s="34">
        <f t="shared" ref="P32:P39" si="147">IF(P20="Not Received",O32,P20)</f>
        <v>1</v>
      </c>
      <c r="Q32" s="34">
        <f t="shared" ref="Q32:Q39" si="148">IF(Q20="Not Received",P32,Q20)</f>
        <v>1</v>
      </c>
      <c r="R32" s="34">
        <f t="shared" ref="R32:R39" si="149">IF(R20="Not Received",Q32,R20)</f>
        <v>0</v>
      </c>
      <c r="S32" s="34">
        <f t="shared" ref="S32:S39" si="150">IF(S20="Not Received",R32,S20)</f>
        <v>0</v>
      </c>
      <c r="T32" s="34">
        <f t="shared" ref="T32:T39" si="151">IF(T20="Not Received",S32,T20)</f>
        <v>0</v>
      </c>
      <c r="U32" s="34">
        <f t="shared" ref="U32:U39" si="152">IF(U20="Not Received",T32,U20)</f>
        <v>1</v>
      </c>
      <c r="V32" s="34">
        <f t="shared" ref="V32:V39" si="153">IF(V20="Not Received",U32,V20)</f>
        <v>1</v>
      </c>
      <c r="W32" s="34">
        <f t="shared" ref="W32:W39" si="154">IF(W20="Not Received",V32,W20)</f>
        <v>1</v>
      </c>
      <c r="X32" s="34">
        <f t="shared" ref="X32:X39" si="155">IF(X20="Not Received",W32,X20)</f>
        <v>1</v>
      </c>
      <c r="Y32" s="34">
        <f t="shared" ref="Y32:Y39" si="156">IF(Y20="Not Received",X32,Y20)</f>
        <v>1</v>
      </c>
      <c r="Z32" s="34">
        <f t="shared" ref="Z32:Z39" si="157">IF(Z20="Not Received",Y32,Z20)</f>
        <v>1</v>
      </c>
      <c r="AA32" s="34">
        <f t="shared" ref="AA32:AA39" si="158">IF(AA20="Not Received",Z32,AA20)</f>
        <v>1</v>
      </c>
      <c r="AB32" s="34">
        <f t="shared" ref="AB32:AB39" si="159">IF(AB20="Not Received",AA32,AB20)</f>
        <v>1</v>
      </c>
      <c r="AC32" s="34">
        <f t="shared" ref="AC32:AC39" si="160">IF(AC20="Not Received",AB32,AC20)</f>
        <v>1</v>
      </c>
      <c r="AD32" s="34">
        <f t="shared" ref="AD32:AD39" si="161">IF(AD20="Not Received",AC32,AD20)</f>
        <v>1</v>
      </c>
      <c r="AE32" s="34">
        <f t="shared" ref="AE32:AE39" si="162">IF(AE20="Not Received",AD32,AE20)</f>
        <v>1</v>
      </c>
      <c r="AF32" s="34">
        <f t="shared" ref="AF32:AF39" si="163">IF(AF20="Not Received",AE32,AF20)</f>
        <v>1</v>
      </c>
      <c r="AG32" s="34">
        <f t="shared" ref="AG32:AG39" si="164">IF(AG20="Not Received",AF32,AG20)</f>
        <v>1</v>
      </c>
      <c r="AH32" s="34">
        <f t="shared" ref="AH32:AH39" si="165">IF(AH20="Not Received",AG32,AH20)</f>
        <v>1</v>
      </c>
      <c r="AI32" s="34">
        <f t="shared" ref="AI32:AI39" si="166">IF(AI20="Not Received",AH32,AI20)</f>
        <v>1</v>
      </c>
      <c r="AJ32" s="34">
        <f t="shared" ref="AJ32:AJ39" si="167">IF(AJ20="Not Received",AI32,AJ20)</f>
        <v>1</v>
      </c>
      <c r="AK32" s="34">
        <f t="shared" ref="AK32:AK39" si="168">IF(AK20="Not Received",AJ32,AK20)</f>
        <v>1</v>
      </c>
      <c r="AL32" s="34">
        <f t="shared" ref="AL32:AL39" si="169">IF(AL20="Not Received",AK32,AL20)</f>
        <v>1</v>
      </c>
      <c r="AM32" s="34">
        <f t="shared" ref="AM32:AM39" si="170">IF(AM20="Not Received",AL32,AM20)</f>
        <v>1</v>
      </c>
      <c r="AN32" s="34">
        <f t="shared" ref="AN32:AN39" si="171">IF(AN20="Not Received",AM32,AN20)</f>
        <v>1</v>
      </c>
      <c r="AO32" s="34">
        <f t="shared" ref="AO32:AO39" si="172">IF(AO20="Not Received",AN32,AO20)</f>
        <v>1</v>
      </c>
      <c r="AP32" s="34">
        <f t="shared" ref="AP32:AP39" si="173">IF(AP20="Not Received",AO32,AP20)</f>
        <v>1</v>
      </c>
      <c r="AQ32" s="34">
        <f t="shared" ref="AQ32:AQ39" si="174">IF(AQ20="Not Received",AP32,AQ20)</f>
        <v>1</v>
      </c>
      <c r="AR32" s="34">
        <f t="shared" ref="AR32:AR39" si="175">IF(AR20="Not Received",AQ32,AR20)</f>
        <v>1</v>
      </c>
      <c r="AS32" s="34">
        <f t="shared" ref="AS32:AS39" si="176">IF(AS20="Not Received",AR32,AS20)</f>
        <v>1</v>
      </c>
      <c r="AT32" s="34">
        <f t="shared" ref="AT32:AT39" si="177">IF(AT20="Not Received",AS32,AT20)</f>
        <v>1</v>
      </c>
      <c r="AU32" s="34">
        <f t="shared" ref="AU32:AU39" si="178">IF(AU20="Not Received",AT32,AU20)</f>
        <v>1</v>
      </c>
      <c r="AV32" s="34">
        <f t="shared" ref="AV32:AV39" si="179">IF(AV20="Not Received",AU32,AV20)</f>
        <v>1</v>
      </c>
      <c r="AW32" s="34">
        <f t="shared" ref="AW32:AW39" si="180">IF(AW20="Not Received",AV32,AW20)</f>
        <v>1</v>
      </c>
      <c r="AX32" s="34">
        <f t="shared" ref="AX32:AX39" si="181">IF(AX20="Not Received",AW32,AX20)</f>
        <v>1</v>
      </c>
      <c r="AY32" s="34">
        <f t="shared" ref="AY32:AY39" si="182">IF(AY20="Not Received",AX32,AY20)</f>
        <v>1</v>
      </c>
      <c r="AZ32" s="34">
        <f t="shared" ref="AZ32:AZ39" si="183">IF(AZ20="Not Received",AY32,AZ20)</f>
        <v>1</v>
      </c>
      <c r="BA32" s="34">
        <f t="shared" ref="BA32:BA39" si="184">IF(BA20="Not Received",AZ32,BA20)</f>
        <v>1</v>
      </c>
      <c r="BB32" s="34">
        <f t="shared" ref="BB32:BB39" si="185">IF(BB20="Not Received",BA32,BB20)</f>
        <v>1</v>
      </c>
      <c r="BC32" s="34">
        <f t="shared" ref="BC32:BC39" si="186">IF(BC20="Not Received",BB32,BC20)</f>
        <v>1</v>
      </c>
      <c r="BD32" s="34">
        <f t="shared" ref="BD32:BD39" si="187">IF(BD20="Not Received",BC32,BD20)</f>
        <v>1</v>
      </c>
      <c r="BE32" s="34">
        <f t="shared" ref="BE32:BE39" si="188">IF(BE20="Not Received",BD32,BE20)</f>
        <v>1</v>
      </c>
      <c r="BF32" s="34">
        <f t="shared" ref="BF32:BF39" si="189">IF(BF20="Not Received",BE32,BF20)</f>
        <v>1</v>
      </c>
      <c r="BG32" s="34">
        <f t="shared" ref="BG32:BG39" si="190">IF(BG20="Not Received",BF32,BG20)</f>
        <v>1</v>
      </c>
      <c r="BH32" s="34">
        <f t="shared" ref="BH32:BH39" si="191">IF(BH20="Not Received",BG32,BH20)</f>
        <v>1</v>
      </c>
      <c r="BI32" s="34">
        <f t="shared" ref="BI32:BI39" si="192">IF(BI20="Not Received",BH32,BI20)</f>
        <v>1</v>
      </c>
      <c r="BJ32" s="34">
        <f t="shared" ref="BJ32:BJ39" si="193">IF(BJ20="Not Received",BI32,BJ20)</f>
        <v>1</v>
      </c>
      <c r="BK32" s="34">
        <f t="shared" ref="BK32:BK39" si="194">IF(BK20="Not Received",BJ32,BK20)</f>
        <v>1</v>
      </c>
      <c r="BL32" s="34">
        <f t="shared" ref="BL32:BL39" si="195">IF(BL20="Not Received",BK32,BL20)</f>
        <v>1</v>
      </c>
      <c r="BM32" s="34">
        <f t="shared" ref="BM32:BM39" si="196">IF(BM20="Not Received",BL32,BM20)</f>
        <v>1</v>
      </c>
      <c r="BN32" s="34">
        <f t="shared" ref="BN32:BN39" si="197">IF(BN20="Not Received",BM32,BN20)</f>
        <v>1</v>
      </c>
      <c r="BO32" s="34">
        <f t="shared" ref="BO32:BO39" si="198">IF(BO20="Not Received",BN32,BO20)</f>
        <v>1</v>
      </c>
      <c r="BP32" s="34">
        <f t="shared" ref="BP32:BQ39" si="199">IF(BP20="Not Received",BO32,BP20)</f>
        <v>1</v>
      </c>
      <c r="BQ32" s="42">
        <f t="shared" si="199"/>
        <v>1</v>
      </c>
      <c r="BR32" s="42">
        <f t="shared" ref="BR32:BR39" si="200">IF(BR20="Not Received",BQ32,BR20)</f>
        <v>1</v>
      </c>
      <c r="BS32" s="42">
        <f t="shared" ref="BS32:BS39" si="201">IF(BS20="Not Received",BR32,BS20)</f>
        <v>1</v>
      </c>
      <c r="BT32" s="10">
        <f t="shared" ref="BT32:CU39" si="202">IF(BT20="Not Received",BS32,BT20)</f>
        <v>1</v>
      </c>
      <c r="BU32" s="10">
        <f t="shared" si="202"/>
        <v>1</v>
      </c>
      <c r="BV32" s="10">
        <f t="shared" si="202"/>
        <v>1</v>
      </c>
      <c r="BW32" s="35">
        <f t="shared" si="202"/>
        <v>1</v>
      </c>
      <c r="BX32" s="10">
        <f t="shared" si="202"/>
        <v>1</v>
      </c>
      <c r="BY32" s="10">
        <f t="shared" si="202"/>
        <v>1</v>
      </c>
      <c r="BZ32" s="10">
        <f t="shared" si="202"/>
        <v>1</v>
      </c>
      <c r="CA32" s="10">
        <f t="shared" si="202"/>
        <v>1</v>
      </c>
      <c r="CB32" s="10">
        <f t="shared" si="202"/>
        <v>1</v>
      </c>
      <c r="CC32" s="10">
        <f t="shared" si="202"/>
        <v>1</v>
      </c>
      <c r="CD32" s="10">
        <f t="shared" si="202"/>
        <v>1</v>
      </c>
      <c r="CE32" s="10">
        <f t="shared" si="202"/>
        <v>1</v>
      </c>
      <c r="CF32" s="56">
        <f t="shared" si="202"/>
        <v>1</v>
      </c>
      <c r="CG32" s="56">
        <f t="shared" si="202"/>
        <v>1</v>
      </c>
      <c r="CH32" s="56">
        <f t="shared" si="202"/>
        <v>1</v>
      </c>
      <c r="CI32" s="56">
        <f t="shared" si="202"/>
        <v>1</v>
      </c>
      <c r="CJ32" s="56">
        <f t="shared" si="202"/>
        <v>1</v>
      </c>
      <c r="CK32" s="56">
        <f t="shared" si="202"/>
        <v>1</v>
      </c>
      <c r="CL32" s="56">
        <f t="shared" si="202"/>
        <v>1</v>
      </c>
      <c r="CM32" s="56">
        <f>IF(CM20="Not Received",CL32,CM20)</f>
        <v>1</v>
      </c>
      <c r="CN32" s="56">
        <f t="shared" si="202"/>
        <v>1</v>
      </c>
      <c r="CO32" s="56">
        <f t="shared" si="202"/>
        <v>1</v>
      </c>
      <c r="CP32" s="56">
        <f t="shared" si="202"/>
        <v>1</v>
      </c>
      <c r="CQ32" s="56">
        <f t="shared" si="202"/>
        <v>1</v>
      </c>
      <c r="CR32" s="56">
        <f t="shared" si="202"/>
        <v>1</v>
      </c>
      <c r="CS32" s="56">
        <f t="shared" si="202"/>
        <v>1</v>
      </c>
      <c r="CT32" s="56">
        <f t="shared" si="202"/>
        <v>1</v>
      </c>
      <c r="CU32" s="56">
        <f t="shared" si="202"/>
        <v>1</v>
      </c>
      <c r="CV32" s="56">
        <f t="shared" ref="CV32:EZ36" si="203">IF(CV20="Not Received",CU32,CV20)</f>
        <v>1</v>
      </c>
      <c r="CW32" s="56">
        <f t="shared" si="203"/>
        <v>1</v>
      </c>
      <c r="CX32" s="56">
        <f t="shared" si="203"/>
        <v>1</v>
      </c>
      <c r="CY32" s="56">
        <f t="shared" si="203"/>
        <v>0</v>
      </c>
      <c r="CZ32" s="56">
        <f t="shared" si="203"/>
        <v>0</v>
      </c>
      <c r="DA32" s="56">
        <f t="shared" si="203"/>
        <v>0</v>
      </c>
      <c r="DB32" s="56">
        <f t="shared" si="203"/>
        <v>0</v>
      </c>
      <c r="DC32" s="56">
        <f t="shared" si="203"/>
        <v>0</v>
      </c>
      <c r="DD32" s="56">
        <f t="shared" si="203"/>
        <v>0</v>
      </c>
      <c r="DE32" s="56">
        <f t="shared" si="203"/>
        <v>0</v>
      </c>
      <c r="DF32" s="56">
        <f t="shared" si="203"/>
        <v>0</v>
      </c>
      <c r="DG32" s="56">
        <f t="shared" si="203"/>
        <v>0</v>
      </c>
      <c r="DH32" s="56">
        <f t="shared" si="203"/>
        <v>0</v>
      </c>
      <c r="DI32" s="56">
        <f t="shared" si="203"/>
        <v>0</v>
      </c>
      <c r="DJ32" s="56">
        <f t="shared" si="203"/>
        <v>0</v>
      </c>
      <c r="DK32" s="56">
        <f t="shared" si="203"/>
        <v>0</v>
      </c>
      <c r="DL32" s="56">
        <f t="shared" si="203"/>
        <v>0</v>
      </c>
      <c r="DM32" s="56">
        <f t="shared" si="203"/>
        <v>0</v>
      </c>
      <c r="DN32" s="56">
        <f t="shared" si="203"/>
        <v>0</v>
      </c>
      <c r="DO32" s="56">
        <f t="shared" si="203"/>
        <v>0</v>
      </c>
      <c r="DP32" s="56">
        <f t="shared" si="203"/>
        <v>0</v>
      </c>
      <c r="DQ32" s="56">
        <f t="shared" si="203"/>
        <v>0</v>
      </c>
      <c r="DR32" s="56">
        <f t="shared" si="203"/>
        <v>0</v>
      </c>
      <c r="DS32" s="56">
        <f t="shared" si="203"/>
        <v>0</v>
      </c>
      <c r="DT32" s="56">
        <f t="shared" si="203"/>
        <v>0</v>
      </c>
      <c r="DU32" s="56">
        <f t="shared" si="203"/>
        <v>0</v>
      </c>
      <c r="DV32" s="56">
        <f t="shared" si="203"/>
        <v>0</v>
      </c>
      <c r="DW32" s="56">
        <f t="shared" si="203"/>
        <v>0</v>
      </c>
      <c r="DX32" s="56">
        <f t="shared" si="203"/>
        <v>0</v>
      </c>
      <c r="DY32" s="56">
        <f t="shared" si="203"/>
        <v>0</v>
      </c>
      <c r="DZ32" s="56">
        <f t="shared" si="203"/>
        <v>0</v>
      </c>
      <c r="EA32" s="56">
        <f t="shared" si="203"/>
        <v>0</v>
      </c>
      <c r="EB32" s="56">
        <f t="shared" si="203"/>
        <v>0</v>
      </c>
      <c r="EC32" s="56">
        <f t="shared" si="203"/>
        <v>0</v>
      </c>
      <c r="ED32" s="56">
        <f t="shared" si="203"/>
        <v>0</v>
      </c>
      <c r="EE32" s="56">
        <f t="shared" si="203"/>
        <v>0</v>
      </c>
      <c r="EF32" s="56">
        <f t="shared" si="203"/>
        <v>0</v>
      </c>
      <c r="EG32" s="56">
        <f t="shared" si="203"/>
        <v>0</v>
      </c>
      <c r="EH32" s="56">
        <f t="shared" si="203"/>
        <v>0</v>
      </c>
      <c r="EI32" s="56">
        <f t="shared" si="203"/>
        <v>0</v>
      </c>
      <c r="EJ32" s="56">
        <f t="shared" si="203"/>
        <v>0</v>
      </c>
      <c r="EK32" s="56">
        <f t="shared" si="203"/>
        <v>0</v>
      </c>
      <c r="EL32" s="56">
        <f t="shared" si="203"/>
        <v>0</v>
      </c>
      <c r="EM32" s="56">
        <f t="shared" si="203"/>
        <v>0</v>
      </c>
      <c r="EN32" s="56">
        <f t="shared" si="203"/>
        <v>0</v>
      </c>
      <c r="EO32" s="56">
        <f t="shared" si="203"/>
        <v>0</v>
      </c>
      <c r="EP32" s="56">
        <f t="shared" si="203"/>
        <v>0</v>
      </c>
      <c r="EQ32" s="56">
        <f t="shared" si="203"/>
        <v>0</v>
      </c>
      <c r="ER32" s="56">
        <f t="shared" si="203"/>
        <v>0</v>
      </c>
      <c r="ES32" s="56">
        <f t="shared" si="203"/>
        <v>0</v>
      </c>
      <c r="ET32" s="56">
        <f t="shared" si="203"/>
        <v>0</v>
      </c>
      <c r="EU32" s="56">
        <f t="shared" si="203"/>
        <v>0</v>
      </c>
      <c r="EV32" s="56">
        <f t="shared" si="203"/>
        <v>0</v>
      </c>
      <c r="EW32" s="56">
        <f t="shared" si="203"/>
        <v>0</v>
      </c>
      <c r="EX32" s="56">
        <f t="shared" si="203"/>
        <v>0</v>
      </c>
      <c r="EY32" s="56">
        <f t="shared" si="203"/>
        <v>0</v>
      </c>
      <c r="EZ32" s="56">
        <f t="shared" si="203"/>
        <v>0</v>
      </c>
      <c r="FA32" s="56">
        <f t="shared" ref="FA32:FO39" si="204">IF(FA20="Not Received",EZ32,FA20)</f>
        <v>0</v>
      </c>
      <c r="FB32" s="56">
        <f t="shared" si="204"/>
        <v>0</v>
      </c>
      <c r="FC32" s="56">
        <f t="shared" si="204"/>
        <v>0</v>
      </c>
      <c r="FD32" s="56">
        <f t="shared" si="204"/>
        <v>0</v>
      </c>
      <c r="FE32" s="56">
        <f t="shared" si="204"/>
        <v>0</v>
      </c>
      <c r="FF32" s="56">
        <f t="shared" si="204"/>
        <v>0</v>
      </c>
      <c r="FG32" s="56">
        <f t="shared" si="204"/>
        <v>0</v>
      </c>
      <c r="FH32" s="56">
        <f t="shared" si="204"/>
        <v>0</v>
      </c>
      <c r="FI32" s="56">
        <f t="shared" si="204"/>
        <v>0</v>
      </c>
      <c r="FJ32" s="56">
        <f t="shared" si="204"/>
        <v>0</v>
      </c>
      <c r="FK32" s="56">
        <f t="shared" si="204"/>
        <v>0</v>
      </c>
      <c r="FL32" s="56">
        <f t="shared" si="204"/>
        <v>0</v>
      </c>
      <c r="FM32" s="56">
        <f t="shared" si="204"/>
        <v>0</v>
      </c>
      <c r="FN32" s="56">
        <f t="shared" si="204"/>
        <v>0</v>
      </c>
      <c r="FO32" s="56">
        <f t="shared" si="204"/>
        <v>0</v>
      </c>
      <c r="FP32" s="10"/>
      <c r="FQ32" s="10">
        <f t="shared" ref="FQ32:HM37" si="205">IF(FQ20="Not Received",FP32,FQ20)</f>
        <v>1</v>
      </c>
      <c r="FR32" s="10">
        <f t="shared" si="205"/>
        <v>1</v>
      </c>
      <c r="FS32" s="10">
        <f t="shared" si="205"/>
        <v>1</v>
      </c>
      <c r="FT32" s="10">
        <f t="shared" si="205"/>
        <v>1</v>
      </c>
      <c r="FU32" s="10">
        <f t="shared" si="205"/>
        <v>1</v>
      </c>
      <c r="FV32" s="10">
        <f t="shared" si="205"/>
        <v>1</v>
      </c>
      <c r="FW32" s="10">
        <f t="shared" si="205"/>
        <v>1</v>
      </c>
      <c r="FX32" s="10">
        <f t="shared" si="205"/>
        <v>0</v>
      </c>
      <c r="FY32" s="10">
        <f t="shared" si="205"/>
        <v>0</v>
      </c>
      <c r="FZ32" s="10">
        <f t="shared" si="205"/>
        <v>0</v>
      </c>
      <c r="GA32" s="10">
        <f t="shared" si="205"/>
        <v>0</v>
      </c>
      <c r="GB32" s="10">
        <f t="shared" si="205"/>
        <v>0</v>
      </c>
      <c r="GC32" s="10">
        <f t="shared" si="205"/>
        <v>0</v>
      </c>
      <c r="GD32" s="10">
        <f t="shared" si="205"/>
        <v>0</v>
      </c>
      <c r="GE32" s="10">
        <f t="shared" si="205"/>
        <v>0</v>
      </c>
      <c r="GF32" s="10">
        <f t="shared" si="205"/>
        <v>0</v>
      </c>
      <c r="GG32" s="10">
        <f t="shared" si="205"/>
        <v>0</v>
      </c>
      <c r="GH32" s="10">
        <f t="shared" si="205"/>
        <v>0</v>
      </c>
      <c r="GI32" s="10">
        <f t="shared" si="205"/>
        <v>0</v>
      </c>
      <c r="GJ32" s="10">
        <f t="shared" si="205"/>
        <v>0</v>
      </c>
      <c r="GK32" s="10">
        <f t="shared" si="205"/>
        <v>0</v>
      </c>
      <c r="GL32" s="10">
        <f t="shared" si="205"/>
        <v>0</v>
      </c>
      <c r="GM32" s="10">
        <f t="shared" si="205"/>
        <v>0</v>
      </c>
      <c r="GN32" s="10">
        <f t="shared" si="205"/>
        <v>0</v>
      </c>
      <c r="GO32" s="10">
        <f t="shared" si="205"/>
        <v>0</v>
      </c>
      <c r="GP32" s="10">
        <f t="shared" si="205"/>
        <v>0</v>
      </c>
      <c r="GQ32" s="10">
        <f t="shared" si="205"/>
        <v>0</v>
      </c>
      <c r="GR32" s="10">
        <f t="shared" si="205"/>
        <v>0</v>
      </c>
      <c r="GS32" s="10">
        <f t="shared" si="205"/>
        <v>0</v>
      </c>
      <c r="GT32" s="10">
        <f t="shared" si="205"/>
        <v>0</v>
      </c>
      <c r="GU32" s="10">
        <f t="shared" si="205"/>
        <v>0</v>
      </c>
      <c r="GV32" s="10">
        <f t="shared" si="205"/>
        <v>0</v>
      </c>
      <c r="GW32" s="10">
        <f t="shared" si="205"/>
        <v>0</v>
      </c>
      <c r="GX32" s="10">
        <f t="shared" si="205"/>
        <v>0</v>
      </c>
      <c r="GY32" s="10">
        <f t="shared" si="205"/>
        <v>0</v>
      </c>
      <c r="GZ32" s="10">
        <f t="shared" si="205"/>
        <v>0</v>
      </c>
      <c r="HA32" s="10">
        <f t="shared" si="205"/>
        <v>0</v>
      </c>
      <c r="HB32" s="10">
        <f t="shared" si="205"/>
        <v>0</v>
      </c>
      <c r="HC32" s="10">
        <f t="shared" si="205"/>
        <v>0</v>
      </c>
      <c r="HD32" s="10">
        <f t="shared" si="205"/>
        <v>0</v>
      </c>
      <c r="HE32" s="10">
        <f t="shared" si="205"/>
        <v>0</v>
      </c>
      <c r="HF32" s="10">
        <f t="shared" si="205"/>
        <v>0</v>
      </c>
      <c r="HG32" s="10">
        <f t="shared" si="205"/>
        <v>0</v>
      </c>
      <c r="HH32" s="10">
        <f t="shared" si="205"/>
        <v>0</v>
      </c>
      <c r="HI32" s="10">
        <f t="shared" si="205"/>
        <v>0</v>
      </c>
      <c r="HJ32" s="10">
        <f t="shared" si="205"/>
        <v>0</v>
      </c>
      <c r="HK32" s="10">
        <f t="shared" si="205"/>
        <v>0</v>
      </c>
      <c r="HL32" s="10">
        <f t="shared" si="205"/>
        <v>0</v>
      </c>
      <c r="HM32" s="10">
        <f t="shared" si="205"/>
        <v>0</v>
      </c>
      <c r="HN32" s="10">
        <f t="shared" ref="HN32:IH39" si="206">IF(HN20="Not Received",HM32,HN20)</f>
        <v>0</v>
      </c>
      <c r="HO32" s="10">
        <f t="shared" si="206"/>
        <v>0</v>
      </c>
      <c r="HP32" s="10">
        <f t="shared" si="206"/>
        <v>0</v>
      </c>
      <c r="HQ32" s="10">
        <f t="shared" si="206"/>
        <v>0</v>
      </c>
      <c r="HR32" s="10">
        <f t="shared" si="206"/>
        <v>0</v>
      </c>
      <c r="HS32" s="10">
        <f t="shared" si="206"/>
        <v>0</v>
      </c>
      <c r="HT32" s="10">
        <f t="shared" si="206"/>
        <v>0</v>
      </c>
      <c r="HU32" s="10">
        <f t="shared" si="206"/>
        <v>0</v>
      </c>
      <c r="HV32" s="10">
        <f t="shared" si="206"/>
        <v>0</v>
      </c>
      <c r="HW32" s="10">
        <f t="shared" si="206"/>
        <v>0</v>
      </c>
      <c r="HX32" s="10">
        <f t="shared" si="206"/>
        <v>0</v>
      </c>
      <c r="HY32" s="10">
        <f t="shared" si="206"/>
        <v>0</v>
      </c>
      <c r="HZ32" s="10">
        <f t="shared" si="206"/>
        <v>0</v>
      </c>
      <c r="IA32" s="10">
        <f t="shared" si="206"/>
        <v>0</v>
      </c>
      <c r="IB32" s="10">
        <f t="shared" si="206"/>
        <v>0</v>
      </c>
      <c r="IC32" s="10">
        <f t="shared" si="206"/>
        <v>0</v>
      </c>
      <c r="ID32" s="10">
        <f t="shared" si="206"/>
        <v>0</v>
      </c>
      <c r="IE32" s="10">
        <f t="shared" si="206"/>
        <v>0</v>
      </c>
      <c r="IF32" s="10">
        <f t="shared" si="206"/>
        <v>0</v>
      </c>
      <c r="IG32" s="10">
        <f t="shared" si="206"/>
        <v>0</v>
      </c>
      <c r="IH32" s="10">
        <f t="shared" si="206"/>
        <v>0</v>
      </c>
      <c r="II32" s="10"/>
      <c r="IJ32" s="10">
        <f t="shared" ref="IJ32:JZ36" si="207">IF(IJ20="Not Received",II32,IJ20)</f>
        <v>1</v>
      </c>
      <c r="IK32" s="10">
        <f t="shared" si="207"/>
        <v>1</v>
      </c>
      <c r="IL32" s="10">
        <f t="shared" si="207"/>
        <v>1</v>
      </c>
      <c r="IM32" s="35">
        <f t="shared" si="207"/>
        <v>1</v>
      </c>
      <c r="IN32" s="35">
        <f t="shared" si="207"/>
        <v>1</v>
      </c>
      <c r="IO32" s="35">
        <f t="shared" si="207"/>
        <v>1</v>
      </c>
      <c r="IP32" s="10">
        <f t="shared" si="207"/>
        <v>1</v>
      </c>
      <c r="IQ32" s="30">
        <f t="shared" ref="IQ32" si="208">IF(IQ20="Not Received",IP32,IQ20)</f>
        <v>1</v>
      </c>
      <c r="IR32" s="30">
        <f t="shared" ref="IR32" si="209">IF(IR20="Not Received",IQ32,IR20)</f>
        <v>1</v>
      </c>
      <c r="IS32" s="30">
        <f t="shared" ref="IS32" si="210">IF(IS20="Not Received",IR32,IS20)</f>
        <v>1</v>
      </c>
      <c r="IT32" s="30">
        <f t="shared" ref="IT32" si="211">IF(IT20="Not Received",IS32,IT20)</f>
        <v>1</v>
      </c>
      <c r="IU32" s="30">
        <f t="shared" ref="IU32" si="212">IF(IU20="Not Received",IT32,IU20)</f>
        <v>1</v>
      </c>
      <c r="IV32" s="30">
        <f t="shared" ref="IV32" si="213">IF(IV20="Not Received",IU32,IV20)</f>
        <v>1</v>
      </c>
      <c r="IW32" s="30">
        <f t="shared" si="207"/>
        <v>1</v>
      </c>
      <c r="IX32" s="30">
        <f t="shared" si="207"/>
        <v>1</v>
      </c>
      <c r="IY32" s="30">
        <f t="shared" si="207"/>
        <v>1</v>
      </c>
      <c r="IZ32" s="30">
        <f t="shared" si="207"/>
        <v>1</v>
      </c>
      <c r="JA32" s="30">
        <f t="shared" si="207"/>
        <v>1</v>
      </c>
      <c r="JB32" s="30">
        <f t="shared" si="207"/>
        <v>1</v>
      </c>
      <c r="JC32" s="30">
        <f t="shared" si="207"/>
        <v>1</v>
      </c>
      <c r="JD32" s="30">
        <f t="shared" si="207"/>
        <v>1</v>
      </c>
      <c r="JE32" s="30">
        <f t="shared" si="207"/>
        <v>1</v>
      </c>
      <c r="JF32" s="30">
        <f t="shared" si="207"/>
        <v>1</v>
      </c>
      <c r="JG32" s="30">
        <f t="shared" si="207"/>
        <v>1</v>
      </c>
      <c r="JH32" s="30">
        <f t="shared" si="207"/>
        <v>0</v>
      </c>
      <c r="JI32" s="30">
        <f t="shared" si="207"/>
        <v>0</v>
      </c>
      <c r="JJ32" s="30">
        <f t="shared" si="207"/>
        <v>0</v>
      </c>
      <c r="JK32" s="30">
        <f t="shared" si="207"/>
        <v>0</v>
      </c>
      <c r="JL32" s="30">
        <f t="shared" si="207"/>
        <v>0</v>
      </c>
      <c r="JM32" s="30">
        <f t="shared" si="207"/>
        <v>0</v>
      </c>
      <c r="JN32" s="30">
        <f t="shared" si="207"/>
        <v>0</v>
      </c>
      <c r="JO32" s="30">
        <f t="shared" si="207"/>
        <v>0</v>
      </c>
      <c r="JP32" s="30">
        <f t="shared" si="207"/>
        <v>0</v>
      </c>
      <c r="JQ32" s="30">
        <f t="shared" si="207"/>
        <v>0</v>
      </c>
      <c r="JR32" s="30">
        <f t="shared" si="207"/>
        <v>0</v>
      </c>
      <c r="JS32" s="30">
        <f t="shared" si="207"/>
        <v>0</v>
      </c>
      <c r="JT32" s="30">
        <f t="shared" si="207"/>
        <v>0</v>
      </c>
      <c r="JU32" s="30">
        <f t="shared" si="207"/>
        <v>0</v>
      </c>
      <c r="JV32" s="30">
        <f t="shared" si="207"/>
        <v>0</v>
      </c>
      <c r="JW32" s="30">
        <f t="shared" si="207"/>
        <v>0</v>
      </c>
      <c r="JX32" s="30">
        <f t="shared" si="207"/>
        <v>0</v>
      </c>
      <c r="JY32" s="30">
        <f t="shared" si="207"/>
        <v>0</v>
      </c>
      <c r="JZ32" s="30">
        <f t="shared" si="207"/>
        <v>0</v>
      </c>
      <c r="KA32" s="30">
        <f t="shared" ref="KA32:ML35" si="214">IF(KA20="Not Received",JZ32,KA20)</f>
        <v>0</v>
      </c>
      <c r="KB32" s="30">
        <f t="shared" si="214"/>
        <v>0</v>
      </c>
      <c r="KC32" s="30">
        <f t="shared" si="214"/>
        <v>0</v>
      </c>
      <c r="KD32" s="30">
        <f t="shared" si="214"/>
        <v>0</v>
      </c>
      <c r="KE32" s="30">
        <f t="shared" si="214"/>
        <v>0</v>
      </c>
      <c r="KF32" s="30">
        <f t="shared" si="214"/>
        <v>0</v>
      </c>
      <c r="KG32" s="30">
        <f t="shared" si="214"/>
        <v>0</v>
      </c>
      <c r="KH32" s="30">
        <f t="shared" si="214"/>
        <v>0</v>
      </c>
      <c r="KI32" s="30">
        <f t="shared" si="214"/>
        <v>0</v>
      </c>
      <c r="KJ32" s="30">
        <f t="shared" si="214"/>
        <v>0</v>
      </c>
      <c r="KK32" s="30">
        <f t="shared" si="214"/>
        <v>0</v>
      </c>
      <c r="KL32" s="30">
        <f t="shared" si="214"/>
        <v>0</v>
      </c>
      <c r="KM32" s="30">
        <f t="shared" si="214"/>
        <v>0</v>
      </c>
      <c r="KN32" s="30">
        <f t="shared" si="214"/>
        <v>0</v>
      </c>
      <c r="KO32" s="30">
        <f t="shared" si="214"/>
        <v>0</v>
      </c>
      <c r="KP32" s="30">
        <f t="shared" si="214"/>
        <v>0</v>
      </c>
      <c r="KQ32" s="30">
        <f t="shared" si="214"/>
        <v>0</v>
      </c>
      <c r="KR32" s="30">
        <f t="shared" si="214"/>
        <v>0</v>
      </c>
      <c r="KS32" s="30">
        <f t="shared" si="214"/>
        <v>0</v>
      </c>
      <c r="KT32" s="30">
        <f t="shared" si="214"/>
        <v>0</v>
      </c>
      <c r="KU32" s="30">
        <f t="shared" si="214"/>
        <v>0</v>
      </c>
      <c r="KV32" s="30">
        <f t="shared" si="214"/>
        <v>0</v>
      </c>
      <c r="KW32" s="30">
        <f t="shared" si="214"/>
        <v>0</v>
      </c>
      <c r="KX32" s="30">
        <f t="shared" si="214"/>
        <v>0</v>
      </c>
      <c r="KY32" s="30">
        <f t="shared" si="214"/>
        <v>0</v>
      </c>
      <c r="KZ32" s="30">
        <f t="shared" si="214"/>
        <v>0</v>
      </c>
      <c r="LA32" s="30">
        <f t="shared" si="214"/>
        <v>0</v>
      </c>
      <c r="LB32" s="30">
        <f t="shared" si="214"/>
        <v>0</v>
      </c>
      <c r="LC32" s="30">
        <f t="shared" si="214"/>
        <v>0</v>
      </c>
      <c r="LD32" s="30">
        <f t="shared" si="214"/>
        <v>0</v>
      </c>
      <c r="LE32" s="30">
        <f t="shared" si="214"/>
        <v>0</v>
      </c>
      <c r="LF32" s="30">
        <f t="shared" si="214"/>
        <v>0</v>
      </c>
      <c r="LG32" s="30">
        <f t="shared" si="214"/>
        <v>0</v>
      </c>
      <c r="LH32" s="30">
        <f t="shared" si="214"/>
        <v>0</v>
      </c>
      <c r="LI32" s="30">
        <f t="shared" si="214"/>
        <v>0</v>
      </c>
      <c r="LJ32" s="30">
        <f t="shared" si="214"/>
        <v>0</v>
      </c>
      <c r="LK32" s="30">
        <f t="shared" si="214"/>
        <v>0</v>
      </c>
      <c r="LL32" s="30">
        <f t="shared" si="214"/>
        <v>0</v>
      </c>
      <c r="LM32" s="30">
        <f t="shared" si="214"/>
        <v>0</v>
      </c>
      <c r="LN32" s="30">
        <f t="shared" si="214"/>
        <v>0</v>
      </c>
      <c r="LO32" s="30">
        <f t="shared" si="214"/>
        <v>0</v>
      </c>
      <c r="LP32" s="30">
        <f t="shared" si="214"/>
        <v>0</v>
      </c>
      <c r="LQ32" s="30">
        <f t="shared" si="214"/>
        <v>0</v>
      </c>
      <c r="LR32" s="30">
        <f t="shared" si="214"/>
        <v>0</v>
      </c>
      <c r="LS32" s="30">
        <f t="shared" si="214"/>
        <v>0</v>
      </c>
      <c r="LT32" s="30">
        <f t="shared" si="214"/>
        <v>0</v>
      </c>
      <c r="LU32" s="30">
        <f t="shared" si="214"/>
        <v>0</v>
      </c>
      <c r="LV32" s="30">
        <f t="shared" si="214"/>
        <v>0</v>
      </c>
      <c r="LW32" s="30">
        <f t="shared" si="214"/>
        <v>0</v>
      </c>
      <c r="LX32" s="30">
        <f t="shared" si="214"/>
        <v>0</v>
      </c>
      <c r="LY32" s="30">
        <f t="shared" si="214"/>
        <v>0</v>
      </c>
      <c r="LZ32" s="30">
        <f t="shared" si="214"/>
        <v>0</v>
      </c>
      <c r="MA32" s="30">
        <f t="shared" si="214"/>
        <v>0</v>
      </c>
      <c r="MB32" s="30">
        <f t="shared" si="214"/>
        <v>0</v>
      </c>
      <c r="MC32" s="12">
        <f t="shared" si="214"/>
        <v>0</v>
      </c>
      <c r="MD32" s="12">
        <f t="shared" si="214"/>
        <v>0</v>
      </c>
      <c r="ME32" s="12">
        <f t="shared" si="214"/>
        <v>0</v>
      </c>
      <c r="MF32" s="12">
        <f t="shared" si="214"/>
        <v>0</v>
      </c>
      <c r="MG32" s="12">
        <f t="shared" si="214"/>
        <v>0</v>
      </c>
      <c r="MH32" s="12">
        <f t="shared" si="214"/>
        <v>0</v>
      </c>
      <c r="MI32" s="12">
        <f t="shared" si="214"/>
        <v>0</v>
      </c>
      <c r="MJ32" s="12">
        <f t="shared" si="214"/>
        <v>0</v>
      </c>
      <c r="MK32" s="12">
        <f t="shared" si="214"/>
        <v>0</v>
      </c>
      <c r="ML32" s="12">
        <f t="shared" si="214"/>
        <v>0</v>
      </c>
      <c r="MM32" s="12"/>
      <c r="MN32" s="12"/>
    </row>
    <row r="33" spans="1:352" ht="23.25" customHeight="1" x14ac:dyDescent="0.25">
      <c r="A33" s="3" t="s">
        <v>3</v>
      </c>
      <c r="B33" s="7" t="s">
        <v>41</v>
      </c>
      <c r="C33" s="34"/>
      <c r="D33" s="34">
        <f t="shared" si="135"/>
        <v>0</v>
      </c>
      <c r="E33" s="34">
        <f t="shared" si="136"/>
        <v>0</v>
      </c>
      <c r="F33" s="34">
        <f t="shared" si="137"/>
        <v>0</v>
      </c>
      <c r="G33" s="34">
        <f t="shared" si="138"/>
        <v>0</v>
      </c>
      <c r="H33" s="34">
        <f t="shared" si="139"/>
        <v>0</v>
      </c>
      <c r="I33" s="34">
        <f t="shared" si="140"/>
        <v>0</v>
      </c>
      <c r="J33" s="34">
        <f t="shared" si="141"/>
        <v>0</v>
      </c>
      <c r="K33" s="34">
        <f t="shared" si="142"/>
        <v>0</v>
      </c>
      <c r="L33" s="34">
        <f t="shared" si="143"/>
        <v>0</v>
      </c>
      <c r="M33" s="34">
        <f t="shared" si="144"/>
        <v>0</v>
      </c>
      <c r="N33" s="34">
        <f t="shared" si="145"/>
        <v>0</v>
      </c>
      <c r="O33" s="34">
        <f t="shared" si="146"/>
        <v>0</v>
      </c>
      <c r="P33" s="34">
        <f t="shared" si="147"/>
        <v>0</v>
      </c>
      <c r="Q33" s="34">
        <f t="shared" si="148"/>
        <v>0</v>
      </c>
      <c r="R33" s="34">
        <f t="shared" si="149"/>
        <v>0</v>
      </c>
      <c r="S33" s="34">
        <f t="shared" si="150"/>
        <v>0</v>
      </c>
      <c r="T33" s="34">
        <f t="shared" si="151"/>
        <v>0</v>
      </c>
      <c r="U33" s="34">
        <f t="shared" si="152"/>
        <v>0</v>
      </c>
      <c r="V33" s="34">
        <f t="shared" si="153"/>
        <v>0</v>
      </c>
      <c r="W33" s="34">
        <f t="shared" si="154"/>
        <v>0</v>
      </c>
      <c r="X33" s="34">
        <f t="shared" si="155"/>
        <v>1</v>
      </c>
      <c r="Y33" s="34">
        <f t="shared" si="156"/>
        <v>1</v>
      </c>
      <c r="Z33" s="34">
        <f t="shared" si="157"/>
        <v>1</v>
      </c>
      <c r="AA33" s="34">
        <f t="shared" si="158"/>
        <v>0</v>
      </c>
      <c r="AB33" s="34">
        <f t="shared" si="159"/>
        <v>0</v>
      </c>
      <c r="AC33" s="34">
        <f t="shared" si="160"/>
        <v>0</v>
      </c>
      <c r="AD33" s="34">
        <f t="shared" si="161"/>
        <v>0</v>
      </c>
      <c r="AE33" s="34">
        <f t="shared" si="162"/>
        <v>0</v>
      </c>
      <c r="AF33" s="34">
        <f t="shared" si="163"/>
        <v>0</v>
      </c>
      <c r="AG33" s="34">
        <f t="shared" si="164"/>
        <v>0</v>
      </c>
      <c r="AH33" s="34">
        <f t="shared" si="165"/>
        <v>0</v>
      </c>
      <c r="AI33" s="34">
        <f t="shared" si="166"/>
        <v>0</v>
      </c>
      <c r="AJ33" s="34">
        <f t="shared" si="167"/>
        <v>0</v>
      </c>
      <c r="AK33" s="34">
        <f t="shared" si="168"/>
        <v>0</v>
      </c>
      <c r="AL33" s="34">
        <f t="shared" si="169"/>
        <v>0</v>
      </c>
      <c r="AM33" s="34">
        <f t="shared" si="170"/>
        <v>0</v>
      </c>
      <c r="AN33" s="34">
        <f t="shared" si="171"/>
        <v>0</v>
      </c>
      <c r="AO33" s="34">
        <f t="shared" si="172"/>
        <v>0</v>
      </c>
      <c r="AP33" s="34">
        <f t="shared" si="173"/>
        <v>0</v>
      </c>
      <c r="AQ33" s="34">
        <f t="shared" si="174"/>
        <v>0</v>
      </c>
      <c r="AR33" s="34">
        <f t="shared" si="175"/>
        <v>0</v>
      </c>
      <c r="AS33" s="34">
        <f t="shared" si="176"/>
        <v>0</v>
      </c>
      <c r="AT33" s="34">
        <f t="shared" si="177"/>
        <v>0</v>
      </c>
      <c r="AU33" s="34">
        <f t="shared" si="178"/>
        <v>0</v>
      </c>
      <c r="AV33" s="34">
        <f t="shared" si="179"/>
        <v>0</v>
      </c>
      <c r="AW33" s="34">
        <f t="shared" si="180"/>
        <v>0</v>
      </c>
      <c r="AX33" s="34">
        <f t="shared" si="181"/>
        <v>0</v>
      </c>
      <c r="AY33" s="34">
        <f t="shared" si="182"/>
        <v>0</v>
      </c>
      <c r="AZ33" s="34">
        <f t="shared" si="183"/>
        <v>0</v>
      </c>
      <c r="BA33" s="34">
        <f t="shared" si="184"/>
        <v>0</v>
      </c>
      <c r="BB33" s="34">
        <f t="shared" si="185"/>
        <v>0</v>
      </c>
      <c r="BC33" s="34">
        <f t="shared" si="186"/>
        <v>0</v>
      </c>
      <c r="BD33" s="34">
        <f t="shared" si="187"/>
        <v>0</v>
      </c>
      <c r="BE33" s="34">
        <f t="shared" si="188"/>
        <v>0</v>
      </c>
      <c r="BF33" s="34">
        <f t="shared" si="189"/>
        <v>0</v>
      </c>
      <c r="BG33" s="34">
        <f t="shared" si="190"/>
        <v>0</v>
      </c>
      <c r="BH33" s="34">
        <f t="shared" si="191"/>
        <v>0</v>
      </c>
      <c r="BI33" s="34">
        <f t="shared" si="192"/>
        <v>0</v>
      </c>
      <c r="BJ33" s="34">
        <f t="shared" si="193"/>
        <v>0</v>
      </c>
      <c r="BK33" s="34">
        <f t="shared" si="194"/>
        <v>0</v>
      </c>
      <c r="BL33" s="34">
        <f t="shared" si="195"/>
        <v>0</v>
      </c>
      <c r="BM33" s="34">
        <f t="shared" si="196"/>
        <v>0</v>
      </c>
      <c r="BN33" s="34">
        <f t="shared" si="197"/>
        <v>0</v>
      </c>
      <c r="BO33" s="34">
        <f t="shared" si="198"/>
        <v>0</v>
      </c>
      <c r="BP33" s="34">
        <f t="shared" si="199"/>
        <v>0</v>
      </c>
      <c r="BQ33" s="42">
        <f t="shared" si="199"/>
        <v>0</v>
      </c>
      <c r="BR33" s="42">
        <f t="shared" si="200"/>
        <v>0</v>
      </c>
      <c r="BS33" s="42">
        <f t="shared" si="201"/>
        <v>0</v>
      </c>
      <c r="BT33" s="10">
        <f t="shared" si="202"/>
        <v>0</v>
      </c>
      <c r="BU33" s="10">
        <f t="shared" si="202"/>
        <v>0</v>
      </c>
      <c r="BV33" s="10">
        <f t="shared" si="202"/>
        <v>0</v>
      </c>
      <c r="BW33" s="35">
        <f t="shared" si="202"/>
        <v>0</v>
      </c>
      <c r="BX33" s="10">
        <f t="shared" si="202"/>
        <v>0</v>
      </c>
      <c r="BY33" s="10">
        <f t="shared" si="202"/>
        <v>0</v>
      </c>
      <c r="BZ33" s="10">
        <f t="shared" si="202"/>
        <v>0</v>
      </c>
      <c r="CA33" s="10">
        <f t="shared" si="202"/>
        <v>0</v>
      </c>
      <c r="CB33" s="10">
        <f t="shared" si="202"/>
        <v>0</v>
      </c>
      <c r="CC33" s="10">
        <f t="shared" si="202"/>
        <v>0</v>
      </c>
      <c r="CD33" s="10">
        <f t="shared" si="202"/>
        <v>0</v>
      </c>
      <c r="CE33" s="10">
        <f t="shared" si="202"/>
        <v>0</v>
      </c>
      <c r="CF33" s="56">
        <f t="shared" si="202"/>
        <v>0</v>
      </c>
      <c r="CG33" s="56">
        <f t="shared" si="202"/>
        <v>0</v>
      </c>
      <c r="CH33" s="56">
        <f t="shared" si="202"/>
        <v>0</v>
      </c>
      <c r="CI33" s="56">
        <f t="shared" si="202"/>
        <v>0</v>
      </c>
      <c r="CJ33" s="56">
        <f t="shared" si="202"/>
        <v>0</v>
      </c>
      <c r="CK33" s="56">
        <f t="shared" si="202"/>
        <v>0</v>
      </c>
      <c r="CL33" s="56">
        <f t="shared" si="202"/>
        <v>0</v>
      </c>
      <c r="CM33" s="56">
        <f>IF(CM21="Not Received",CL33,CM21)</f>
        <v>0</v>
      </c>
      <c r="CN33" s="56">
        <f t="shared" si="202"/>
        <v>0</v>
      </c>
      <c r="CO33" s="56">
        <f t="shared" si="202"/>
        <v>0</v>
      </c>
      <c r="CP33" s="56">
        <f t="shared" si="202"/>
        <v>0</v>
      </c>
      <c r="CQ33" s="56">
        <f t="shared" si="202"/>
        <v>0</v>
      </c>
      <c r="CR33" s="56">
        <f t="shared" si="202"/>
        <v>0</v>
      </c>
      <c r="CS33" s="56">
        <f t="shared" si="202"/>
        <v>0</v>
      </c>
      <c r="CT33" s="56">
        <f t="shared" si="202"/>
        <v>0</v>
      </c>
      <c r="CU33" s="56">
        <f t="shared" si="202"/>
        <v>0</v>
      </c>
      <c r="CV33" s="56">
        <f t="shared" si="203"/>
        <v>0</v>
      </c>
      <c r="CW33" s="56">
        <f t="shared" si="203"/>
        <v>0</v>
      </c>
      <c r="CX33" s="56">
        <f t="shared" si="203"/>
        <v>0</v>
      </c>
      <c r="CY33" s="56">
        <f t="shared" si="203"/>
        <v>0</v>
      </c>
      <c r="CZ33" s="56">
        <f t="shared" si="203"/>
        <v>0</v>
      </c>
      <c r="DA33" s="56">
        <f t="shared" si="203"/>
        <v>0</v>
      </c>
      <c r="DB33" s="56">
        <f t="shared" si="203"/>
        <v>0</v>
      </c>
      <c r="DC33" s="56">
        <f t="shared" si="203"/>
        <v>0</v>
      </c>
      <c r="DD33" s="56">
        <f t="shared" si="203"/>
        <v>0</v>
      </c>
      <c r="DE33" s="56">
        <f t="shared" si="203"/>
        <v>0</v>
      </c>
      <c r="DF33" s="56">
        <f t="shared" si="203"/>
        <v>0</v>
      </c>
      <c r="DG33" s="56">
        <f t="shared" si="203"/>
        <v>0</v>
      </c>
      <c r="DH33" s="56">
        <f t="shared" si="203"/>
        <v>0</v>
      </c>
      <c r="DI33" s="56">
        <f t="shared" si="203"/>
        <v>0</v>
      </c>
      <c r="DJ33" s="56">
        <f t="shared" si="203"/>
        <v>0</v>
      </c>
      <c r="DK33" s="56">
        <f t="shared" si="203"/>
        <v>0</v>
      </c>
      <c r="DL33" s="56">
        <f t="shared" si="203"/>
        <v>0</v>
      </c>
      <c r="DM33" s="56">
        <f t="shared" si="203"/>
        <v>0</v>
      </c>
      <c r="DN33" s="56">
        <f t="shared" si="203"/>
        <v>0</v>
      </c>
      <c r="DO33" s="56">
        <f t="shared" si="203"/>
        <v>0</v>
      </c>
      <c r="DP33" s="56">
        <f t="shared" si="203"/>
        <v>0</v>
      </c>
      <c r="DQ33" s="56">
        <f t="shared" si="203"/>
        <v>0</v>
      </c>
      <c r="DR33" s="56">
        <f t="shared" si="203"/>
        <v>0</v>
      </c>
      <c r="DS33" s="56">
        <f t="shared" si="203"/>
        <v>0</v>
      </c>
      <c r="DT33" s="56">
        <f t="shared" si="203"/>
        <v>0</v>
      </c>
      <c r="DU33" s="56">
        <f t="shared" si="203"/>
        <v>0</v>
      </c>
      <c r="DV33" s="56">
        <f t="shared" si="203"/>
        <v>0</v>
      </c>
      <c r="DW33" s="56">
        <f t="shared" si="203"/>
        <v>0</v>
      </c>
      <c r="DX33" s="56">
        <f t="shared" si="203"/>
        <v>0</v>
      </c>
      <c r="DY33" s="56">
        <f t="shared" si="203"/>
        <v>0</v>
      </c>
      <c r="DZ33" s="56">
        <f t="shared" si="203"/>
        <v>0</v>
      </c>
      <c r="EA33" s="56">
        <f t="shared" si="203"/>
        <v>0</v>
      </c>
      <c r="EB33" s="56">
        <f t="shared" si="203"/>
        <v>0</v>
      </c>
      <c r="EC33" s="56">
        <f t="shared" si="203"/>
        <v>0</v>
      </c>
      <c r="ED33" s="56">
        <f t="shared" si="203"/>
        <v>0</v>
      </c>
      <c r="EE33" s="56">
        <f t="shared" si="203"/>
        <v>0</v>
      </c>
      <c r="EF33" s="56">
        <f t="shared" si="203"/>
        <v>0</v>
      </c>
      <c r="EG33" s="56">
        <f t="shared" si="203"/>
        <v>0</v>
      </c>
      <c r="EH33" s="56">
        <f t="shared" si="203"/>
        <v>0</v>
      </c>
      <c r="EI33" s="56">
        <f t="shared" si="203"/>
        <v>0</v>
      </c>
      <c r="EJ33" s="56">
        <f t="shared" si="203"/>
        <v>0</v>
      </c>
      <c r="EK33" s="56">
        <f t="shared" si="203"/>
        <v>0</v>
      </c>
      <c r="EL33" s="56">
        <f t="shared" si="203"/>
        <v>0</v>
      </c>
      <c r="EM33" s="56">
        <f t="shared" si="203"/>
        <v>0</v>
      </c>
      <c r="EN33" s="56">
        <f t="shared" si="203"/>
        <v>0</v>
      </c>
      <c r="EO33" s="56">
        <f t="shared" si="203"/>
        <v>0</v>
      </c>
      <c r="EP33" s="56">
        <f t="shared" si="203"/>
        <v>0</v>
      </c>
      <c r="EQ33" s="56">
        <f t="shared" si="203"/>
        <v>0</v>
      </c>
      <c r="ER33" s="56">
        <f t="shared" si="203"/>
        <v>0</v>
      </c>
      <c r="ES33" s="56">
        <f t="shared" si="203"/>
        <v>0</v>
      </c>
      <c r="ET33" s="56">
        <f t="shared" si="203"/>
        <v>0</v>
      </c>
      <c r="EU33" s="56">
        <f t="shared" si="203"/>
        <v>0</v>
      </c>
      <c r="EV33" s="56">
        <f t="shared" si="203"/>
        <v>0</v>
      </c>
      <c r="EW33" s="56">
        <f t="shared" si="203"/>
        <v>0</v>
      </c>
      <c r="EX33" s="56">
        <f t="shared" si="203"/>
        <v>0</v>
      </c>
      <c r="EY33" s="56">
        <f t="shared" si="203"/>
        <v>0</v>
      </c>
      <c r="EZ33" s="56">
        <f t="shared" si="203"/>
        <v>0</v>
      </c>
      <c r="FA33" s="56">
        <f t="shared" si="204"/>
        <v>0</v>
      </c>
      <c r="FB33" s="56">
        <f t="shared" si="204"/>
        <v>0</v>
      </c>
      <c r="FC33" s="56">
        <f t="shared" si="204"/>
        <v>0</v>
      </c>
      <c r="FD33" s="56">
        <f t="shared" si="204"/>
        <v>0</v>
      </c>
      <c r="FE33" s="56">
        <f t="shared" si="204"/>
        <v>0</v>
      </c>
      <c r="FF33" s="56">
        <f t="shared" si="204"/>
        <v>0</v>
      </c>
      <c r="FG33" s="56">
        <f t="shared" si="204"/>
        <v>0</v>
      </c>
      <c r="FH33" s="56">
        <f t="shared" si="204"/>
        <v>0</v>
      </c>
      <c r="FI33" s="56">
        <f t="shared" si="204"/>
        <v>0</v>
      </c>
      <c r="FJ33" s="56">
        <f t="shared" si="204"/>
        <v>0</v>
      </c>
      <c r="FK33" s="56">
        <f t="shared" si="204"/>
        <v>0</v>
      </c>
      <c r="FL33" s="56">
        <f t="shared" si="204"/>
        <v>0</v>
      </c>
      <c r="FM33" s="56">
        <f t="shared" si="204"/>
        <v>0</v>
      </c>
      <c r="FN33" s="56">
        <f t="shared" si="204"/>
        <v>0</v>
      </c>
      <c r="FO33" s="56">
        <f t="shared" si="204"/>
        <v>0</v>
      </c>
      <c r="FP33" s="10"/>
      <c r="FQ33" s="10">
        <f t="shared" si="205"/>
        <v>0</v>
      </c>
      <c r="FR33" s="10">
        <f t="shared" si="205"/>
        <v>0</v>
      </c>
      <c r="FS33" s="10">
        <f t="shared" si="205"/>
        <v>0</v>
      </c>
      <c r="FT33" s="10">
        <f t="shared" si="205"/>
        <v>1</v>
      </c>
      <c r="FU33" s="10">
        <f t="shared" si="205"/>
        <v>1</v>
      </c>
      <c r="FV33" s="10">
        <f t="shared" si="205"/>
        <v>1</v>
      </c>
      <c r="FW33" s="10">
        <f t="shared" si="205"/>
        <v>1</v>
      </c>
      <c r="FX33" s="10">
        <f t="shared" si="205"/>
        <v>0</v>
      </c>
      <c r="FY33" s="10">
        <f t="shared" si="205"/>
        <v>0</v>
      </c>
      <c r="FZ33" s="10">
        <f t="shared" si="205"/>
        <v>0</v>
      </c>
      <c r="GA33" s="10">
        <f t="shared" si="205"/>
        <v>0</v>
      </c>
      <c r="GB33" s="10">
        <f t="shared" si="205"/>
        <v>0</v>
      </c>
      <c r="GC33" s="10">
        <f t="shared" si="205"/>
        <v>0</v>
      </c>
      <c r="GD33" s="10">
        <f t="shared" si="205"/>
        <v>0</v>
      </c>
      <c r="GE33" s="10">
        <f t="shared" si="205"/>
        <v>0</v>
      </c>
      <c r="GF33" s="10">
        <f t="shared" si="205"/>
        <v>0</v>
      </c>
      <c r="GG33" s="10">
        <f t="shared" si="205"/>
        <v>0</v>
      </c>
      <c r="GH33" s="10">
        <f t="shared" si="205"/>
        <v>0</v>
      </c>
      <c r="GI33" s="10">
        <f t="shared" si="205"/>
        <v>0</v>
      </c>
      <c r="GJ33" s="10">
        <f t="shared" si="205"/>
        <v>0</v>
      </c>
      <c r="GK33" s="10">
        <f t="shared" si="205"/>
        <v>0</v>
      </c>
      <c r="GL33" s="10">
        <f t="shared" si="205"/>
        <v>0</v>
      </c>
      <c r="GM33" s="10">
        <f t="shared" si="205"/>
        <v>0</v>
      </c>
      <c r="GN33" s="10">
        <f t="shared" si="205"/>
        <v>0</v>
      </c>
      <c r="GO33" s="10">
        <f t="shared" si="205"/>
        <v>0</v>
      </c>
      <c r="GP33" s="10">
        <f t="shared" si="205"/>
        <v>0</v>
      </c>
      <c r="GQ33" s="10">
        <f t="shared" si="205"/>
        <v>0</v>
      </c>
      <c r="GR33" s="10">
        <f t="shared" si="205"/>
        <v>0</v>
      </c>
      <c r="GS33" s="10">
        <f t="shared" si="205"/>
        <v>0</v>
      </c>
      <c r="GT33" s="10">
        <f t="shared" si="205"/>
        <v>0</v>
      </c>
      <c r="GU33" s="10">
        <f t="shared" si="205"/>
        <v>0</v>
      </c>
      <c r="GV33" s="10">
        <f t="shared" si="205"/>
        <v>0</v>
      </c>
      <c r="GW33" s="10">
        <f t="shared" si="205"/>
        <v>0</v>
      </c>
      <c r="GX33" s="10">
        <f t="shared" si="205"/>
        <v>0</v>
      </c>
      <c r="GY33" s="10">
        <f t="shared" si="205"/>
        <v>0</v>
      </c>
      <c r="GZ33" s="10">
        <f t="shared" si="205"/>
        <v>0</v>
      </c>
      <c r="HA33" s="10">
        <f t="shared" si="205"/>
        <v>0</v>
      </c>
      <c r="HB33" s="10">
        <f t="shared" si="205"/>
        <v>0</v>
      </c>
      <c r="HC33" s="10">
        <f t="shared" si="205"/>
        <v>0</v>
      </c>
      <c r="HD33" s="10">
        <f t="shared" si="205"/>
        <v>0</v>
      </c>
      <c r="HE33" s="10">
        <f t="shared" si="205"/>
        <v>0</v>
      </c>
      <c r="HF33" s="10">
        <f t="shared" si="205"/>
        <v>0</v>
      </c>
      <c r="HG33" s="10">
        <f t="shared" si="205"/>
        <v>0</v>
      </c>
      <c r="HH33" s="10">
        <f t="shared" si="205"/>
        <v>0</v>
      </c>
      <c r="HI33" s="10">
        <f t="shared" si="205"/>
        <v>0</v>
      </c>
      <c r="HJ33" s="10">
        <f t="shared" si="205"/>
        <v>0</v>
      </c>
      <c r="HK33" s="10">
        <f t="shared" si="205"/>
        <v>0</v>
      </c>
      <c r="HL33" s="10">
        <f t="shared" si="205"/>
        <v>0</v>
      </c>
      <c r="HM33" s="10">
        <f t="shared" si="205"/>
        <v>0</v>
      </c>
      <c r="HN33" s="10">
        <f t="shared" si="206"/>
        <v>0</v>
      </c>
      <c r="HO33" s="10">
        <f t="shared" si="206"/>
        <v>0</v>
      </c>
      <c r="HP33" s="10">
        <f t="shared" si="206"/>
        <v>0</v>
      </c>
      <c r="HQ33" s="10">
        <f t="shared" si="206"/>
        <v>0</v>
      </c>
      <c r="HR33" s="10">
        <f t="shared" si="206"/>
        <v>0</v>
      </c>
      <c r="HS33" s="10">
        <f t="shared" si="206"/>
        <v>0</v>
      </c>
      <c r="HT33" s="10">
        <f t="shared" si="206"/>
        <v>0</v>
      </c>
      <c r="HU33" s="10">
        <f t="shared" si="206"/>
        <v>0</v>
      </c>
      <c r="HV33" s="10">
        <f t="shared" si="206"/>
        <v>0</v>
      </c>
      <c r="HW33" s="10">
        <f t="shared" si="206"/>
        <v>0</v>
      </c>
      <c r="HX33" s="10">
        <f t="shared" si="206"/>
        <v>0</v>
      </c>
      <c r="HY33" s="10">
        <f t="shared" si="206"/>
        <v>0</v>
      </c>
      <c r="HZ33" s="10">
        <f t="shared" si="206"/>
        <v>0</v>
      </c>
      <c r="IA33" s="10">
        <f t="shared" si="206"/>
        <v>0</v>
      </c>
      <c r="IB33" s="10">
        <f t="shared" si="206"/>
        <v>0</v>
      </c>
      <c r="IC33" s="10">
        <f t="shared" si="206"/>
        <v>0</v>
      </c>
      <c r="ID33" s="10">
        <f t="shared" si="206"/>
        <v>0</v>
      </c>
      <c r="IE33" s="10">
        <f t="shared" si="206"/>
        <v>0</v>
      </c>
      <c r="IF33" s="10">
        <f t="shared" si="206"/>
        <v>0</v>
      </c>
      <c r="IG33" s="10">
        <f t="shared" si="206"/>
        <v>0</v>
      </c>
      <c r="IH33" s="10">
        <f t="shared" si="206"/>
        <v>0</v>
      </c>
      <c r="II33" s="10"/>
      <c r="IJ33" s="10">
        <f t="shared" si="207"/>
        <v>0</v>
      </c>
      <c r="IK33" s="10">
        <f t="shared" si="207"/>
        <v>0</v>
      </c>
      <c r="IL33" s="10">
        <f t="shared" si="207"/>
        <v>1</v>
      </c>
      <c r="IM33" s="35">
        <f t="shared" si="207"/>
        <v>1</v>
      </c>
      <c r="IN33" s="35">
        <f t="shared" si="207"/>
        <v>0</v>
      </c>
      <c r="IO33" s="35">
        <f t="shared" si="207"/>
        <v>0</v>
      </c>
      <c r="IP33" s="10">
        <f t="shared" si="207"/>
        <v>0</v>
      </c>
      <c r="IQ33" s="30">
        <f t="shared" ref="IQ33:IQ39" si="215">IF(IQ21="Not Received",IP33,IQ21)</f>
        <v>0</v>
      </c>
      <c r="IR33" s="30">
        <f t="shared" ref="IR33:IR39" si="216">IF(IR21="Not Received",IQ33,IR21)</f>
        <v>0</v>
      </c>
      <c r="IS33" s="30">
        <f t="shared" ref="IS33:IS39" si="217">IF(IS21="Not Received",IR33,IS21)</f>
        <v>0</v>
      </c>
      <c r="IT33" s="30">
        <f t="shared" ref="IT33:IT39" si="218">IF(IT21="Not Received",IS33,IT21)</f>
        <v>0</v>
      </c>
      <c r="IU33" s="30">
        <f t="shared" si="207"/>
        <v>0</v>
      </c>
      <c r="IV33" s="30">
        <f t="shared" si="207"/>
        <v>0</v>
      </c>
      <c r="IW33" s="30">
        <f t="shared" si="207"/>
        <v>0</v>
      </c>
      <c r="IX33" s="30">
        <f t="shared" si="207"/>
        <v>0</v>
      </c>
      <c r="IY33" s="30">
        <f t="shared" si="207"/>
        <v>1</v>
      </c>
      <c r="IZ33" s="30">
        <f t="shared" si="207"/>
        <v>0</v>
      </c>
      <c r="JA33" s="30">
        <f t="shared" si="207"/>
        <v>0</v>
      </c>
      <c r="JB33" s="30">
        <f t="shared" si="207"/>
        <v>0</v>
      </c>
      <c r="JC33" s="30">
        <f t="shared" si="207"/>
        <v>0</v>
      </c>
      <c r="JD33" s="30">
        <f t="shared" si="207"/>
        <v>0</v>
      </c>
      <c r="JE33" s="30">
        <f t="shared" si="207"/>
        <v>0</v>
      </c>
      <c r="JF33" s="30">
        <f t="shared" si="207"/>
        <v>0</v>
      </c>
      <c r="JG33" s="30">
        <f t="shared" si="207"/>
        <v>0</v>
      </c>
      <c r="JH33" s="30">
        <f t="shared" si="207"/>
        <v>0</v>
      </c>
      <c r="JI33" s="30">
        <f t="shared" si="207"/>
        <v>0</v>
      </c>
      <c r="JJ33" s="30">
        <f t="shared" si="207"/>
        <v>0</v>
      </c>
      <c r="JK33" s="30">
        <f t="shared" si="207"/>
        <v>0</v>
      </c>
      <c r="JL33" s="30">
        <f t="shared" si="207"/>
        <v>0</v>
      </c>
      <c r="JM33" s="30">
        <f t="shared" si="207"/>
        <v>0</v>
      </c>
      <c r="JN33" s="30">
        <f t="shared" si="207"/>
        <v>0</v>
      </c>
      <c r="JO33" s="30">
        <f t="shared" si="207"/>
        <v>0</v>
      </c>
      <c r="JP33" s="30">
        <f t="shared" si="207"/>
        <v>0</v>
      </c>
      <c r="JQ33" s="30">
        <f t="shared" si="207"/>
        <v>0</v>
      </c>
      <c r="JR33" s="30">
        <f t="shared" si="207"/>
        <v>0</v>
      </c>
      <c r="JS33" s="30">
        <f t="shared" si="207"/>
        <v>0</v>
      </c>
      <c r="JT33" s="30">
        <f t="shared" si="207"/>
        <v>0</v>
      </c>
      <c r="JU33" s="30">
        <f t="shared" si="207"/>
        <v>0</v>
      </c>
      <c r="JV33" s="30">
        <f t="shared" si="207"/>
        <v>0</v>
      </c>
      <c r="JW33" s="30">
        <f t="shared" si="207"/>
        <v>0</v>
      </c>
      <c r="JX33" s="30">
        <f t="shared" si="207"/>
        <v>0</v>
      </c>
      <c r="JY33" s="30">
        <f t="shared" si="207"/>
        <v>0</v>
      </c>
      <c r="JZ33" s="30">
        <f t="shared" si="207"/>
        <v>0</v>
      </c>
      <c r="KA33" s="30">
        <f t="shared" si="214"/>
        <v>0</v>
      </c>
      <c r="KB33" s="30">
        <f t="shared" si="214"/>
        <v>0</v>
      </c>
      <c r="KC33" s="30">
        <f t="shared" si="214"/>
        <v>0</v>
      </c>
      <c r="KD33" s="30">
        <f t="shared" si="214"/>
        <v>0</v>
      </c>
      <c r="KE33" s="30">
        <f t="shared" si="214"/>
        <v>0</v>
      </c>
      <c r="KF33" s="30">
        <f t="shared" si="214"/>
        <v>0</v>
      </c>
      <c r="KG33" s="30">
        <f t="shared" si="214"/>
        <v>0</v>
      </c>
      <c r="KH33" s="30">
        <f t="shared" si="214"/>
        <v>0</v>
      </c>
      <c r="KI33" s="30">
        <f t="shared" si="214"/>
        <v>0</v>
      </c>
      <c r="KJ33" s="30">
        <f t="shared" si="214"/>
        <v>0</v>
      </c>
      <c r="KK33" s="30">
        <f t="shared" si="214"/>
        <v>0</v>
      </c>
      <c r="KL33" s="30">
        <f t="shared" si="214"/>
        <v>0</v>
      </c>
      <c r="KM33" s="30">
        <f t="shared" si="214"/>
        <v>0</v>
      </c>
      <c r="KN33" s="30">
        <f t="shared" si="214"/>
        <v>0</v>
      </c>
      <c r="KO33" s="30">
        <f t="shared" si="214"/>
        <v>0</v>
      </c>
      <c r="KP33" s="30">
        <f t="shared" si="214"/>
        <v>0</v>
      </c>
      <c r="KQ33" s="30">
        <f t="shared" si="214"/>
        <v>0</v>
      </c>
      <c r="KR33" s="30">
        <f t="shared" si="214"/>
        <v>0</v>
      </c>
      <c r="KS33" s="30">
        <f t="shared" si="214"/>
        <v>0</v>
      </c>
      <c r="KT33" s="30">
        <f t="shared" si="214"/>
        <v>0</v>
      </c>
      <c r="KU33" s="30">
        <f t="shared" si="214"/>
        <v>0</v>
      </c>
      <c r="KV33" s="30">
        <f t="shared" si="214"/>
        <v>0</v>
      </c>
      <c r="KW33" s="30">
        <f t="shared" si="214"/>
        <v>0</v>
      </c>
      <c r="KX33" s="30">
        <f t="shared" si="214"/>
        <v>0</v>
      </c>
      <c r="KY33" s="30">
        <f t="shared" si="214"/>
        <v>0</v>
      </c>
      <c r="KZ33" s="30">
        <f t="shared" si="214"/>
        <v>0</v>
      </c>
      <c r="LA33" s="30">
        <f t="shared" si="214"/>
        <v>0</v>
      </c>
      <c r="LB33" s="30">
        <f t="shared" si="214"/>
        <v>0</v>
      </c>
      <c r="LC33" s="30">
        <f t="shared" si="214"/>
        <v>0</v>
      </c>
      <c r="LD33" s="30">
        <f t="shared" si="214"/>
        <v>0</v>
      </c>
      <c r="LE33" s="30">
        <f t="shared" si="214"/>
        <v>0</v>
      </c>
      <c r="LF33" s="30">
        <f t="shared" si="214"/>
        <v>0</v>
      </c>
      <c r="LG33" s="30">
        <f t="shared" si="214"/>
        <v>0</v>
      </c>
      <c r="LH33" s="30">
        <f t="shared" si="214"/>
        <v>0</v>
      </c>
      <c r="LI33" s="30">
        <f t="shared" si="214"/>
        <v>0</v>
      </c>
      <c r="LJ33" s="30">
        <f t="shared" si="214"/>
        <v>0</v>
      </c>
      <c r="LK33" s="30">
        <f t="shared" si="214"/>
        <v>0</v>
      </c>
      <c r="LL33" s="30">
        <f t="shared" si="214"/>
        <v>0</v>
      </c>
      <c r="LM33" s="30">
        <f t="shared" si="214"/>
        <v>0</v>
      </c>
      <c r="LN33" s="30">
        <f t="shared" si="214"/>
        <v>0</v>
      </c>
      <c r="LO33" s="30">
        <f t="shared" si="214"/>
        <v>0</v>
      </c>
      <c r="LP33" s="30">
        <f t="shared" si="214"/>
        <v>0</v>
      </c>
      <c r="LQ33" s="30">
        <f t="shared" si="214"/>
        <v>0</v>
      </c>
      <c r="LR33" s="30">
        <f t="shared" si="214"/>
        <v>0</v>
      </c>
      <c r="LS33" s="30">
        <f t="shared" si="214"/>
        <v>0</v>
      </c>
      <c r="LT33" s="30">
        <f t="shared" si="214"/>
        <v>0</v>
      </c>
      <c r="LU33" s="30">
        <f t="shared" si="214"/>
        <v>0</v>
      </c>
      <c r="LV33" s="30">
        <f t="shared" si="214"/>
        <v>0</v>
      </c>
      <c r="LW33" s="30">
        <f t="shared" si="214"/>
        <v>0</v>
      </c>
      <c r="LX33" s="30">
        <f t="shared" si="214"/>
        <v>0</v>
      </c>
      <c r="LY33" s="30">
        <f t="shared" si="214"/>
        <v>0</v>
      </c>
      <c r="LZ33" s="30">
        <f t="shared" si="214"/>
        <v>0</v>
      </c>
      <c r="MA33" s="30">
        <f t="shared" si="214"/>
        <v>0</v>
      </c>
      <c r="MB33" s="30">
        <f t="shared" si="214"/>
        <v>0</v>
      </c>
      <c r="MC33" s="12">
        <f t="shared" si="214"/>
        <v>0</v>
      </c>
      <c r="MD33" s="12">
        <f t="shared" si="214"/>
        <v>0</v>
      </c>
      <c r="ME33" s="12">
        <f t="shared" si="214"/>
        <v>0</v>
      </c>
      <c r="MF33" s="12">
        <f t="shared" si="214"/>
        <v>0</v>
      </c>
      <c r="MG33" s="12">
        <f t="shared" si="214"/>
        <v>0</v>
      </c>
      <c r="MH33" s="12">
        <f t="shared" si="214"/>
        <v>0</v>
      </c>
      <c r="MI33" s="12">
        <f t="shared" si="214"/>
        <v>0</v>
      </c>
      <c r="MJ33" s="12">
        <f t="shared" si="214"/>
        <v>0</v>
      </c>
      <c r="MK33" s="12">
        <f t="shared" si="214"/>
        <v>0</v>
      </c>
      <c r="ML33" s="12">
        <f t="shared" si="214"/>
        <v>0</v>
      </c>
      <c r="MM33" s="12"/>
      <c r="MN33" s="12"/>
    </row>
    <row r="34" spans="1:352" ht="23.25" customHeight="1" x14ac:dyDescent="0.25">
      <c r="A34" s="3" t="s">
        <v>3</v>
      </c>
      <c r="B34" s="7" t="s">
        <v>42</v>
      </c>
      <c r="C34" s="34"/>
      <c r="D34" s="34">
        <f t="shared" si="135"/>
        <v>0</v>
      </c>
      <c r="E34" s="34">
        <f t="shared" si="136"/>
        <v>0</v>
      </c>
      <c r="F34" s="34">
        <f t="shared" si="137"/>
        <v>0</v>
      </c>
      <c r="G34" s="34">
        <f t="shared" si="138"/>
        <v>0</v>
      </c>
      <c r="H34" s="34">
        <f t="shared" si="139"/>
        <v>0</v>
      </c>
      <c r="I34" s="34">
        <f t="shared" si="140"/>
        <v>0</v>
      </c>
      <c r="J34" s="34">
        <f t="shared" si="141"/>
        <v>0</v>
      </c>
      <c r="K34" s="34">
        <f t="shared" si="142"/>
        <v>0</v>
      </c>
      <c r="L34" s="34">
        <f t="shared" si="143"/>
        <v>0</v>
      </c>
      <c r="M34" s="34">
        <f t="shared" si="144"/>
        <v>0</v>
      </c>
      <c r="N34" s="34">
        <f t="shared" si="145"/>
        <v>0</v>
      </c>
      <c r="O34" s="34">
        <f t="shared" si="146"/>
        <v>0</v>
      </c>
      <c r="P34" s="34">
        <f t="shared" si="147"/>
        <v>0</v>
      </c>
      <c r="Q34" s="34">
        <f t="shared" si="148"/>
        <v>0</v>
      </c>
      <c r="R34" s="34">
        <f t="shared" si="149"/>
        <v>0</v>
      </c>
      <c r="S34" s="34">
        <f t="shared" si="150"/>
        <v>0</v>
      </c>
      <c r="T34" s="34">
        <f t="shared" si="151"/>
        <v>0</v>
      </c>
      <c r="U34" s="34">
        <f t="shared" si="152"/>
        <v>0</v>
      </c>
      <c r="V34" s="34">
        <f t="shared" si="153"/>
        <v>0</v>
      </c>
      <c r="W34" s="34">
        <f t="shared" si="154"/>
        <v>0</v>
      </c>
      <c r="X34" s="34">
        <f t="shared" si="155"/>
        <v>0</v>
      </c>
      <c r="Y34" s="34">
        <f t="shared" si="156"/>
        <v>0</v>
      </c>
      <c r="Z34" s="34">
        <f t="shared" si="157"/>
        <v>0</v>
      </c>
      <c r="AA34" s="34">
        <f t="shared" si="158"/>
        <v>0</v>
      </c>
      <c r="AB34" s="34">
        <f t="shared" si="159"/>
        <v>0</v>
      </c>
      <c r="AC34" s="34">
        <f t="shared" si="160"/>
        <v>0</v>
      </c>
      <c r="AD34" s="34">
        <f t="shared" si="161"/>
        <v>0</v>
      </c>
      <c r="AE34" s="34">
        <f t="shared" si="162"/>
        <v>0</v>
      </c>
      <c r="AF34" s="34">
        <f t="shared" si="163"/>
        <v>0</v>
      </c>
      <c r="AG34" s="34">
        <f t="shared" si="164"/>
        <v>0</v>
      </c>
      <c r="AH34" s="34">
        <f t="shared" si="165"/>
        <v>0</v>
      </c>
      <c r="AI34" s="34">
        <f t="shared" si="166"/>
        <v>0</v>
      </c>
      <c r="AJ34" s="34">
        <f t="shared" si="167"/>
        <v>0</v>
      </c>
      <c r="AK34" s="34">
        <f t="shared" si="168"/>
        <v>0</v>
      </c>
      <c r="AL34" s="34">
        <f t="shared" si="169"/>
        <v>0</v>
      </c>
      <c r="AM34" s="34">
        <f t="shared" si="170"/>
        <v>0</v>
      </c>
      <c r="AN34" s="34">
        <f t="shared" si="171"/>
        <v>0</v>
      </c>
      <c r="AO34" s="34">
        <f t="shared" si="172"/>
        <v>0</v>
      </c>
      <c r="AP34" s="34">
        <f t="shared" si="173"/>
        <v>1</v>
      </c>
      <c r="AQ34" s="34">
        <f t="shared" si="174"/>
        <v>1</v>
      </c>
      <c r="AR34" s="34">
        <f t="shared" si="175"/>
        <v>1</v>
      </c>
      <c r="AS34" s="34">
        <f t="shared" si="176"/>
        <v>0</v>
      </c>
      <c r="AT34" s="34">
        <f t="shared" si="177"/>
        <v>0</v>
      </c>
      <c r="AU34" s="34">
        <f t="shared" si="178"/>
        <v>0</v>
      </c>
      <c r="AV34" s="34">
        <f t="shared" si="179"/>
        <v>0</v>
      </c>
      <c r="AW34" s="34">
        <f t="shared" si="180"/>
        <v>0</v>
      </c>
      <c r="AX34" s="34">
        <f t="shared" si="181"/>
        <v>0</v>
      </c>
      <c r="AY34" s="34">
        <f t="shared" si="182"/>
        <v>0</v>
      </c>
      <c r="AZ34" s="34">
        <f t="shared" si="183"/>
        <v>0</v>
      </c>
      <c r="BA34" s="34">
        <f t="shared" si="184"/>
        <v>0</v>
      </c>
      <c r="BB34" s="34">
        <f t="shared" si="185"/>
        <v>0</v>
      </c>
      <c r="BC34" s="34">
        <f t="shared" si="186"/>
        <v>0</v>
      </c>
      <c r="BD34" s="34">
        <f t="shared" si="187"/>
        <v>0</v>
      </c>
      <c r="BE34" s="34">
        <f t="shared" si="188"/>
        <v>0</v>
      </c>
      <c r="BF34" s="34">
        <f t="shared" si="189"/>
        <v>0</v>
      </c>
      <c r="BG34" s="34">
        <f t="shared" si="190"/>
        <v>0</v>
      </c>
      <c r="BH34" s="34">
        <f t="shared" si="191"/>
        <v>0</v>
      </c>
      <c r="BI34" s="34">
        <f t="shared" si="192"/>
        <v>0</v>
      </c>
      <c r="BJ34" s="34">
        <f t="shared" si="193"/>
        <v>0</v>
      </c>
      <c r="BK34" s="34">
        <f t="shared" si="194"/>
        <v>0</v>
      </c>
      <c r="BL34" s="34">
        <f t="shared" si="195"/>
        <v>0</v>
      </c>
      <c r="BM34" s="34">
        <f t="shared" si="196"/>
        <v>0</v>
      </c>
      <c r="BN34" s="34">
        <f t="shared" si="197"/>
        <v>1</v>
      </c>
      <c r="BO34" s="34">
        <f t="shared" si="198"/>
        <v>0</v>
      </c>
      <c r="BP34" s="34">
        <f t="shared" si="199"/>
        <v>0</v>
      </c>
      <c r="BQ34" s="42">
        <f t="shared" si="199"/>
        <v>0</v>
      </c>
      <c r="BR34" s="42">
        <f t="shared" si="200"/>
        <v>0</v>
      </c>
      <c r="BS34" s="42">
        <f t="shared" si="201"/>
        <v>0</v>
      </c>
      <c r="BT34" s="10">
        <f t="shared" si="202"/>
        <v>0</v>
      </c>
      <c r="BU34" s="10">
        <f t="shared" si="202"/>
        <v>0</v>
      </c>
      <c r="BV34" s="10">
        <f t="shared" si="202"/>
        <v>0</v>
      </c>
      <c r="BW34" s="35">
        <f t="shared" si="202"/>
        <v>0</v>
      </c>
      <c r="BX34" s="10">
        <f t="shared" si="202"/>
        <v>0</v>
      </c>
      <c r="BY34" s="10">
        <f t="shared" si="202"/>
        <v>0</v>
      </c>
      <c r="BZ34" s="10">
        <f t="shared" si="202"/>
        <v>0</v>
      </c>
      <c r="CA34" s="10">
        <f t="shared" si="202"/>
        <v>0</v>
      </c>
      <c r="CB34" s="10">
        <f t="shared" si="202"/>
        <v>0</v>
      </c>
      <c r="CC34" s="10">
        <f t="shared" si="202"/>
        <v>0</v>
      </c>
      <c r="CD34" s="10">
        <f t="shared" si="202"/>
        <v>0</v>
      </c>
      <c r="CE34" s="10">
        <f t="shared" si="202"/>
        <v>0</v>
      </c>
      <c r="CF34" s="56">
        <f t="shared" si="202"/>
        <v>0</v>
      </c>
      <c r="CG34" s="56">
        <f t="shared" si="202"/>
        <v>0</v>
      </c>
      <c r="CH34" s="56">
        <f t="shared" si="202"/>
        <v>0</v>
      </c>
      <c r="CI34" s="56">
        <f t="shared" si="202"/>
        <v>0</v>
      </c>
      <c r="CJ34" s="56">
        <f t="shared" si="202"/>
        <v>0</v>
      </c>
      <c r="CK34" s="56">
        <f t="shared" si="202"/>
        <v>0</v>
      </c>
      <c r="CL34" s="56">
        <f t="shared" si="202"/>
        <v>0</v>
      </c>
      <c r="CM34" s="56">
        <f>IF(CM22="Not Received",CL34,CM22)</f>
        <v>0</v>
      </c>
      <c r="CN34" s="56">
        <f t="shared" si="202"/>
        <v>0</v>
      </c>
      <c r="CO34" s="56">
        <f t="shared" si="202"/>
        <v>0</v>
      </c>
      <c r="CP34" s="56">
        <f t="shared" si="202"/>
        <v>0</v>
      </c>
      <c r="CQ34" s="56">
        <f t="shared" si="202"/>
        <v>0</v>
      </c>
      <c r="CR34" s="56">
        <f t="shared" si="202"/>
        <v>0</v>
      </c>
      <c r="CS34" s="56">
        <f t="shared" si="202"/>
        <v>0</v>
      </c>
      <c r="CT34" s="56">
        <f t="shared" si="202"/>
        <v>0</v>
      </c>
      <c r="CU34" s="56">
        <f t="shared" si="202"/>
        <v>0</v>
      </c>
      <c r="CV34" s="56">
        <f t="shared" si="203"/>
        <v>0</v>
      </c>
      <c r="CW34" s="56">
        <f t="shared" si="203"/>
        <v>0</v>
      </c>
      <c r="CX34" s="56">
        <f t="shared" si="203"/>
        <v>0</v>
      </c>
      <c r="CY34" s="56">
        <f t="shared" si="203"/>
        <v>0</v>
      </c>
      <c r="CZ34" s="56">
        <f t="shared" si="203"/>
        <v>0</v>
      </c>
      <c r="DA34" s="56">
        <f t="shared" si="203"/>
        <v>0</v>
      </c>
      <c r="DB34" s="56">
        <f t="shared" si="203"/>
        <v>0</v>
      </c>
      <c r="DC34" s="56">
        <f t="shared" si="203"/>
        <v>0</v>
      </c>
      <c r="DD34" s="56">
        <f t="shared" si="203"/>
        <v>0</v>
      </c>
      <c r="DE34" s="56">
        <f t="shared" si="203"/>
        <v>0</v>
      </c>
      <c r="DF34" s="56">
        <f t="shared" si="203"/>
        <v>0</v>
      </c>
      <c r="DG34" s="56">
        <f t="shared" si="203"/>
        <v>0</v>
      </c>
      <c r="DH34" s="56">
        <f t="shared" si="203"/>
        <v>0</v>
      </c>
      <c r="DI34" s="56">
        <f t="shared" si="203"/>
        <v>0</v>
      </c>
      <c r="DJ34" s="56">
        <f t="shared" si="203"/>
        <v>0</v>
      </c>
      <c r="DK34" s="56">
        <f t="shared" si="203"/>
        <v>0</v>
      </c>
      <c r="DL34" s="56">
        <f t="shared" si="203"/>
        <v>0</v>
      </c>
      <c r="DM34" s="56">
        <f t="shared" si="203"/>
        <v>0</v>
      </c>
      <c r="DN34" s="56">
        <f t="shared" si="203"/>
        <v>0</v>
      </c>
      <c r="DO34" s="56">
        <f t="shared" si="203"/>
        <v>0</v>
      </c>
      <c r="DP34" s="56">
        <f t="shared" si="203"/>
        <v>0</v>
      </c>
      <c r="DQ34" s="56">
        <f t="shared" si="203"/>
        <v>0</v>
      </c>
      <c r="DR34" s="56">
        <f t="shared" si="203"/>
        <v>0</v>
      </c>
      <c r="DS34" s="56">
        <f t="shared" si="203"/>
        <v>0</v>
      </c>
      <c r="DT34" s="56">
        <f t="shared" si="203"/>
        <v>0</v>
      </c>
      <c r="DU34" s="56">
        <f t="shared" si="203"/>
        <v>0</v>
      </c>
      <c r="DV34" s="56">
        <f t="shared" si="203"/>
        <v>0</v>
      </c>
      <c r="DW34" s="56">
        <f t="shared" si="203"/>
        <v>0</v>
      </c>
      <c r="DX34" s="56">
        <f t="shared" si="203"/>
        <v>0</v>
      </c>
      <c r="DY34" s="56">
        <f t="shared" si="203"/>
        <v>0</v>
      </c>
      <c r="DZ34" s="56">
        <f t="shared" si="203"/>
        <v>0</v>
      </c>
      <c r="EA34" s="56">
        <f t="shared" si="203"/>
        <v>0</v>
      </c>
      <c r="EB34" s="56">
        <f t="shared" si="203"/>
        <v>0</v>
      </c>
      <c r="EC34" s="56">
        <f t="shared" si="203"/>
        <v>0</v>
      </c>
      <c r="ED34" s="56">
        <f t="shared" si="203"/>
        <v>0</v>
      </c>
      <c r="EE34" s="56">
        <f t="shared" si="203"/>
        <v>0</v>
      </c>
      <c r="EF34" s="56">
        <f t="shared" si="203"/>
        <v>0</v>
      </c>
      <c r="EG34" s="56">
        <f t="shared" si="203"/>
        <v>0</v>
      </c>
      <c r="EH34" s="56">
        <f t="shared" si="203"/>
        <v>0</v>
      </c>
      <c r="EI34" s="56">
        <f t="shared" si="203"/>
        <v>0</v>
      </c>
      <c r="EJ34" s="56">
        <f t="shared" si="203"/>
        <v>0</v>
      </c>
      <c r="EK34" s="56">
        <f t="shared" si="203"/>
        <v>0</v>
      </c>
      <c r="EL34" s="56">
        <f t="shared" si="203"/>
        <v>0</v>
      </c>
      <c r="EM34" s="56">
        <f t="shared" si="203"/>
        <v>0</v>
      </c>
      <c r="EN34" s="56">
        <f t="shared" si="203"/>
        <v>0</v>
      </c>
      <c r="EO34" s="56">
        <f t="shared" si="203"/>
        <v>0</v>
      </c>
      <c r="EP34" s="56">
        <f t="shared" si="203"/>
        <v>0</v>
      </c>
      <c r="EQ34" s="56">
        <f t="shared" si="203"/>
        <v>0</v>
      </c>
      <c r="ER34" s="56">
        <f t="shared" si="203"/>
        <v>0</v>
      </c>
      <c r="ES34" s="56">
        <f t="shared" si="203"/>
        <v>0</v>
      </c>
      <c r="ET34" s="56">
        <f t="shared" si="203"/>
        <v>0</v>
      </c>
      <c r="EU34" s="56">
        <f t="shared" si="203"/>
        <v>0</v>
      </c>
      <c r="EV34" s="56">
        <f t="shared" si="203"/>
        <v>0</v>
      </c>
      <c r="EW34" s="56">
        <f t="shared" si="203"/>
        <v>0</v>
      </c>
      <c r="EX34" s="56">
        <f t="shared" si="203"/>
        <v>0</v>
      </c>
      <c r="EY34" s="56">
        <f t="shared" si="203"/>
        <v>0</v>
      </c>
      <c r="EZ34" s="56">
        <f t="shared" si="203"/>
        <v>0</v>
      </c>
      <c r="FA34" s="56">
        <f t="shared" si="204"/>
        <v>0</v>
      </c>
      <c r="FB34" s="56">
        <f t="shared" si="204"/>
        <v>0</v>
      </c>
      <c r="FC34" s="56">
        <f t="shared" si="204"/>
        <v>0</v>
      </c>
      <c r="FD34" s="56">
        <f t="shared" si="204"/>
        <v>0</v>
      </c>
      <c r="FE34" s="56">
        <f t="shared" si="204"/>
        <v>0</v>
      </c>
      <c r="FF34" s="56">
        <f t="shared" si="204"/>
        <v>0</v>
      </c>
      <c r="FG34" s="56">
        <f t="shared" si="204"/>
        <v>0</v>
      </c>
      <c r="FH34" s="56">
        <f t="shared" si="204"/>
        <v>0</v>
      </c>
      <c r="FI34" s="56">
        <f t="shared" si="204"/>
        <v>0</v>
      </c>
      <c r="FJ34" s="56">
        <f t="shared" si="204"/>
        <v>0</v>
      </c>
      <c r="FK34" s="56">
        <f t="shared" si="204"/>
        <v>0</v>
      </c>
      <c r="FL34" s="56">
        <f t="shared" si="204"/>
        <v>0</v>
      </c>
      <c r="FM34" s="56">
        <f t="shared" si="204"/>
        <v>0</v>
      </c>
      <c r="FN34" s="56">
        <f t="shared" si="204"/>
        <v>0</v>
      </c>
      <c r="FO34" s="56">
        <f t="shared" si="204"/>
        <v>0</v>
      </c>
      <c r="FP34" s="10"/>
      <c r="FQ34" s="10">
        <f t="shared" si="205"/>
        <v>0</v>
      </c>
      <c r="FR34" s="10">
        <f t="shared" si="205"/>
        <v>0</v>
      </c>
      <c r="FS34" s="10">
        <f t="shared" si="205"/>
        <v>0</v>
      </c>
      <c r="FT34" s="10">
        <f t="shared" si="205"/>
        <v>0</v>
      </c>
      <c r="FU34" s="10">
        <f t="shared" si="205"/>
        <v>0</v>
      </c>
      <c r="FV34" s="10">
        <f t="shared" si="205"/>
        <v>0</v>
      </c>
      <c r="FW34" s="10">
        <f t="shared" si="205"/>
        <v>0</v>
      </c>
      <c r="FX34" s="10">
        <f t="shared" si="205"/>
        <v>0</v>
      </c>
      <c r="FY34" s="10">
        <f t="shared" si="205"/>
        <v>0</v>
      </c>
      <c r="FZ34" s="10">
        <f t="shared" si="205"/>
        <v>0</v>
      </c>
      <c r="GA34" s="10">
        <f t="shared" si="205"/>
        <v>0</v>
      </c>
      <c r="GB34" s="10">
        <f t="shared" si="205"/>
        <v>0</v>
      </c>
      <c r="GC34" s="10">
        <f t="shared" si="205"/>
        <v>0</v>
      </c>
      <c r="GD34" s="10">
        <f t="shared" si="205"/>
        <v>0</v>
      </c>
      <c r="GE34" s="10">
        <f t="shared" si="205"/>
        <v>0</v>
      </c>
      <c r="GF34" s="10">
        <f t="shared" si="205"/>
        <v>0</v>
      </c>
      <c r="GG34" s="10">
        <f t="shared" si="205"/>
        <v>0</v>
      </c>
      <c r="GH34" s="10">
        <f t="shared" si="205"/>
        <v>0</v>
      </c>
      <c r="GI34" s="10">
        <f t="shared" si="205"/>
        <v>0</v>
      </c>
      <c r="GJ34" s="10">
        <f t="shared" si="205"/>
        <v>0</v>
      </c>
      <c r="GK34" s="10">
        <f t="shared" si="205"/>
        <v>0</v>
      </c>
      <c r="GL34" s="10">
        <f t="shared" si="205"/>
        <v>0</v>
      </c>
      <c r="GM34" s="10">
        <f t="shared" si="205"/>
        <v>0</v>
      </c>
      <c r="GN34" s="10">
        <f t="shared" si="205"/>
        <v>0</v>
      </c>
      <c r="GO34" s="10">
        <f t="shared" si="205"/>
        <v>0</v>
      </c>
      <c r="GP34" s="10">
        <f t="shared" si="205"/>
        <v>0</v>
      </c>
      <c r="GQ34" s="10">
        <f t="shared" si="205"/>
        <v>0</v>
      </c>
      <c r="GR34" s="10">
        <f t="shared" si="205"/>
        <v>0</v>
      </c>
      <c r="GS34" s="10">
        <f t="shared" si="205"/>
        <v>0</v>
      </c>
      <c r="GT34" s="10">
        <f t="shared" si="205"/>
        <v>0</v>
      </c>
      <c r="GU34" s="10">
        <f t="shared" si="205"/>
        <v>0</v>
      </c>
      <c r="GV34" s="10">
        <f t="shared" si="205"/>
        <v>0</v>
      </c>
      <c r="GW34" s="10">
        <f t="shared" si="205"/>
        <v>0</v>
      </c>
      <c r="GX34" s="10">
        <f t="shared" si="205"/>
        <v>0</v>
      </c>
      <c r="GY34" s="10">
        <f t="shared" si="205"/>
        <v>0</v>
      </c>
      <c r="GZ34" s="10">
        <f t="shared" si="205"/>
        <v>0</v>
      </c>
      <c r="HA34" s="10">
        <f t="shared" si="205"/>
        <v>0</v>
      </c>
      <c r="HB34" s="10">
        <f t="shared" si="205"/>
        <v>0</v>
      </c>
      <c r="HC34" s="10">
        <f t="shared" si="205"/>
        <v>0</v>
      </c>
      <c r="HD34" s="10">
        <f t="shared" si="205"/>
        <v>0</v>
      </c>
      <c r="HE34" s="10">
        <f t="shared" si="205"/>
        <v>0</v>
      </c>
      <c r="HF34" s="10">
        <f t="shared" si="205"/>
        <v>0</v>
      </c>
      <c r="HG34" s="10">
        <f t="shared" si="205"/>
        <v>0</v>
      </c>
      <c r="HH34" s="10">
        <f t="shared" si="205"/>
        <v>0</v>
      </c>
      <c r="HI34" s="10">
        <f t="shared" si="205"/>
        <v>0</v>
      </c>
      <c r="HJ34" s="10">
        <f t="shared" si="205"/>
        <v>0</v>
      </c>
      <c r="HK34" s="10">
        <f t="shared" si="205"/>
        <v>0</v>
      </c>
      <c r="HL34" s="10">
        <f t="shared" si="205"/>
        <v>0</v>
      </c>
      <c r="HM34" s="10">
        <f t="shared" si="205"/>
        <v>0</v>
      </c>
      <c r="HN34" s="10">
        <f t="shared" si="206"/>
        <v>0</v>
      </c>
      <c r="HO34" s="10">
        <f t="shared" si="206"/>
        <v>0</v>
      </c>
      <c r="HP34" s="10">
        <f t="shared" si="206"/>
        <v>0</v>
      </c>
      <c r="HQ34" s="10">
        <f t="shared" si="206"/>
        <v>0</v>
      </c>
      <c r="HR34" s="10">
        <f t="shared" si="206"/>
        <v>0</v>
      </c>
      <c r="HS34" s="10">
        <f t="shared" si="206"/>
        <v>0</v>
      </c>
      <c r="HT34" s="10">
        <f t="shared" si="206"/>
        <v>0</v>
      </c>
      <c r="HU34" s="10">
        <f t="shared" si="206"/>
        <v>0</v>
      </c>
      <c r="HV34" s="10">
        <f t="shared" si="206"/>
        <v>0</v>
      </c>
      <c r="HW34" s="10">
        <f t="shared" si="206"/>
        <v>0</v>
      </c>
      <c r="HX34" s="10">
        <f t="shared" si="206"/>
        <v>0</v>
      </c>
      <c r="HY34" s="10">
        <f t="shared" si="206"/>
        <v>0</v>
      </c>
      <c r="HZ34" s="10">
        <f t="shared" si="206"/>
        <v>0</v>
      </c>
      <c r="IA34" s="10">
        <f t="shared" si="206"/>
        <v>0</v>
      </c>
      <c r="IB34" s="10">
        <f t="shared" si="206"/>
        <v>0</v>
      </c>
      <c r="IC34" s="10">
        <f t="shared" si="206"/>
        <v>0</v>
      </c>
      <c r="ID34" s="10">
        <f t="shared" si="206"/>
        <v>0</v>
      </c>
      <c r="IE34" s="10">
        <f t="shared" si="206"/>
        <v>0</v>
      </c>
      <c r="IF34" s="10">
        <f t="shared" si="206"/>
        <v>0</v>
      </c>
      <c r="IG34" s="10">
        <f t="shared" si="206"/>
        <v>0</v>
      </c>
      <c r="IH34" s="10">
        <f t="shared" si="206"/>
        <v>0</v>
      </c>
      <c r="II34" s="10"/>
      <c r="IJ34" s="10">
        <f t="shared" si="207"/>
        <v>0</v>
      </c>
      <c r="IK34" s="10">
        <f t="shared" si="207"/>
        <v>0</v>
      </c>
      <c r="IL34" s="10">
        <f t="shared" si="207"/>
        <v>0</v>
      </c>
      <c r="IM34" s="35">
        <f t="shared" si="207"/>
        <v>0</v>
      </c>
      <c r="IN34" s="35">
        <f t="shared" si="207"/>
        <v>0</v>
      </c>
      <c r="IO34" s="35">
        <f t="shared" si="207"/>
        <v>0</v>
      </c>
      <c r="IP34" s="10">
        <f t="shared" si="207"/>
        <v>0</v>
      </c>
      <c r="IQ34" s="30">
        <f t="shared" si="215"/>
        <v>0</v>
      </c>
      <c r="IR34" s="30">
        <f t="shared" si="216"/>
        <v>0</v>
      </c>
      <c r="IS34" s="30">
        <f t="shared" si="217"/>
        <v>0</v>
      </c>
      <c r="IT34" s="30">
        <f t="shared" si="218"/>
        <v>0</v>
      </c>
      <c r="IU34" s="30">
        <f t="shared" si="207"/>
        <v>0</v>
      </c>
      <c r="IV34" s="30">
        <f t="shared" si="207"/>
        <v>0</v>
      </c>
      <c r="IW34" s="30">
        <f t="shared" si="207"/>
        <v>0</v>
      </c>
      <c r="IX34" s="30">
        <f t="shared" si="207"/>
        <v>0</v>
      </c>
      <c r="IY34" s="30">
        <f t="shared" si="207"/>
        <v>0</v>
      </c>
      <c r="IZ34" s="30">
        <f t="shared" si="207"/>
        <v>0</v>
      </c>
      <c r="JA34" s="30">
        <f t="shared" si="207"/>
        <v>1</v>
      </c>
      <c r="JB34" s="30">
        <f t="shared" si="207"/>
        <v>0</v>
      </c>
      <c r="JC34" s="30">
        <f t="shared" si="207"/>
        <v>0</v>
      </c>
      <c r="JD34" s="30">
        <f t="shared" si="207"/>
        <v>0</v>
      </c>
      <c r="JE34" s="30">
        <f t="shared" si="207"/>
        <v>0</v>
      </c>
      <c r="JF34" s="30">
        <f t="shared" si="207"/>
        <v>0</v>
      </c>
      <c r="JG34" s="30">
        <f t="shared" si="207"/>
        <v>0</v>
      </c>
      <c r="JH34" s="30">
        <f t="shared" si="207"/>
        <v>0</v>
      </c>
      <c r="JI34" s="30">
        <f t="shared" si="207"/>
        <v>0</v>
      </c>
      <c r="JJ34" s="30">
        <f t="shared" si="207"/>
        <v>0</v>
      </c>
      <c r="JK34" s="30">
        <f t="shared" si="207"/>
        <v>0</v>
      </c>
      <c r="JL34" s="30">
        <f t="shared" si="207"/>
        <v>0</v>
      </c>
      <c r="JM34" s="30">
        <f t="shared" si="207"/>
        <v>0</v>
      </c>
      <c r="JN34" s="30">
        <f t="shared" si="207"/>
        <v>0</v>
      </c>
      <c r="JO34" s="30">
        <f t="shared" si="207"/>
        <v>0</v>
      </c>
      <c r="JP34" s="30">
        <f t="shared" si="207"/>
        <v>0</v>
      </c>
      <c r="JQ34" s="30">
        <f t="shared" si="207"/>
        <v>0</v>
      </c>
      <c r="JR34" s="30">
        <f t="shared" si="207"/>
        <v>0</v>
      </c>
      <c r="JS34" s="30">
        <f t="shared" si="207"/>
        <v>0</v>
      </c>
      <c r="JT34" s="30">
        <f t="shared" si="207"/>
        <v>0</v>
      </c>
      <c r="JU34" s="30">
        <f t="shared" si="207"/>
        <v>0</v>
      </c>
      <c r="JV34" s="30">
        <f t="shared" si="207"/>
        <v>0</v>
      </c>
      <c r="JW34" s="30">
        <f t="shared" si="207"/>
        <v>0</v>
      </c>
      <c r="JX34" s="30">
        <f t="shared" si="207"/>
        <v>0</v>
      </c>
      <c r="JY34" s="30">
        <f t="shared" si="207"/>
        <v>0</v>
      </c>
      <c r="JZ34" s="30">
        <f t="shared" si="207"/>
        <v>0</v>
      </c>
      <c r="KA34" s="30">
        <f t="shared" si="214"/>
        <v>0</v>
      </c>
      <c r="KB34" s="30">
        <f t="shared" si="214"/>
        <v>0</v>
      </c>
      <c r="KC34" s="30">
        <f t="shared" si="214"/>
        <v>0</v>
      </c>
      <c r="KD34" s="30">
        <f t="shared" si="214"/>
        <v>0</v>
      </c>
      <c r="KE34" s="30">
        <f t="shared" si="214"/>
        <v>0</v>
      </c>
      <c r="KF34" s="30">
        <f t="shared" si="214"/>
        <v>0</v>
      </c>
      <c r="KG34" s="30">
        <f t="shared" si="214"/>
        <v>0</v>
      </c>
      <c r="KH34" s="30">
        <f t="shared" si="214"/>
        <v>0</v>
      </c>
      <c r="KI34" s="30">
        <f t="shared" si="214"/>
        <v>0</v>
      </c>
      <c r="KJ34" s="30">
        <f t="shared" si="214"/>
        <v>0</v>
      </c>
      <c r="KK34" s="30">
        <f t="shared" si="214"/>
        <v>0</v>
      </c>
      <c r="KL34" s="30">
        <f t="shared" si="214"/>
        <v>0</v>
      </c>
      <c r="KM34" s="30">
        <f t="shared" si="214"/>
        <v>0</v>
      </c>
      <c r="KN34" s="30">
        <f t="shared" si="214"/>
        <v>0</v>
      </c>
      <c r="KO34" s="30">
        <f t="shared" si="214"/>
        <v>0</v>
      </c>
      <c r="KP34" s="30">
        <f t="shared" si="214"/>
        <v>0</v>
      </c>
      <c r="KQ34" s="30">
        <f t="shared" si="214"/>
        <v>0</v>
      </c>
      <c r="KR34" s="30">
        <f t="shared" si="214"/>
        <v>0</v>
      </c>
      <c r="KS34" s="30">
        <f t="shared" si="214"/>
        <v>0</v>
      </c>
      <c r="KT34" s="30">
        <f t="shared" si="214"/>
        <v>0</v>
      </c>
      <c r="KU34" s="30">
        <f t="shared" si="214"/>
        <v>0</v>
      </c>
      <c r="KV34" s="30">
        <f t="shared" si="214"/>
        <v>0</v>
      </c>
      <c r="KW34" s="30">
        <f t="shared" si="214"/>
        <v>0</v>
      </c>
      <c r="KX34" s="30">
        <f t="shared" si="214"/>
        <v>0</v>
      </c>
      <c r="KY34" s="30">
        <f t="shared" si="214"/>
        <v>0</v>
      </c>
      <c r="KZ34" s="30">
        <f t="shared" si="214"/>
        <v>0</v>
      </c>
      <c r="LA34" s="30">
        <f t="shared" si="214"/>
        <v>0</v>
      </c>
      <c r="LB34" s="30">
        <f t="shared" si="214"/>
        <v>0</v>
      </c>
      <c r="LC34" s="30">
        <f t="shared" si="214"/>
        <v>0</v>
      </c>
      <c r="LD34" s="30">
        <f t="shared" si="214"/>
        <v>0</v>
      </c>
      <c r="LE34" s="30">
        <f t="shared" si="214"/>
        <v>0</v>
      </c>
      <c r="LF34" s="30">
        <f t="shared" si="214"/>
        <v>0</v>
      </c>
      <c r="LG34" s="30">
        <f t="shared" si="214"/>
        <v>0</v>
      </c>
      <c r="LH34" s="30">
        <f t="shared" si="214"/>
        <v>0</v>
      </c>
      <c r="LI34" s="30">
        <f t="shared" si="214"/>
        <v>0</v>
      </c>
      <c r="LJ34" s="30">
        <f t="shared" si="214"/>
        <v>0</v>
      </c>
      <c r="LK34" s="30">
        <f t="shared" si="214"/>
        <v>0</v>
      </c>
      <c r="LL34" s="30">
        <f t="shared" si="214"/>
        <v>0</v>
      </c>
      <c r="LM34" s="30">
        <f t="shared" si="214"/>
        <v>0</v>
      </c>
      <c r="LN34" s="30">
        <f t="shared" si="214"/>
        <v>0</v>
      </c>
      <c r="LO34" s="30">
        <f t="shared" si="214"/>
        <v>0</v>
      </c>
      <c r="LP34" s="30">
        <f t="shared" si="214"/>
        <v>0</v>
      </c>
      <c r="LQ34" s="30">
        <f t="shared" si="214"/>
        <v>0</v>
      </c>
      <c r="LR34" s="30">
        <f t="shared" si="214"/>
        <v>0</v>
      </c>
      <c r="LS34" s="30">
        <f t="shared" si="214"/>
        <v>0</v>
      </c>
      <c r="LT34" s="30">
        <f t="shared" si="214"/>
        <v>0</v>
      </c>
      <c r="LU34" s="30">
        <f t="shared" si="214"/>
        <v>0</v>
      </c>
      <c r="LV34" s="30">
        <f t="shared" si="214"/>
        <v>0</v>
      </c>
      <c r="LW34" s="30">
        <f t="shared" si="214"/>
        <v>0</v>
      </c>
      <c r="LX34" s="30">
        <f t="shared" si="214"/>
        <v>0</v>
      </c>
      <c r="LY34" s="30">
        <f t="shared" si="214"/>
        <v>0</v>
      </c>
      <c r="LZ34" s="30">
        <f t="shared" si="214"/>
        <v>0</v>
      </c>
      <c r="MA34" s="30">
        <f t="shared" si="214"/>
        <v>0</v>
      </c>
      <c r="MB34" s="30">
        <f t="shared" si="214"/>
        <v>0</v>
      </c>
      <c r="MC34" s="12">
        <f t="shared" si="214"/>
        <v>0</v>
      </c>
      <c r="MD34" s="12">
        <f t="shared" si="214"/>
        <v>0</v>
      </c>
      <c r="ME34" s="12">
        <f t="shared" si="214"/>
        <v>0</v>
      </c>
      <c r="MF34" s="12">
        <f t="shared" si="214"/>
        <v>0</v>
      </c>
      <c r="MG34" s="12">
        <f t="shared" si="214"/>
        <v>0</v>
      </c>
      <c r="MH34" s="12">
        <f t="shared" si="214"/>
        <v>0</v>
      </c>
      <c r="MI34" s="12">
        <f t="shared" si="214"/>
        <v>0</v>
      </c>
      <c r="MJ34" s="12">
        <f t="shared" si="214"/>
        <v>0</v>
      </c>
      <c r="MK34" s="12">
        <f t="shared" si="214"/>
        <v>0</v>
      </c>
      <c r="ML34" s="12">
        <f t="shared" si="214"/>
        <v>0</v>
      </c>
      <c r="MM34" s="12"/>
      <c r="MN34" s="12"/>
    </row>
    <row r="35" spans="1:352" ht="23.25" customHeight="1" x14ac:dyDescent="0.25">
      <c r="A35" s="3" t="s">
        <v>3</v>
      </c>
      <c r="B35" s="3" t="s">
        <v>43</v>
      </c>
      <c r="C35" s="34"/>
      <c r="D35" s="34">
        <f t="shared" si="135"/>
        <v>0</v>
      </c>
      <c r="E35" s="34">
        <f t="shared" si="136"/>
        <v>0</v>
      </c>
      <c r="F35" s="34">
        <f t="shared" si="137"/>
        <v>0</v>
      </c>
      <c r="G35" s="34">
        <f t="shared" si="138"/>
        <v>0</v>
      </c>
      <c r="H35" s="34">
        <f t="shared" si="139"/>
        <v>0</v>
      </c>
      <c r="I35" s="34">
        <f t="shared" si="140"/>
        <v>0</v>
      </c>
      <c r="J35" s="34">
        <f t="shared" si="141"/>
        <v>0</v>
      </c>
      <c r="K35" s="34">
        <f t="shared" si="142"/>
        <v>0</v>
      </c>
      <c r="L35" s="34">
        <f t="shared" si="143"/>
        <v>0</v>
      </c>
      <c r="M35" s="34">
        <f t="shared" si="144"/>
        <v>0</v>
      </c>
      <c r="N35" s="34">
        <f t="shared" si="145"/>
        <v>0</v>
      </c>
      <c r="O35" s="34">
        <f t="shared" si="146"/>
        <v>0</v>
      </c>
      <c r="P35" s="34">
        <f t="shared" si="147"/>
        <v>0</v>
      </c>
      <c r="Q35" s="34">
        <f t="shared" si="148"/>
        <v>0</v>
      </c>
      <c r="R35" s="34">
        <f t="shared" si="149"/>
        <v>0</v>
      </c>
      <c r="S35" s="34">
        <f t="shared" si="150"/>
        <v>0</v>
      </c>
      <c r="T35" s="34">
        <f t="shared" si="151"/>
        <v>0</v>
      </c>
      <c r="U35" s="34">
        <f t="shared" si="152"/>
        <v>0</v>
      </c>
      <c r="V35" s="34">
        <f t="shared" si="153"/>
        <v>0</v>
      </c>
      <c r="W35" s="34">
        <f t="shared" si="154"/>
        <v>0</v>
      </c>
      <c r="X35" s="34">
        <f t="shared" si="155"/>
        <v>0</v>
      </c>
      <c r="Y35" s="34">
        <f t="shared" si="156"/>
        <v>0</v>
      </c>
      <c r="Z35" s="34">
        <f t="shared" si="157"/>
        <v>0</v>
      </c>
      <c r="AA35" s="34">
        <f t="shared" si="158"/>
        <v>0</v>
      </c>
      <c r="AB35" s="34">
        <f t="shared" si="159"/>
        <v>0</v>
      </c>
      <c r="AC35" s="34">
        <f t="shared" si="160"/>
        <v>0</v>
      </c>
      <c r="AD35" s="34">
        <f t="shared" si="161"/>
        <v>1</v>
      </c>
      <c r="AE35" s="34">
        <f t="shared" si="162"/>
        <v>1</v>
      </c>
      <c r="AF35" s="34">
        <f t="shared" si="163"/>
        <v>1</v>
      </c>
      <c r="AG35" s="34">
        <f t="shared" si="164"/>
        <v>0</v>
      </c>
      <c r="AH35" s="34">
        <f t="shared" si="165"/>
        <v>0</v>
      </c>
      <c r="AI35" s="34">
        <f t="shared" si="166"/>
        <v>0</v>
      </c>
      <c r="AJ35" s="34">
        <f t="shared" si="167"/>
        <v>0</v>
      </c>
      <c r="AK35" s="34">
        <f t="shared" si="168"/>
        <v>0</v>
      </c>
      <c r="AL35" s="34">
        <f t="shared" si="169"/>
        <v>0</v>
      </c>
      <c r="AM35" s="34">
        <f t="shared" si="170"/>
        <v>0</v>
      </c>
      <c r="AN35" s="34">
        <f t="shared" si="171"/>
        <v>0</v>
      </c>
      <c r="AO35" s="34">
        <f t="shared" si="172"/>
        <v>0</v>
      </c>
      <c r="AP35" s="34">
        <f t="shared" si="173"/>
        <v>0</v>
      </c>
      <c r="AQ35" s="34">
        <f t="shared" si="174"/>
        <v>0</v>
      </c>
      <c r="AR35" s="34">
        <f t="shared" si="175"/>
        <v>0</v>
      </c>
      <c r="AS35" s="34">
        <f t="shared" si="176"/>
        <v>0</v>
      </c>
      <c r="AT35" s="34">
        <f t="shared" si="177"/>
        <v>0</v>
      </c>
      <c r="AU35" s="34">
        <f t="shared" si="178"/>
        <v>0</v>
      </c>
      <c r="AV35" s="34">
        <f t="shared" si="179"/>
        <v>0</v>
      </c>
      <c r="AW35" s="34">
        <f t="shared" si="180"/>
        <v>0</v>
      </c>
      <c r="AX35" s="34">
        <f t="shared" si="181"/>
        <v>0</v>
      </c>
      <c r="AY35" s="34">
        <f t="shared" si="182"/>
        <v>0</v>
      </c>
      <c r="AZ35" s="34">
        <f t="shared" si="183"/>
        <v>0</v>
      </c>
      <c r="BA35" s="34">
        <f t="shared" si="184"/>
        <v>0</v>
      </c>
      <c r="BB35" s="34">
        <f t="shared" si="185"/>
        <v>0</v>
      </c>
      <c r="BC35" s="34">
        <f t="shared" si="186"/>
        <v>0</v>
      </c>
      <c r="BD35" s="34">
        <f t="shared" si="187"/>
        <v>0</v>
      </c>
      <c r="BE35" s="34">
        <f t="shared" si="188"/>
        <v>0</v>
      </c>
      <c r="BF35" s="34">
        <f t="shared" si="189"/>
        <v>0</v>
      </c>
      <c r="BG35" s="34">
        <f t="shared" si="190"/>
        <v>0</v>
      </c>
      <c r="BH35" s="34">
        <f t="shared" si="191"/>
        <v>0</v>
      </c>
      <c r="BI35" s="34">
        <f t="shared" si="192"/>
        <v>0</v>
      </c>
      <c r="BJ35" s="34">
        <f t="shared" si="193"/>
        <v>0</v>
      </c>
      <c r="BK35" s="34">
        <f t="shared" si="194"/>
        <v>0</v>
      </c>
      <c r="BL35" s="34">
        <f t="shared" si="195"/>
        <v>0</v>
      </c>
      <c r="BM35" s="34">
        <f t="shared" si="196"/>
        <v>0</v>
      </c>
      <c r="BN35" s="34">
        <f t="shared" si="197"/>
        <v>0</v>
      </c>
      <c r="BO35" s="34">
        <f t="shared" si="198"/>
        <v>1</v>
      </c>
      <c r="BP35" s="34">
        <f t="shared" si="199"/>
        <v>0</v>
      </c>
      <c r="BQ35" s="42">
        <f t="shared" si="199"/>
        <v>0</v>
      </c>
      <c r="BR35" s="42">
        <f t="shared" si="200"/>
        <v>0</v>
      </c>
      <c r="BS35" s="42">
        <f t="shared" si="201"/>
        <v>0</v>
      </c>
      <c r="BT35" s="10">
        <f t="shared" si="202"/>
        <v>0</v>
      </c>
      <c r="BU35" s="10">
        <f t="shared" si="202"/>
        <v>0</v>
      </c>
      <c r="BV35" s="10">
        <f t="shared" si="202"/>
        <v>0</v>
      </c>
      <c r="BW35" s="35">
        <f t="shared" si="202"/>
        <v>0</v>
      </c>
      <c r="BX35" s="10">
        <f t="shared" si="202"/>
        <v>0</v>
      </c>
      <c r="BY35" s="10">
        <f t="shared" si="202"/>
        <v>0</v>
      </c>
      <c r="BZ35" s="10">
        <f t="shared" si="202"/>
        <v>0</v>
      </c>
      <c r="CA35" s="10">
        <f t="shared" si="202"/>
        <v>0</v>
      </c>
      <c r="CB35" s="10">
        <f t="shared" si="202"/>
        <v>0</v>
      </c>
      <c r="CC35" s="10">
        <f t="shared" si="202"/>
        <v>0</v>
      </c>
      <c r="CD35" s="10">
        <f t="shared" si="202"/>
        <v>0</v>
      </c>
      <c r="CE35" s="10">
        <f t="shared" si="202"/>
        <v>0</v>
      </c>
      <c r="CF35" s="56">
        <f t="shared" si="202"/>
        <v>0</v>
      </c>
      <c r="CG35" s="56">
        <f t="shared" si="202"/>
        <v>0</v>
      </c>
      <c r="CH35" s="56">
        <f t="shared" si="202"/>
        <v>0</v>
      </c>
      <c r="CI35" s="56">
        <f t="shared" si="202"/>
        <v>0</v>
      </c>
      <c r="CJ35" s="56">
        <f t="shared" si="202"/>
        <v>0</v>
      </c>
      <c r="CK35" s="56">
        <f t="shared" si="202"/>
        <v>0</v>
      </c>
      <c r="CL35" s="56">
        <f t="shared" si="202"/>
        <v>0</v>
      </c>
      <c r="CM35" s="56">
        <f>IF(CM23="Not Received",CL35,CM23)</f>
        <v>0</v>
      </c>
      <c r="CN35" s="56">
        <f t="shared" si="202"/>
        <v>0</v>
      </c>
      <c r="CO35" s="56">
        <f t="shared" si="202"/>
        <v>0</v>
      </c>
      <c r="CP35" s="56">
        <f t="shared" si="202"/>
        <v>0</v>
      </c>
      <c r="CQ35" s="56">
        <f t="shared" si="202"/>
        <v>0</v>
      </c>
      <c r="CR35" s="56">
        <f t="shared" si="202"/>
        <v>0</v>
      </c>
      <c r="CS35" s="56">
        <f t="shared" si="202"/>
        <v>0</v>
      </c>
      <c r="CT35" s="56">
        <f t="shared" si="202"/>
        <v>0</v>
      </c>
      <c r="CU35" s="56">
        <f t="shared" si="202"/>
        <v>0</v>
      </c>
      <c r="CV35" s="56">
        <f t="shared" si="203"/>
        <v>0</v>
      </c>
      <c r="CW35" s="56">
        <f t="shared" si="203"/>
        <v>0</v>
      </c>
      <c r="CX35" s="56">
        <f t="shared" si="203"/>
        <v>0</v>
      </c>
      <c r="CY35" s="56">
        <f t="shared" si="203"/>
        <v>0</v>
      </c>
      <c r="CZ35" s="56">
        <f t="shared" si="203"/>
        <v>0</v>
      </c>
      <c r="DA35" s="56">
        <f t="shared" si="203"/>
        <v>0</v>
      </c>
      <c r="DB35" s="56">
        <f t="shared" si="203"/>
        <v>0</v>
      </c>
      <c r="DC35" s="56">
        <f t="shared" si="203"/>
        <v>0</v>
      </c>
      <c r="DD35" s="56">
        <f t="shared" si="203"/>
        <v>0</v>
      </c>
      <c r="DE35" s="56">
        <f t="shared" si="203"/>
        <v>0</v>
      </c>
      <c r="DF35" s="56">
        <f t="shared" si="203"/>
        <v>0</v>
      </c>
      <c r="DG35" s="56">
        <f t="shared" si="203"/>
        <v>0</v>
      </c>
      <c r="DH35" s="56">
        <f t="shared" si="203"/>
        <v>0</v>
      </c>
      <c r="DI35" s="56">
        <f t="shared" si="203"/>
        <v>0</v>
      </c>
      <c r="DJ35" s="56">
        <f t="shared" si="203"/>
        <v>0</v>
      </c>
      <c r="DK35" s="56">
        <f t="shared" si="203"/>
        <v>0</v>
      </c>
      <c r="DL35" s="56">
        <f t="shared" si="203"/>
        <v>0</v>
      </c>
      <c r="DM35" s="56">
        <f t="shared" si="203"/>
        <v>0</v>
      </c>
      <c r="DN35" s="56">
        <f t="shared" si="203"/>
        <v>0</v>
      </c>
      <c r="DO35" s="56">
        <f t="shared" si="203"/>
        <v>0</v>
      </c>
      <c r="DP35" s="56">
        <f t="shared" si="203"/>
        <v>0</v>
      </c>
      <c r="DQ35" s="56">
        <f t="shared" si="203"/>
        <v>0</v>
      </c>
      <c r="DR35" s="56">
        <f t="shared" si="203"/>
        <v>0</v>
      </c>
      <c r="DS35" s="56">
        <f t="shared" si="203"/>
        <v>0</v>
      </c>
      <c r="DT35" s="56">
        <f t="shared" si="203"/>
        <v>0</v>
      </c>
      <c r="DU35" s="56">
        <f t="shared" si="203"/>
        <v>0</v>
      </c>
      <c r="DV35" s="56">
        <f t="shared" si="203"/>
        <v>0</v>
      </c>
      <c r="DW35" s="56">
        <f t="shared" si="203"/>
        <v>0</v>
      </c>
      <c r="DX35" s="56">
        <f t="shared" si="203"/>
        <v>0</v>
      </c>
      <c r="DY35" s="56">
        <f t="shared" si="203"/>
        <v>0</v>
      </c>
      <c r="DZ35" s="56">
        <f t="shared" si="203"/>
        <v>0</v>
      </c>
      <c r="EA35" s="56">
        <f t="shared" si="203"/>
        <v>0</v>
      </c>
      <c r="EB35" s="56">
        <f t="shared" si="203"/>
        <v>0</v>
      </c>
      <c r="EC35" s="56">
        <f t="shared" si="203"/>
        <v>0</v>
      </c>
      <c r="ED35" s="56">
        <f t="shared" si="203"/>
        <v>0</v>
      </c>
      <c r="EE35" s="56">
        <f t="shared" si="203"/>
        <v>0</v>
      </c>
      <c r="EF35" s="56">
        <f t="shared" si="203"/>
        <v>0</v>
      </c>
      <c r="EG35" s="56">
        <f t="shared" si="203"/>
        <v>0</v>
      </c>
      <c r="EH35" s="56">
        <f t="shared" si="203"/>
        <v>0</v>
      </c>
      <c r="EI35" s="56">
        <f t="shared" si="203"/>
        <v>0</v>
      </c>
      <c r="EJ35" s="56">
        <f t="shared" si="203"/>
        <v>0</v>
      </c>
      <c r="EK35" s="56">
        <f t="shared" si="203"/>
        <v>0</v>
      </c>
      <c r="EL35" s="56">
        <f t="shared" si="203"/>
        <v>0</v>
      </c>
      <c r="EM35" s="56">
        <f t="shared" si="203"/>
        <v>0</v>
      </c>
      <c r="EN35" s="56">
        <f t="shared" si="203"/>
        <v>0</v>
      </c>
      <c r="EO35" s="56">
        <f t="shared" si="203"/>
        <v>0</v>
      </c>
      <c r="EP35" s="56">
        <f t="shared" si="203"/>
        <v>0</v>
      </c>
      <c r="EQ35" s="56">
        <f t="shared" si="203"/>
        <v>0</v>
      </c>
      <c r="ER35" s="56">
        <f t="shared" si="203"/>
        <v>0</v>
      </c>
      <c r="ES35" s="56">
        <f t="shared" si="203"/>
        <v>0</v>
      </c>
      <c r="ET35" s="56">
        <f t="shared" si="203"/>
        <v>0</v>
      </c>
      <c r="EU35" s="56">
        <f t="shared" si="203"/>
        <v>0</v>
      </c>
      <c r="EV35" s="56">
        <f t="shared" si="203"/>
        <v>0</v>
      </c>
      <c r="EW35" s="56">
        <f t="shared" si="203"/>
        <v>0</v>
      </c>
      <c r="EX35" s="56">
        <f t="shared" si="203"/>
        <v>0</v>
      </c>
      <c r="EY35" s="56">
        <f t="shared" si="203"/>
        <v>0</v>
      </c>
      <c r="EZ35" s="56">
        <f t="shared" si="203"/>
        <v>0</v>
      </c>
      <c r="FA35" s="56">
        <f t="shared" si="204"/>
        <v>0</v>
      </c>
      <c r="FB35" s="56">
        <f t="shared" si="204"/>
        <v>0</v>
      </c>
      <c r="FC35" s="56">
        <f t="shared" si="204"/>
        <v>0</v>
      </c>
      <c r="FD35" s="56">
        <f t="shared" si="204"/>
        <v>0</v>
      </c>
      <c r="FE35" s="56">
        <f t="shared" si="204"/>
        <v>0</v>
      </c>
      <c r="FF35" s="56">
        <f t="shared" si="204"/>
        <v>0</v>
      </c>
      <c r="FG35" s="56">
        <f t="shared" si="204"/>
        <v>0</v>
      </c>
      <c r="FH35" s="56">
        <f t="shared" si="204"/>
        <v>0</v>
      </c>
      <c r="FI35" s="56">
        <f t="shared" si="204"/>
        <v>0</v>
      </c>
      <c r="FJ35" s="56">
        <f t="shared" si="204"/>
        <v>0</v>
      </c>
      <c r="FK35" s="56">
        <f t="shared" si="204"/>
        <v>0</v>
      </c>
      <c r="FL35" s="56">
        <f t="shared" si="204"/>
        <v>0</v>
      </c>
      <c r="FM35" s="56">
        <f t="shared" si="204"/>
        <v>0</v>
      </c>
      <c r="FN35" s="56">
        <f t="shared" si="204"/>
        <v>0</v>
      </c>
      <c r="FO35" s="56">
        <f t="shared" si="204"/>
        <v>0</v>
      </c>
      <c r="FP35" s="10"/>
      <c r="FQ35" s="10">
        <f t="shared" si="205"/>
        <v>0</v>
      </c>
      <c r="FR35" s="10">
        <f t="shared" si="205"/>
        <v>0</v>
      </c>
      <c r="FS35" s="10">
        <f t="shared" si="205"/>
        <v>0</v>
      </c>
      <c r="FT35" s="10">
        <f t="shared" si="205"/>
        <v>0</v>
      </c>
      <c r="FU35" s="10">
        <f t="shared" si="205"/>
        <v>0</v>
      </c>
      <c r="FV35" s="10">
        <f t="shared" si="205"/>
        <v>0</v>
      </c>
      <c r="FW35" s="10">
        <f t="shared" si="205"/>
        <v>0</v>
      </c>
      <c r="FX35" s="10">
        <f t="shared" si="205"/>
        <v>0</v>
      </c>
      <c r="FY35" s="10">
        <f t="shared" si="205"/>
        <v>0</v>
      </c>
      <c r="FZ35" s="10">
        <f t="shared" si="205"/>
        <v>0</v>
      </c>
      <c r="GA35" s="10">
        <f t="shared" si="205"/>
        <v>0</v>
      </c>
      <c r="GB35" s="10">
        <f t="shared" si="205"/>
        <v>0</v>
      </c>
      <c r="GC35" s="10">
        <f t="shared" si="205"/>
        <v>0</v>
      </c>
      <c r="GD35" s="10">
        <f t="shared" si="205"/>
        <v>0</v>
      </c>
      <c r="GE35" s="10">
        <f t="shared" si="205"/>
        <v>0</v>
      </c>
      <c r="GF35" s="10">
        <f t="shared" si="205"/>
        <v>0</v>
      </c>
      <c r="GG35" s="10">
        <f t="shared" si="205"/>
        <v>0</v>
      </c>
      <c r="GH35" s="10">
        <f t="shared" si="205"/>
        <v>0</v>
      </c>
      <c r="GI35" s="10">
        <f t="shared" si="205"/>
        <v>0</v>
      </c>
      <c r="GJ35" s="10">
        <f t="shared" si="205"/>
        <v>0</v>
      </c>
      <c r="GK35" s="10">
        <f t="shared" si="205"/>
        <v>0</v>
      </c>
      <c r="GL35" s="10">
        <f t="shared" si="205"/>
        <v>0</v>
      </c>
      <c r="GM35" s="10">
        <f t="shared" si="205"/>
        <v>0</v>
      </c>
      <c r="GN35" s="10">
        <f t="shared" si="205"/>
        <v>0</v>
      </c>
      <c r="GO35" s="10">
        <f t="shared" si="205"/>
        <v>0</v>
      </c>
      <c r="GP35" s="10">
        <f t="shared" si="205"/>
        <v>0</v>
      </c>
      <c r="GQ35" s="10">
        <f t="shared" si="205"/>
        <v>0</v>
      </c>
      <c r="GR35" s="10">
        <f t="shared" si="205"/>
        <v>0</v>
      </c>
      <c r="GS35" s="10">
        <f t="shared" si="205"/>
        <v>0</v>
      </c>
      <c r="GT35" s="10">
        <f t="shared" si="205"/>
        <v>0</v>
      </c>
      <c r="GU35" s="10">
        <f t="shared" si="205"/>
        <v>0</v>
      </c>
      <c r="GV35" s="10">
        <f t="shared" si="205"/>
        <v>0</v>
      </c>
      <c r="GW35" s="10">
        <f t="shared" si="205"/>
        <v>0</v>
      </c>
      <c r="GX35" s="10">
        <f t="shared" si="205"/>
        <v>0</v>
      </c>
      <c r="GY35" s="10">
        <f t="shared" si="205"/>
        <v>0</v>
      </c>
      <c r="GZ35" s="10">
        <f t="shared" si="205"/>
        <v>0</v>
      </c>
      <c r="HA35" s="10">
        <f t="shared" si="205"/>
        <v>0</v>
      </c>
      <c r="HB35" s="10">
        <f t="shared" si="205"/>
        <v>0</v>
      </c>
      <c r="HC35" s="10">
        <f t="shared" si="205"/>
        <v>0</v>
      </c>
      <c r="HD35" s="10">
        <f t="shared" si="205"/>
        <v>0</v>
      </c>
      <c r="HE35" s="10">
        <f t="shared" si="205"/>
        <v>0</v>
      </c>
      <c r="HF35" s="10">
        <f t="shared" si="205"/>
        <v>0</v>
      </c>
      <c r="HG35" s="10">
        <f t="shared" si="205"/>
        <v>0</v>
      </c>
      <c r="HH35" s="10">
        <f t="shared" si="205"/>
        <v>0</v>
      </c>
      <c r="HI35" s="10">
        <f t="shared" si="205"/>
        <v>0</v>
      </c>
      <c r="HJ35" s="10">
        <f t="shared" si="205"/>
        <v>0</v>
      </c>
      <c r="HK35" s="10">
        <f t="shared" si="205"/>
        <v>0</v>
      </c>
      <c r="HL35" s="10">
        <f t="shared" si="205"/>
        <v>0</v>
      </c>
      <c r="HM35" s="10">
        <f t="shared" si="205"/>
        <v>0</v>
      </c>
      <c r="HN35" s="10">
        <f t="shared" si="206"/>
        <v>0</v>
      </c>
      <c r="HO35" s="10">
        <f t="shared" si="206"/>
        <v>0</v>
      </c>
      <c r="HP35" s="10">
        <f t="shared" si="206"/>
        <v>0</v>
      </c>
      <c r="HQ35" s="10">
        <f t="shared" si="206"/>
        <v>0</v>
      </c>
      <c r="HR35" s="10">
        <f t="shared" si="206"/>
        <v>0</v>
      </c>
      <c r="HS35" s="10">
        <f t="shared" si="206"/>
        <v>0</v>
      </c>
      <c r="HT35" s="10">
        <f t="shared" si="206"/>
        <v>0</v>
      </c>
      <c r="HU35" s="10">
        <f t="shared" si="206"/>
        <v>0</v>
      </c>
      <c r="HV35" s="10">
        <f t="shared" si="206"/>
        <v>0</v>
      </c>
      <c r="HW35" s="10">
        <f t="shared" si="206"/>
        <v>0</v>
      </c>
      <c r="HX35" s="10">
        <f t="shared" si="206"/>
        <v>0</v>
      </c>
      <c r="HY35" s="10">
        <f t="shared" si="206"/>
        <v>0</v>
      </c>
      <c r="HZ35" s="10">
        <f t="shared" si="206"/>
        <v>0</v>
      </c>
      <c r="IA35" s="10">
        <f t="shared" si="206"/>
        <v>0</v>
      </c>
      <c r="IB35" s="10">
        <f t="shared" si="206"/>
        <v>0</v>
      </c>
      <c r="IC35" s="10">
        <f t="shared" si="206"/>
        <v>0</v>
      </c>
      <c r="ID35" s="10">
        <f t="shared" si="206"/>
        <v>0</v>
      </c>
      <c r="IE35" s="10">
        <f t="shared" si="206"/>
        <v>0</v>
      </c>
      <c r="IF35" s="10">
        <f t="shared" si="206"/>
        <v>0</v>
      </c>
      <c r="IG35" s="10">
        <f t="shared" si="206"/>
        <v>0</v>
      </c>
      <c r="IH35" s="10">
        <f t="shared" si="206"/>
        <v>0</v>
      </c>
      <c r="II35" s="10"/>
      <c r="IJ35" s="10">
        <f t="shared" si="207"/>
        <v>0</v>
      </c>
      <c r="IK35" s="10">
        <f t="shared" si="207"/>
        <v>0</v>
      </c>
      <c r="IL35" s="10">
        <f t="shared" si="207"/>
        <v>0</v>
      </c>
      <c r="IM35" s="35">
        <f t="shared" si="207"/>
        <v>0</v>
      </c>
      <c r="IN35" s="35">
        <f t="shared" si="207"/>
        <v>0</v>
      </c>
      <c r="IO35" s="35">
        <f t="shared" si="207"/>
        <v>0</v>
      </c>
      <c r="IP35" s="10">
        <f t="shared" si="207"/>
        <v>0</v>
      </c>
      <c r="IQ35" s="30">
        <f t="shared" si="215"/>
        <v>0</v>
      </c>
      <c r="IR35" s="30">
        <f t="shared" si="216"/>
        <v>0</v>
      </c>
      <c r="IS35" s="30">
        <f t="shared" si="217"/>
        <v>0</v>
      </c>
      <c r="IT35" s="30">
        <f t="shared" si="218"/>
        <v>0</v>
      </c>
      <c r="IU35" s="30">
        <f t="shared" si="207"/>
        <v>0</v>
      </c>
      <c r="IV35" s="30">
        <f t="shared" si="207"/>
        <v>0</v>
      </c>
      <c r="IW35" s="30">
        <f t="shared" si="207"/>
        <v>0</v>
      </c>
      <c r="IX35" s="30">
        <f t="shared" si="207"/>
        <v>0</v>
      </c>
      <c r="IY35" s="30">
        <f t="shared" si="207"/>
        <v>0</v>
      </c>
      <c r="IZ35" s="30">
        <f t="shared" si="207"/>
        <v>1</v>
      </c>
      <c r="JA35" s="30">
        <f t="shared" si="207"/>
        <v>0</v>
      </c>
      <c r="JB35" s="30">
        <f t="shared" si="207"/>
        <v>0</v>
      </c>
      <c r="JC35" s="30">
        <f t="shared" si="207"/>
        <v>0</v>
      </c>
      <c r="JD35" s="30">
        <f t="shared" si="207"/>
        <v>0</v>
      </c>
      <c r="JE35" s="30">
        <f t="shared" si="207"/>
        <v>0</v>
      </c>
      <c r="JF35" s="30">
        <f t="shared" si="207"/>
        <v>0</v>
      </c>
      <c r="JG35" s="30">
        <f t="shared" si="207"/>
        <v>0</v>
      </c>
      <c r="JH35" s="30">
        <f t="shared" si="207"/>
        <v>0</v>
      </c>
      <c r="JI35" s="30">
        <f t="shared" si="207"/>
        <v>0</v>
      </c>
      <c r="JJ35" s="30">
        <f t="shared" si="207"/>
        <v>0</v>
      </c>
      <c r="JK35" s="30">
        <f t="shared" si="207"/>
        <v>0</v>
      </c>
      <c r="JL35" s="30">
        <f t="shared" si="207"/>
        <v>0</v>
      </c>
      <c r="JM35" s="30">
        <f t="shared" si="207"/>
        <v>0</v>
      </c>
      <c r="JN35" s="30">
        <f t="shared" si="207"/>
        <v>0</v>
      </c>
      <c r="JO35" s="30">
        <f t="shared" si="207"/>
        <v>0</v>
      </c>
      <c r="JP35" s="30">
        <f t="shared" si="207"/>
        <v>0</v>
      </c>
      <c r="JQ35" s="30">
        <f t="shared" si="207"/>
        <v>0</v>
      </c>
      <c r="JR35" s="30">
        <f t="shared" si="207"/>
        <v>0</v>
      </c>
      <c r="JS35" s="30">
        <f t="shared" si="207"/>
        <v>0</v>
      </c>
      <c r="JT35" s="30">
        <f t="shared" si="207"/>
        <v>0</v>
      </c>
      <c r="JU35" s="30">
        <f t="shared" si="207"/>
        <v>0</v>
      </c>
      <c r="JV35" s="30">
        <f t="shared" si="207"/>
        <v>0</v>
      </c>
      <c r="JW35" s="30">
        <f t="shared" si="207"/>
        <v>0</v>
      </c>
      <c r="JX35" s="30">
        <f t="shared" si="207"/>
        <v>0</v>
      </c>
      <c r="JY35" s="30">
        <f t="shared" si="207"/>
        <v>0</v>
      </c>
      <c r="JZ35" s="30">
        <f t="shared" si="207"/>
        <v>0</v>
      </c>
      <c r="KA35" s="30">
        <f t="shared" si="214"/>
        <v>0</v>
      </c>
      <c r="KB35" s="30">
        <f t="shared" si="214"/>
        <v>0</v>
      </c>
      <c r="KC35" s="30">
        <f t="shared" si="214"/>
        <v>0</v>
      </c>
      <c r="KD35" s="30">
        <f t="shared" si="214"/>
        <v>0</v>
      </c>
      <c r="KE35" s="30">
        <f t="shared" si="214"/>
        <v>0</v>
      </c>
      <c r="KF35" s="30">
        <f t="shared" si="214"/>
        <v>0</v>
      </c>
      <c r="KG35" s="30">
        <f t="shared" si="214"/>
        <v>0</v>
      </c>
      <c r="KH35" s="30">
        <f t="shared" si="214"/>
        <v>0</v>
      </c>
      <c r="KI35" s="30">
        <f t="shared" si="214"/>
        <v>0</v>
      </c>
      <c r="KJ35" s="30">
        <f t="shared" si="214"/>
        <v>0</v>
      </c>
      <c r="KK35" s="30">
        <f t="shared" si="214"/>
        <v>0</v>
      </c>
      <c r="KL35" s="30">
        <f t="shared" si="214"/>
        <v>0</v>
      </c>
      <c r="KM35" s="30">
        <f t="shared" si="214"/>
        <v>0</v>
      </c>
      <c r="KN35" s="30">
        <f t="shared" si="214"/>
        <v>0</v>
      </c>
      <c r="KO35" s="30">
        <f t="shared" si="214"/>
        <v>0</v>
      </c>
      <c r="KP35" s="30">
        <f t="shared" si="214"/>
        <v>0</v>
      </c>
      <c r="KQ35" s="30">
        <f t="shared" si="214"/>
        <v>0</v>
      </c>
      <c r="KR35" s="30">
        <f t="shared" si="214"/>
        <v>0</v>
      </c>
      <c r="KS35" s="30">
        <f t="shared" si="214"/>
        <v>0</v>
      </c>
      <c r="KT35" s="30">
        <f t="shared" si="214"/>
        <v>0</v>
      </c>
      <c r="KU35" s="30">
        <f t="shared" si="214"/>
        <v>0</v>
      </c>
      <c r="KV35" s="30">
        <f t="shared" si="214"/>
        <v>0</v>
      </c>
      <c r="KW35" s="30">
        <f t="shared" si="214"/>
        <v>0</v>
      </c>
      <c r="KX35" s="30">
        <f t="shared" si="214"/>
        <v>0</v>
      </c>
      <c r="KY35" s="30">
        <f t="shared" si="214"/>
        <v>0</v>
      </c>
      <c r="KZ35" s="30">
        <f t="shared" si="214"/>
        <v>0</v>
      </c>
      <c r="LA35" s="30">
        <f t="shared" si="214"/>
        <v>0</v>
      </c>
      <c r="LB35" s="30">
        <f t="shared" si="214"/>
        <v>0</v>
      </c>
      <c r="LC35" s="30">
        <f t="shared" si="214"/>
        <v>0</v>
      </c>
      <c r="LD35" s="30">
        <f t="shared" si="214"/>
        <v>0</v>
      </c>
      <c r="LE35" s="30">
        <f t="shared" si="214"/>
        <v>0</v>
      </c>
      <c r="LF35" s="30">
        <f t="shared" si="214"/>
        <v>0</v>
      </c>
      <c r="LG35" s="30">
        <f t="shared" si="214"/>
        <v>0</v>
      </c>
      <c r="LH35" s="30">
        <f t="shared" si="214"/>
        <v>0</v>
      </c>
      <c r="LI35" s="30">
        <f t="shared" si="214"/>
        <v>0</v>
      </c>
      <c r="LJ35" s="30">
        <f t="shared" si="214"/>
        <v>0</v>
      </c>
      <c r="LK35" s="30">
        <f t="shared" si="214"/>
        <v>0</v>
      </c>
      <c r="LL35" s="30">
        <f t="shared" si="214"/>
        <v>0</v>
      </c>
      <c r="LM35" s="30">
        <f t="shared" si="214"/>
        <v>0</v>
      </c>
      <c r="LN35" s="30">
        <f t="shared" si="214"/>
        <v>0</v>
      </c>
      <c r="LO35" s="30">
        <f t="shared" si="214"/>
        <v>0</v>
      </c>
      <c r="LP35" s="30">
        <f t="shared" si="214"/>
        <v>0</v>
      </c>
      <c r="LQ35" s="30">
        <f t="shared" si="214"/>
        <v>0</v>
      </c>
      <c r="LR35" s="30">
        <f t="shared" si="214"/>
        <v>0</v>
      </c>
      <c r="LS35" s="30">
        <f t="shared" si="214"/>
        <v>0</v>
      </c>
      <c r="LT35" s="30">
        <f t="shared" si="214"/>
        <v>0</v>
      </c>
      <c r="LU35" s="30">
        <f t="shared" si="214"/>
        <v>0</v>
      </c>
      <c r="LV35" s="30">
        <f t="shared" si="214"/>
        <v>0</v>
      </c>
      <c r="LW35" s="30">
        <f t="shared" si="214"/>
        <v>0</v>
      </c>
      <c r="LX35" s="30">
        <f t="shared" si="214"/>
        <v>0</v>
      </c>
      <c r="LY35" s="30">
        <f t="shared" si="214"/>
        <v>0</v>
      </c>
      <c r="LZ35" s="30">
        <f t="shared" si="214"/>
        <v>0</v>
      </c>
      <c r="MA35" s="30">
        <f t="shared" si="214"/>
        <v>0</v>
      </c>
      <c r="MB35" s="30">
        <f t="shared" si="214"/>
        <v>0</v>
      </c>
      <c r="MC35" s="12">
        <f t="shared" si="214"/>
        <v>0</v>
      </c>
      <c r="MD35" s="12">
        <f t="shared" si="214"/>
        <v>0</v>
      </c>
      <c r="ME35" s="12">
        <f t="shared" si="214"/>
        <v>0</v>
      </c>
      <c r="MF35" s="12">
        <f t="shared" si="214"/>
        <v>0</v>
      </c>
      <c r="MG35" s="12">
        <f t="shared" si="214"/>
        <v>0</v>
      </c>
      <c r="MH35" s="12">
        <f t="shared" si="214"/>
        <v>0</v>
      </c>
      <c r="MI35" s="12">
        <f t="shared" si="214"/>
        <v>0</v>
      </c>
      <c r="MJ35" s="12">
        <f t="shared" si="214"/>
        <v>0</v>
      </c>
      <c r="MK35" s="12">
        <f t="shared" si="214"/>
        <v>0</v>
      </c>
      <c r="ML35" s="12">
        <f t="shared" ref="ML35" si="219">IF(ML23="Not Received",MK35,ML23)</f>
        <v>0</v>
      </c>
      <c r="MM35" s="12"/>
      <c r="MN35" s="12"/>
    </row>
    <row r="36" spans="1:352" ht="23.25" customHeight="1" x14ac:dyDescent="0.25">
      <c r="A36" s="3" t="s">
        <v>3</v>
      </c>
      <c r="B36" s="3" t="s">
        <v>44</v>
      </c>
      <c r="C36" s="34"/>
      <c r="D36" s="34">
        <f t="shared" si="135"/>
        <v>0</v>
      </c>
      <c r="E36" s="34">
        <f t="shared" si="136"/>
        <v>0</v>
      </c>
      <c r="F36" s="34">
        <f t="shared" si="137"/>
        <v>0</v>
      </c>
      <c r="G36" s="34">
        <f t="shared" si="138"/>
        <v>0</v>
      </c>
      <c r="H36" s="34">
        <f t="shared" si="139"/>
        <v>0</v>
      </c>
      <c r="I36" s="34">
        <f t="shared" si="140"/>
        <v>0</v>
      </c>
      <c r="J36" s="34">
        <f t="shared" si="141"/>
        <v>0</v>
      </c>
      <c r="K36" s="34">
        <f t="shared" si="142"/>
        <v>0</v>
      </c>
      <c r="L36" s="34">
        <f t="shared" si="143"/>
        <v>0</v>
      </c>
      <c r="M36" s="34">
        <f t="shared" si="144"/>
        <v>0</v>
      </c>
      <c r="N36" s="34">
        <f t="shared" si="145"/>
        <v>0</v>
      </c>
      <c r="O36" s="34">
        <f t="shared" si="146"/>
        <v>0</v>
      </c>
      <c r="P36" s="34">
        <f t="shared" si="147"/>
        <v>0</v>
      </c>
      <c r="Q36" s="34">
        <f t="shared" si="148"/>
        <v>0</v>
      </c>
      <c r="R36" s="34">
        <f t="shared" si="149"/>
        <v>0</v>
      </c>
      <c r="S36" s="34">
        <f t="shared" si="150"/>
        <v>0</v>
      </c>
      <c r="T36" s="34">
        <f t="shared" si="151"/>
        <v>0</v>
      </c>
      <c r="U36" s="34">
        <f t="shared" si="152"/>
        <v>0</v>
      </c>
      <c r="V36" s="34">
        <f t="shared" si="153"/>
        <v>0</v>
      </c>
      <c r="W36" s="34">
        <f t="shared" si="154"/>
        <v>0</v>
      </c>
      <c r="X36" s="34">
        <f t="shared" si="155"/>
        <v>0</v>
      </c>
      <c r="Y36" s="34">
        <f t="shared" si="156"/>
        <v>0</v>
      </c>
      <c r="Z36" s="34">
        <f t="shared" si="157"/>
        <v>0</v>
      </c>
      <c r="AA36" s="34">
        <f t="shared" si="158"/>
        <v>0</v>
      </c>
      <c r="AB36" s="34">
        <f t="shared" si="159"/>
        <v>0</v>
      </c>
      <c r="AC36" s="34">
        <f t="shared" si="160"/>
        <v>0</v>
      </c>
      <c r="AD36" s="34">
        <f t="shared" si="161"/>
        <v>0</v>
      </c>
      <c r="AE36" s="34">
        <f t="shared" si="162"/>
        <v>0</v>
      </c>
      <c r="AF36" s="34">
        <f t="shared" si="163"/>
        <v>0</v>
      </c>
      <c r="AG36" s="34">
        <f t="shared" si="164"/>
        <v>0</v>
      </c>
      <c r="AH36" s="34">
        <f t="shared" si="165"/>
        <v>0</v>
      </c>
      <c r="AI36" s="34">
        <f t="shared" si="166"/>
        <v>0</v>
      </c>
      <c r="AJ36" s="34">
        <f t="shared" si="167"/>
        <v>1</v>
      </c>
      <c r="AK36" s="34">
        <f t="shared" si="168"/>
        <v>1</v>
      </c>
      <c r="AL36" s="34">
        <f t="shared" si="169"/>
        <v>1</v>
      </c>
      <c r="AM36" s="34">
        <f t="shared" si="170"/>
        <v>0</v>
      </c>
      <c r="AN36" s="34">
        <f t="shared" si="171"/>
        <v>0</v>
      </c>
      <c r="AO36" s="34">
        <f t="shared" si="172"/>
        <v>0</v>
      </c>
      <c r="AP36" s="34">
        <f t="shared" si="173"/>
        <v>0</v>
      </c>
      <c r="AQ36" s="34">
        <f t="shared" si="174"/>
        <v>0</v>
      </c>
      <c r="AR36" s="34">
        <f t="shared" si="175"/>
        <v>0</v>
      </c>
      <c r="AS36" s="34">
        <f t="shared" si="176"/>
        <v>0</v>
      </c>
      <c r="AT36" s="34">
        <f t="shared" si="177"/>
        <v>0</v>
      </c>
      <c r="AU36" s="34">
        <f t="shared" si="178"/>
        <v>0</v>
      </c>
      <c r="AV36" s="34">
        <f t="shared" si="179"/>
        <v>0</v>
      </c>
      <c r="AW36" s="34">
        <f t="shared" si="180"/>
        <v>0</v>
      </c>
      <c r="AX36" s="34">
        <f t="shared" si="181"/>
        <v>0</v>
      </c>
      <c r="AY36" s="34">
        <f t="shared" si="182"/>
        <v>0</v>
      </c>
      <c r="AZ36" s="34">
        <f t="shared" si="183"/>
        <v>0</v>
      </c>
      <c r="BA36" s="34">
        <f t="shared" si="184"/>
        <v>0</v>
      </c>
      <c r="BB36" s="34">
        <f t="shared" si="185"/>
        <v>0</v>
      </c>
      <c r="BC36" s="34">
        <f t="shared" si="186"/>
        <v>0</v>
      </c>
      <c r="BD36" s="34">
        <f t="shared" si="187"/>
        <v>0</v>
      </c>
      <c r="BE36" s="34">
        <f t="shared" si="188"/>
        <v>0</v>
      </c>
      <c r="BF36" s="34">
        <f t="shared" si="189"/>
        <v>0</v>
      </c>
      <c r="BG36" s="34">
        <f t="shared" si="190"/>
        <v>0</v>
      </c>
      <c r="BH36" s="34">
        <f t="shared" si="191"/>
        <v>0</v>
      </c>
      <c r="BI36" s="34">
        <f t="shared" si="192"/>
        <v>0</v>
      </c>
      <c r="BJ36" s="34">
        <f t="shared" si="193"/>
        <v>0</v>
      </c>
      <c r="BK36" s="34">
        <f t="shared" si="194"/>
        <v>0</v>
      </c>
      <c r="BL36" s="34">
        <f t="shared" si="195"/>
        <v>0</v>
      </c>
      <c r="BM36" s="34">
        <f t="shared" si="196"/>
        <v>0</v>
      </c>
      <c r="BN36" s="34">
        <f t="shared" si="197"/>
        <v>0</v>
      </c>
      <c r="BO36" s="34">
        <f t="shared" si="198"/>
        <v>0</v>
      </c>
      <c r="BP36" s="34">
        <f t="shared" si="199"/>
        <v>1</v>
      </c>
      <c r="BQ36" s="42">
        <f t="shared" si="199"/>
        <v>1</v>
      </c>
      <c r="BR36" s="42">
        <f t="shared" si="200"/>
        <v>1</v>
      </c>
      <c r="BS36" s="42">
        <f t="shared" si="201"/>
        <v>1</v>
      </c>
      <c r="BT36" s="10">
        <f t="shared" si="202"/>
        <v>0</v>
      </c>
      <c r="BU36" s="10">
        <f t="shared" si="202"/>
        <v>0</v>
      </c>
      <c r="BV36" s="10">
        <f t="shared" si="202"/>
        <v>0</v>
      </c>
      <c r="BW36" s="35">
        <f t="shared" si="202"/>
        <v>0</v>
      </c>
      <c r="BX36" s="10">
        <f t="shared" si="202"/>
        <v>0</v>
      </c>
      <c r="BY36" s="10">
        <f t="shared" si="202"/>
        <v>0</v>
      </c>
      <c r="BZ36" s="10">
        <f t="shared" si="202"/>
        <v>0</v>
      </c>
      <c r="CA36" s="10">
        <f t="shared" si="202"/>
        <v>0</v>
      </c>
      <c r="CB36" s="10">
        <f t="shared" si="202"/>
        <v>0</v>
      </c>
      <c r="CC36" s="10">
        <f t="shared" si="202"/>
        <v>0</v>
      </c>
      <c r="CD36" s="10">
        <f t="shared" si="202"/>
        <v>0</v>
      </c>
      <c r="CE36" s="10">
        <f t="shared" si="202"/>
        <v>0</v>
      </c>
      <c r="CF36" s="56">
        <f t="shared" si="202"/>
        <v>0</v>
      </c>
      <c r="CG36" s="56">
        <f t="shared" si="202"/>
        <v>0</v>
      </c>
      <c r="CH36" s="56">
        <f t="shared" si="202"/>
        <v>0</v>
      </c>
      <c r="CI36" s="56">
        <f t="shared" si="202"/>
        <v>0</v>
      </c>
      <c r="CJ36" s="56">
        <f t="shared" si="202"/>
        <v>0</v>
      </c>
      <c r="CK36" s="56">
        <f t="shared" si="202"/>
        <v>0</v>
      </c>
      <c r="CL36" s="56">
        <f t="shared" si="202"/>
        <v>0</v>
      </c>
      <c r="CM36" s="56">
        <f>IF(CM24="Not Received",CL36,CM24)</f>
        <v>0</v>
      </c>
      <c r="CN36" s="56">
        <f t="shared" si="202"/>
        <v>0</v>
      </c>
      <c r="CO36" s="56">
        <f t="shared" si="202"/>
        <v>0</v>
      </c>
      <c r="CP36" s="56">
        <f t="shared" si="202"/>
        <v>0</v>
      </c>
      <c r="CQ36" s="56">
        <f t="shared" si="202"/>
        <v>0</v>
      </c>
      <c r="CR36" s="56">
        <f t="shared" si="202"/>
        <v>0</v>
      </c>
      <c r="CS36" s="56">
        <f t="shared" si="202"/>
        <v>0</v>
      </c>
      <c r="CT36" s="56">
        <f t="shared" si="202"/>
        <v>0</v>
      </c>
      <c r="CU36" s="56">
        <f t="shared" si="202"/>
        <v>0</v>
      </c>
      <c r="CV36" s="56">
        <f t="shared" si="203"/>
        <v>0</v>
      </c>
      <c r="CW36" s="56">
        <f t="shared" si="203"/>
        <v>0</v>
      </c>
      <c r="CX36" s="56">
        <f t="shared" si="203"/>
        <v>0</v>
      </c>
      <c r="CY36" s="56">
        <f t="shared" si="203"/>
        <v>0</v>
      </c>
      <c r="CZ36" s="56">
        <f t="shared" si="203"/>
        <v>0</v>
      </c>
      <c r="DA36" s="56">
        <f t="shared" si="203"/>
        <v>0</v>
      </c>
      <c r="DB36" s="56">
        <f t="shared" si="203"/>
        <v>0</v>
      </c>
      <c r="DC36" s="56">
        <f t="shared" si="203"/>
        <v>0</v>
      </c>
      <c r="DD36" s="56">
        <f t="shared" si="203"/>
        <v>0</v>
      </c>
      <c r="DE36" s="56">
        <f t="shared" si="203"/>
        <v>0</v>
      </c>
      <c r="DF36" s="56">
        <f t="shared" si="203"/>
        <v>0</v>
      </c>
      <c r="DG36" s="56">
        <f t="shared" si="203"/>
        <v>0</v>
      </c>
      <c r="DH36" s="56">
        <f t="shared" si="203"/>
        <v>0</v>
      </c>
      <c r="DI36" s="56">
        <f t="shared" si="203"/>
        <v>0</v>
      </c>
      <c r="DJ36" s="56">
        <f t="shared" si="203"/>
        <v>0</v>
      </c>
      <c r="DK36" s="56">
        <f t="shared" si="203"/>
        <v>0</v>
      </c>
      <c r="DL36" s="56">
        <f t="shared" si="203"/>
        <v>0</v>
      </c>
      <c r="DM36" s="56">
        <f t="shared" si="203"/>
        <v>0</v>
      </c>
      <c r="DN36" s="56">
        <f t="shared" si="203"/>
        <v>0</v>
      </c>
      <c r="DO36" s="56">
        <f t="shared" si="203"/>
        <v>0</v>
      </c>
      <c r="DP36" s="56">
        <f t="shared" si="203"/>
        <v>0</v>
      </c>
      <c r="DQ36" s="56">
        <f t="shared" si="203"/>
        <v>0</v>
      </c>
      <c r="DR36" s="56">
        <f t="shared" si="203"/>
        <v>0</v>
      </c>
      <c r="DS36" s="56">
        <f t="shared" si="203"/>
        <v>0</v>
      </c>
      <c r="DT36" s="56">
        <f t="shared" si="203"/>
        <v>0</v>
      </c>
      <c r="DU36" s="56">
        <f t="shared" si="203"/>
        <v>0</v>
      </c>
      <c r="DV36" s="56">
        <f t="shared" si="203"/>
        <v>0</v>
      </c>
      <c r="DW36" s="56">
        <f t="shared" ref="DW36:EZ39" si="220">IF(DW24="Not Received",DV36,DW24)</f>
        <v>0</v>
      </c>
      <c r="DX36" s="56">
        <f t="shared" si="220"/>
        <v>0</v>
      </c>
      <c r="DY36" s="56">
        <f t="shared" si="220"/>
        <v>0</v>
      </c>
      <c r="DZ36" s="56">
        <f t="shared" si="220"/>
        <v>0</v>
      </c>
      <c r="EA36" s="56">
        <f t="shared" si="220"/>
        <v>0</v>
      </c>
      <c r="EB36" s="56">
        <f t="shared" si="220"/>
        <v>0</v>
      </c>
      <c r="EC36" s="56">
        <f t="shared" si="220"/>
        <v>0</v>
      </c>
      <c r="ED36" s="56">
        <f t="shared" si="220"/>
        <v>0</v>
      </c>
      <c r="EE36" s="56">
        <f t="shared" si="220"/>
        <v>0</v>
      </c>
      <c r="EF36" s="56">
        <f t="shared" si="220"/>
        <v>0</v>
      </c>
      <c r="EG36" s="56">
        <f t="shared" si="220"/>
        <v>0</v>
      </c>
      <c r="EH36" s="56">
        <f t="shared" si="220"/>
        <v>0</v>
      </c>
      <c r="EI36" s="56">
        <f t="shared" si="220"/>
        <v>0</v>
      </c>
      <c r="EJ36" s="56">
        <f t="shared" si="220"/>
        <v>0</v>
      </c>
      <c r="EK36" s="56">
        <f t="shared" si="220"/>
        <v>0</v>
      </c>
      <c r="EL36" s="56">
        <f t="shared" si="220"/>
        <v>0</v>
      </c>
      <c r="EM36" s="56">
        <f t="shared" si="220"/>
        <v>0</v>
      </c>
      <c r="EN36" s="56">
        <f t="shared" si="220"/>
        <v>0</v>
      </c>
      <c r="EO36" s="56">
        <f t="shared" si="220"/>
        <v>0</v>
      </c>
      <c r="EP36" s="56">
        <f t="shared" si="220"/>
        <v>0</v>
      </c>
      <c r="EQ36" s="56">
        <f t="shared" si="220"/>
        <v>0</v>
      </c>
      <c r="ER36" s="56">
        <f t="shared" si="220"/>
        <v>0</v>
      </c>
      <c r="ES36" s="56">
        <f t="shared" si="220"/>
        <v>0</v>
      </c>
      <c r="ET36" s="56">
        <f t="shared" si="220"/>
        <v>0</v>
      </c>
      <c r="EU36" s="56">
        <f t="shared" si="220"/>
        <v>0</v>
      </c>
      <c r="EV36" s="56">
        <f t="shared" si="220"/>
        <v>0</v>
      </c>
      <c r="EW36" s="56">
        <f t="shared" si="220"/>
        <v>0</v>
      </c>
      <c r="EX36" s="56">
        <f t="shared" si="220"/>
        <v>0</v>
      </c>
      <c r="EY36" s="56">
        <f t="shared" si="220"/>
        <v>0</v>
      </c>
      <c r="EZ36" s="56">
        <f t="shared" si="220"/>
        <v>0</v>
      </c>
      <c r="FA36" s="56">
        <f t="shared" si="204"/>
        <v>0</v>
      </c>
      <c r="FB36" s="56">
        <f t="shared" si="204"/>
        <v>0</v>
      </c>
      <c r="FC36" s="56">
        <f t="shared" si="204"/>
        <v>0</v>
      </c>
      <c r="FD36" s="56">
        <f t="shared" si="204"/>
        <v>0</v>
      </c>
      <c r="FE36" s="56">
        <f t="shared" si="204"/>
        <v>0</v>
      </c>
      <c r="FF36" s="56">
        <f t="shared" si="204"/>
        <v>0</v>
      </c>
      <c r="FG36" s="56">
        <f t="shared" si="204"/>
        <v>0</v>
      </c>
      <c r="FH36" s="56">
        <f t="shared" si="204"/>
        <v>0</v>
      </c>
      <c r="FI36" s="56">
        <f t="shared" si="204"/>
        <v>0</v>
      </c>
      <c r="FJ36" s="56">
        <f t="shared" si="204"/>
        <v>0</v>
      </c>
      <c r="FK36" s="56">
        <f t="shared" si="204"/>
        <v>0</v>
      </c>
      <c r="FL36" s="56">
        <f t="shared" si="204"/>
        <v>0</v>
      </c>
      <c r="FM36" s="56">
        <f t="shared" si="204"/>
        <v>0</v>
      </c>
      <c r="FN36" s="56">
        <f t="shared" si="204"/>
        <v>0</v>
      </c>
      <c r="FO36" s="56">
        <f t="shared" si="204"/>
        <v>0</v>
      </c>
      <c r="FP36" s="10"/>
      <c r="FQ36" s="10">
        <f t="shared" si="205"/>
        <v>0</v>
      </c>
      <c r="FR36" s="10">
        <f t="shared" si="205"/>
        <v>0</v>
      </c>
      <c r="FS36" s="10">
        <f t="shared" si="205"/>
        <v>0</v>
      </c>
      <c r="FT36" s="10">
        <f t="shared" si="205"/>
        <v>0</v>
      </c>
      <c r="FU36" s="10">
        <f t="shared" si="205"/>
        <v>0</v>
      </c>
      <c r="FV36" s="10">
        <f t="shared" si="205"/>
        <v>0</v>
      </c>
      <c r="FW36" s="10">
        <f t="shared" si="205"/>
        <v>0</v>
      </c>
      <c r="FX36" s="10">
        <f t="shared" si="205"/>
        <v>0</v>
      </c>
      <c r="FY36" s="10">
        <f t="shared" si="205"/>
        <v>0</v>
      </c>
      <c r="FZ36" s="10">
        <f t="shared" si="205"/>
        <v>0</v>
      </c>
      <c r="GA36" s="10">
        <f t="shared" si="205"/>
        <v>0</v>
      </c>
      <c r="GB36" s="10">
        <f t="shared" si="205"/>
        <v>0</v>
      </c>
      <c r="GC36" s="10">
        <f t="shared" si="205"/>
        <v>0</v>
      </c>
      <c r="GD36" s="10">
        <f t="shared" si="205"/>
        <v>0</v>
      </c>
      <c r="GE36" s="10">
        <f t="shared" si="205"/>
        <v>0</v>
      </c>
      <c r="GF36" s="10">
        <f t="shared" si="205"/>
        <v>0</v>
      </c>
      <c r="GG36" s="10">
        <f t="shared" si="205"/>
        <v>0</v>
      </c>
      <c r="GH36" s="10">
        <f t="shared" si="205"/>
        <v>0</v>
      </c>
      <c r="GI36" s="10">
        <f t="shared" si="205"/>
        <v>0</v>
      </c>
      <c r="GJ36" s="10">
        <f t="shared" si="205"/>
        <v>0</v>
      </c>
      <c r="GK36" s="10">
        <f t="shared" si="205"/>
        <v>0</v>
      </c>
      <c r="GL36" s="10">
        <f t="shared" si="205"/>
        <v>0</v>
      </c>
      <c r="GM36" s="10">
        <f t="shared" si="205"/>
        <v>0</v>
      </c>
      <c r="GN36" s="10">
        <f t="shared" si="205"/>
        <v>0</v>
      </c>
      <c r="GO36" s="10">
        <f t="shared" si="205"/>
        <v>0</v>
      </c>
      <c r="GP36" s="10">
        <f t="shared" si="205"/>
        <v>0</v>
      </c>
      <c r="GQ36" s="10">
        <f t="shared" si="205"/>
        <v>0</v>
      </c>
      <c r="GR36" s="10">
        <f t="shared" si="205"/>
        <v>0</v>
      </c>
      <c r="GS36" s="10">
        <f t="shared" si="205"/>
        <v>0</v>
      </c>
      <c r="GT36" s="10">
        <f t="shared" si="205"/>
        <v>0</v>
      </c>
      <c r="GU36" s="10">
        <f t="shared" si="205"/>
        <v>0</v>
      </c>
      <c r="GV36" s="10">
        <f t="shared" si="205"/>
        <v>0</v>
      </c>
      <c r="GW36" s="10">
        <f t="shared" si="205"/>
        <v>0</v>
      </c>
      <c r="GX36" s="10">
        <f t="shared" si="205"/>
        <v>0</v>
      </c>
      <c r="GY36" s="10">
        <f t="shared" si="205"/>
        <v>0</v>
      </c>
      <c r="GZ36" s="10">
        <f t="shared" si="205"/>
        <v>0</v>
      </c>
      <c r="HA36" s="10">
        <f t="shared" si="205"/>
        <v>0</v>
      </c>
      <c r="HB36" s="10">
        <f t="shared" si="205"/>
        <v>0</v>
      </c>
      <c r="HC36" s="10">
        <f t="shared" si="205"/>
        <v>0</v>
      </c>
      <c r="HD36" s="10">
        <f t="shared" si="205"/>
        <v>0</v>
      </c>
      <c r="HE36" s="10">
        <f t="shared" si="205"/>
        <v>0</v>
      </c>
      <c r="HF36" s="10">
        <f t="shared" si="205"/>
        <v>0</v>
      </c>
      <c r="HG36" s="10">
        <f t="shared" si="205"/>
        <v>0</v>
      </c>
      <c r="HH36" s="10">
        <f t="shared" si="205"/>
        <v>0</v>
      </c>
      <c r="HI36" s="10">
        <f t="shared" si="205"/>
        <v>0</v>
      </c>
      <c r="HJ36" s="10">
        <f t="shared" si="205"/>
        <v>0</v>
      </c>
      <c r="HK36" s="10">
        <f t="shared" si="205"/>
        <v>0</v>
      </c>
      <c r="HL36" s="10">
        <f t="shared" si="205"/>
        <v>0</v>
      </c>
      <c r="HM36" s="10">
        <f t="shared" si="205"/>
        <v>0</v>
      </c>
      <c r="HN36" s="10">
        <f t="shared" si="206"/>
        <v>0</v>
      </c>
      <c r="HO36" s="10">
        <f t="shared" si="206"/>
        <v>0</v>
      </c>
      <c r="HP36" s="10">
        <f t="shared" si="206"/>
        <v>0</v>
      </c>
      <c r="HQ36" s="10">
        <f t="shared" si="206"/>
        <v>0</v>
      </c>
      <c r="HR36" s="10">
        <f t="shared" si="206"/>
        <v>0</v>
      </c>
      <c r="HS36" s="10">
        <f t="shared" si="206"/>
        <v>0</v>
      </c>
      <c r="HT36" s="10">
        <f t="shared" si="206"/>
        <v>0</v>
      </c>
      <c r="HU36" s="10">
        <f t="shared" si="206"/>
        <v>0</v>
      </c>
      <c r="HV36" s="10">
        <f t="shared" si="206"/>
        <v>0</v>
      </c>
      <c r="HW36" s="10">
        <f t="shared" si="206"/>
        <v>0</v>
      </c>
      <c r="HX36" s="10">
        <f t="shared" si="206"/>
        <v>0</v>
      </c>
      <c r="HY36" s="10">
        <f t="shared" si="206"/>
        <v>0</v>
      </c>
      <c r="HZ36" s="10">
        <f t="shared" si="206"/>
        <v>0</v>
      </c>
      <c r="IA36" s="10">
        <f t="shared" si="206"/>
        <v>0</v>
      </c>
      <c r="IB36" s="10">
        <f t="shared" si="206"/>
        <v>0</v>
      </c>
      <c r="IC36" s="10">
        <f t="shared" si="206"/>
        <v>0</v>
      </c>
      <c r="ID36" s="10">
        <f t="shared" si="206"/>
        <v>0</v>
      </c>
      <c r="IE36" s="10">
        <f t="shared" si="206"/>
        <v>0</v>
      </c>
      <c r="IF36" s="10">
        <f t="shared" si="206"/>
        <v>0</v>
      </c>
      <c r="IG36" s="10">
        <f t="shared" si="206"/>
        <v>0</v>
      </c>
      <c r="IH36" s="10">
        <f t="shared" si="206"/>
        <v>0</v>
      </c>
      <c r="II36" s="10"/>
      <c r="IJ36" s="10">
        <f t="shared" si="207"/>
        <v>0</v>
      </c>
      <c r="IK36" s="10">
        <f t="shared" si="207"/>
        <v>0</v>
      </c>
      <c r="IL36" s="10">
        <f t="shared" si="207"/>
        <v>0</v>
      </c>
      <c r="IM36" s="35">
        <f t="shared" si="207"/>
        <v>0</v>
      </c>
      <c r="IN36" s="35">
        <f t="shared" si="207"/>
        <v>0</v>
      </c>
      <c r="IO36" s="35">
        <f t="shared" si="207"/>
        <v>0</v>
      </c>
      <c r="IP36" s="10">
        <f t="shared" si="207"/>
        <v>0</v>
      </c>
      <c r="IQ36" s="30">
        <f t="shared" si="215"/>
        <v>0</v>
      </c>
      <c r="IR36" s="30">
        <f t="shared" si="216"/>
        <v>0</v>
      </c>
      <c r="IS36" s="30">
        <f t="shared" si="217"/>
        <v>0</v>
      </c>
      <c r="IT36" s="30">
        <f t="shared" si="218"/>
        <v>0</v>
      </c>
      <c r="IU36" s="30">
        <f t="shared" si="207"/>
        <v>0</v>
      </c>
      <c r="IV36" s="30">
        <f t="shared" si="207"/>
        <v>0</v>
      </c>
      <c r="IW36" s="30">
        <f t="shared" si="207"/>
        <v>0</v>
      </c>
      <c r="IX36" s="30">
        <f t="shared" si="207"/>
        <v>0</v>
      </c>
      <c r="IY36" s="30">
        <f t="shared" si="207"/>
        <v>0</v>
      </c>
      <c r="IZ36" s="30">
        <f t="shared" si="207"/>
        <v>0</v>
      </c>
      <c r="JA36" s="30">
        <f t="shared" si="207"/>
        <v>0</v>
      </c>
      <c r="JB36" s="30">
        <f t="shared" si="207"/>
        <v>1</v>
      </c>
      <c r="JC36" s="30">
        <f t="shared" si="207"/>
        <v>1</v>
      </c>
      <c r="JD36" s="30">
        <f t="shared" si="207"/>
        <v>1</v>
      </c>
      <c r="JE36" s="30">
        <f t="shared" si="207"/>
        <v>1</v>
      </c>
      <c r="JF36" s="30">
        <f t="shared" si="207"/>
        <v>1</v>
      </c>
      <c r="JG36" s="30">
        <f t="shared" si="207"/>
        <v>1</v>
      </c>
      <c r="JH36" s="30">
        <f t="shared" si="207"/>
        <v>1</v>
      </c>
      <c r="JI36" s="30">
        <f t="shared" si="207"/>
        <v>1</v>
      </c>
      <c r="JJ36" s="30">
        <f t="shared" si="207"/>
        <v>1</v>
      </c>
      <c r="JK36" s="30">
        <f t="shared" si="207"/>
        <v>1</v>
      </c>
      <c r="JL36" s="30">
        <f t="shared" si="207"/>
        <v>1</v>
      </c>
      <c r="JM36" s="30">
        <f t="shared" si="207"/>
        <v>1</v>
      </c>
      <c r="JN36" s="30">
        <f t="shared" si="207"/>
        <v>1</v>
      </c>
      <c r="JO36" s="30">
        <f t="shared" si="207"/>
        <v>1</v>
      </c>
      <c r="JP36" s="30">
        <f t="shared" si="207"/>
        <v>1</v>
      </c>
      <c r="JQ36" s="30">
        <f t="shared" ref="JQ36:MB39" si="221">IF(JQ24="Not Received",JP36,JQ24)</f>
        <v>1</v>
      </c>
      <c r="JR36" s="30">
        <f t="shared" si="221"/>
        <v>1</v>
      </c>
      <c r="JS36" s="30">
        <f t="shared" si="221"/>
        <v>1</v>
      </c>
      <c r="JT36" s="30">
        <f t="shared" si="221"/>
        <v>1</v>
      </c>
      <c r="JU36" s="30">
        <f t="shared" si="221"/>
        <v>1</v>
      </c>
      <c r="JV36" s="30">
        <f t="shared" si="221"/>
        <v>1</v>
      </c>
      <c r="JW36" s="30">
        <f t="shared" si="221"/>
        <v>1</v>
      </c>
      <c r="JX36" s="30">
        <f t="shared" si="221"/>
        <v>1</v>
      </c>
      <c r="JY36" s="30">
        <f t="shared" si="221"/>
        <v>1</v>
      </c>
      <c r="JZ36" s="30">
        <f t="shared" si="221"/>
        <v>1</v>
      </c>
      <c r="KA36" s="30">
        <f t="shared" si="221"/>
        <v>1</v>
      </c>
      <c r="KB36" s="30">
        <f t="shared" si="221"/>
        <v>1</v>
      </c>
      <c r="KC36" s="30">
        <f t="shared" si="221"/>
        <v>1</v>
      </c>
      <c r="KD36" s="30">
        <f t="shared" si="221"/>
        <v>1</v>
      </c>
      <c r="KE36" s="30">
        <f t="shared" si="221"/>
        <v>1</v>
      </c>
      <c r="KF36" s="30">
        <f t="shared" si="221"/>
        <v>1</v>
      </c>
      <c r="KG36" s="30">
        <f t="shared" si="221"/>
        <v>1</v>
      </c>
      <c r="KH36" s="30">
        <f t="shared" si="221"/>
        <v>1</v>
      </c>
      <c r="KI36" s="30">
        <f t="shared" si="221"/>
        <v>1</v>
      </c>
      <c r="KJ36" s="30">
        <f t="shared" si="221"/>
        <v>1</v>
      </c>
      <c r="KK36" s="30">
        <f t="shared" si="221"/>
        <v>1</v>
      </c>
      <c r="KL36" s="30">
        <f t="shared" si="221"/>
        <v>1</v>
      </c>
      <c r="KM36" s="30">
        <f t="shared" si="221"/>
        <v>1</v>
      </c>
      <c r="KN36" s="30">
        <f t="shared" si="221"/>
        <v>1</v>
      </c>
      <c r="KO36" s="30">
        <f t="shared" si="221"/>
        <v>1</v>
      </c>
      <c r="KP36" s="30">
        <f t="shared" si="221"/>
        <v>1</v>
      </c>
      <c r="KQ36" s="30">
        <f t="shared" si="221"/>
        <v>1</v>
      </c>
      <c r="KR36" s="30">
        <f t="shared" si="221"/>
        <v>1</v>
      </c>
      <c r="KS36" s="30">
        <f t="shared" si="221"/>
        <v>1</v>
      </c>
      <c r="KT36" s="30">
        <f t="shared" si="221"/>
        <v>1</v>
      </c>
      <c r="KU36" s="30">
        <f t="shared" si="221"/>
        <v>1</v>
      </c>
      <c r="KV36" s="30">
        <f t="shared" si="221"/>
        <v>1</v>
      </c>
      <c r="KW36" s="30">
        <f t="shared" si="221"/>
        <v>1</v>
      </c>
      <c r="KX36" s="30">
        <f t="shared" si="221"/>
        <v>1</v>
      </c>
      <c r="KY36" s="30">
        <f t="shared" si="221"/>
        <v>1</v>
      </c>
      <c r="KZ36" s="30">
        <f t="shared" si="221"/>
        <v>1</v>
      </c>
      <c r="LA36" s="30">
        <f t="shared" si="221"/>
        <v>1</v>
      </c>
      <c r="LB36" s="30">
        <f t="shared" si="221"/>
        <v>1</v>
      </c>
      <c r="LC36" s="30">
        <f t="shared" si="221"/>
        <v>1</v>
      </c>
      <c r="LD36" s="30">
        <f t="shared" si="221"/>
        <v>1</v>
      </c>
      <c r="LE36" s="30">
        <f t="shared" si="221"/>
        <v>1</v>
      </c>
      <c r="LF36" s="30">
        <f t="shared" si="221"/>
        <v>1</v>
      </c>
      <c r="LG36" s="30">
        <f t="shared" si="221"/>
        <v>1</v>
      </c>
      <c r="LH36" s="30">
        <f t="shared" si="221"/>
        <v>1</v>
      </c>
      <c r="LI36" s="30">
        <f t="shared" si="221"/>
        <v>1</v>
      </c>
      <c r="LJ36" s="30">
        <f t="shared" si="221"/>
        <v>1</v>
      </c>
      <c r="LK36" s="30">
        <f t="shared" si="221"/>
        <v>1</v>
      </c>
      <c r="LL36" s="30">
        <f t="shared" si="221"/>
        <v>1</v>
      </c>
      <c r="LM36" s="30">
        <f t="shared" si="221"/>
        <v>1</v>
      </c>
      <c r="LN36" s="30">
        <f t="shared" si="221"/>
        <v>1</v>
      </c>
      <c r="LO36" s="30">
        <f t="shared" si="221"/>
        <v>1</v>
      </c>
      <c r="LP36" s="30">
        <f t="shared" si="221"/>
        <v>1</v>
      </c>
      <c r="LQ36" s="30">
        <f t="shared" si="221"/>
        <v>1</v>
      </c>
      <c r="LR36" s="30">
        <f t="shared" si="221"/>
        <v>1</v>
      </c>
      <c r="LS36" s="30">
        <f t="shared" si="221"/>
        <v>1</v>
      </c>
      <c r="LT36" s="30">
        <f t="shared" si="221"/>
        <v>1</v>
      </c>
      <c r="LU36" s="30">
        <f t="shared" si="221"/>
        <v>1</v>
      </c>
      <c r="LV36" s="30">
        <f t="shared" si="221"/>
        <v>1</v>
      </c>
      <c r="LW36" s="30">
        <f t="shared" si="221"/>
        <v>1</v>
      </c>
      <c r="LX36" s="30">
        <f t="shared" si="221"/>
        <v>1</v>
      </c>
      <c r="LY36" s="30">
        <f t="shared" si="221"/>
        <v>1</v>
      </c>
      <c r="LZ36" s="30">
        <f t="shared" si="221"/>
        <v>1</v>
      </c>
      <c r="MA36" s="30">
        <f t="shared" si="221"/>
        <v>1</v>
      </c>
      <c r="MB36" s="30">
        <f t="shared" si="221"/>
        <v>1</v>
      </c>
      <c r="MC36" s="12">
        <f t="shared" ref="MC36:ML39" si="222">IF(MC24="Not Received",MB36,MC24)</f>
        <v>1</v>
      </c>
      <c r="MD36" s="12">
        <f t="shared" si="222"/>
        <v>1</v>
      </c>
      <c r="ME36" s="12">
        <f t="shared" si="222"/>
        <v>1</v>
      </c>
      <c r="MF36" s="12">
        <f t="shared" si="222"/>
        <v>1</v>
      </c>
      <c r="MG36" s="12">
        <f t="shared" si="222"/>
        <v>1</v>
      </c>
      <c r="MH36" s="12">
        <f t="shared" si="222"/>
        <v>1</v>
      </c>
      <c r="MI36" s="12">
        <f t="shared" si="222"/>
        <v>1</v>
      </c>
      <c r="MJ36" s="12">
        <f t="shared" si="222"/>
        <v>1</v>
      </c>
      <c r="MK36" s="12">
        <f t="shared" si="222"/>
        <v>1</v>
      </c>
      <c r="ML36" s="12">
        <f t="shared" si="222"/>
        <v>1</v>
      </c>
      <c r="MM36" s="12"/>
      <c r="MN36" s="12"/>
    </row>
    <row r="37" spans="1:352" ht="23.25" customHeight="1" x14ac:dyDescent="0.25">
      <c r="A37" s="3" t="s">
        <v>3</v>
      </c>
      <c r="B37" s="3" t="s">
        <v>45</v>
      </c>
      <c r="C37" s="34"/>
      <c r="D37" s="34">
        <f t="shared" si="135"/>
        <v>0</v>
      </c>
      <c r="E37" s="34">
        <f t="shared" si="136"/>
        <v>0</v>
      </c>
      <c r="F37" s="34">
        <f t="shared" si="137"/>
        <v>0</v>
      </c>
      <c r="G37" s="34">
        <f t="shared" si="138"/>
        <v>0</v>
      </c>
      <c r="H37" s="34">
        <f t="shared" si="139"/>
        <v>0</v>
      </c>
      <c r="I37" s="34">
        <f t="shared" si="140"/>
        <v>0</v>
      </c>
      <c r="J37" s="34">
        <f t="shared" si="141"/>
        <v>0</v>
      </c>
      <c r="K37" s="34">
        <f t="shared" si="142"/>
        <v>0</v>
      </c>
      <c r="L37" s="34">
        <f t="shared" si="143"/>
        <v>0</v>
      </c>
      <c r="M37" s="34">
        <f t="shared" si="144"/>
        <v>0</v>
      </c>
      <c r="N37" s="34">
        <f t="shared" si="145"/>
        <v>0</v>
      </c>
      <c r="O37" s="34">
        <f t="shared" si="146"/>
        <v>0</v>
      </c>
      <c r="P37" s="34">
        <f t="shared" si="147"/>
        <v>0</v>
      </c>
      <c r="Q37" s="34">
        <f t="shared" si="148"/>
        <v>0</v>
      </c>
      <c r="R37" s="34">
        <f t="shared" si="149"/>
        <v>0</v>
      </c>
      <c r="S37" s="34">
        <f t="shared" si="150"/>
        <v>0</v>
      </c>
      <c r="T37" s="34">
        <f t="shared" si="151"/>
        <v>0</v>
      </c>
      <c r="U37" s="34">
        <f t="shared" si="152"/>
        <v>0</v>
      </c>
      <c r="V37" s="34">
        <f t="shared" si="153"/>
        <v>0</v>
      </c>
      <c r="W37" s="34">
        <f t="shared" si="154"/>
        <v>0</v>
      </c>
      <c r="X37" s="34">
        <f t="shared" si="155"/>
        <v>0</v>
      </c>
      <c r="Y37" s="34">
        <f t="shared" si="156"/>
        <v>0</v>
      </c>
      <c r="Z37" s="34">
        <f t="shared" si="157"/>
        <v>0</v>
      </c>
      <c r="AA37" s="34">
        <f t="shared" si="158"/>
        <v>0</v>
      </c>
      <c r="AB37" s="34">
        <f t="shared" si="159"/>
        <v>0</v>
      </c>
      <c r="AC37" s="34">
        <f t="shared" si="160"/>
        <v>0</v>
      </c>
      <c r="AD37" s="34">
        <f t="shared" si="161"/>
        <v>0</v>
      </c>
      <c r="AE37" s="34">
        <f t="shared" si="162"/>
        <v>0</v>
      </c>
      <c r="AF37" s="34">
        <f t="shared" si="163"/>
        <v>0</v>
      </c>
      <c r="AG37" s="34">
        <f t="shared" si="164"/>
        <v>0</v>
      </c>
      <c r="AH37" s="34">
        <f t="shared" si="165"/>
        <v>0</v>
      </c>
      <c r="AI37" s="34">
        <f t="shared" si="166"/>
        <v>0</v>
      </c>
      <c r="AJ37" s="34">
        <f t="shared" si="167"/>
        <v>0</v>
      </c>
      <c r="AK37" s="34">
        <f t="shared" si="168"/>
        <v>0</v>
      </c>
      <c r="AL37" s="34">
        <f t="shared" si="169"/>
        <v>0</v>
      </c>
      <c r="AM37" s="34">
        <f t="shared" si="170"/>
        <v>0</v>
      </c>
      <c r="AN37" s="34">
        <f t="shared" si="171"/>
        <v>0</v>
      </c>
      <c r="AO37" s="34">
        <f t="shared" si="172"/>
        <v>0</v>
      </c>
      <c r="AP37" s="34">
        <f t="shared" si="173"/>
        <v>0</v>
      </c>
      <c r="AQ37" s="34">
        <f t="shared" si="174"/>
        <v>0</v>
      </c>
      <c r="AR37" s="34">
        <f t="shared" si="175"/>
        <v>0</v>
      </c>
      <c r="AS37" s="34">
        <f t="shared" si="176"/>
        <v>0</v>
      </c>
      <c r="AT37" s="34">
        <f t="shared" si="177"/>
        <v>0</v>
      </c>
      <c r="AU37" s="34">
        <f t="shared" si="178"/>
        <v>0</v>
      </c>
      <c r="AV37" s="34">
        <f t="shared" si="179"/>
        <v>1</v>
      </c>
      <c r="AW37" s="34">
        <f t="shared" si="180"/>
        <v>1</v>
      </c>
      <c r="AX37" s="34">
        <f t="shared" si="181"/>
        <v>1</v>
      </c>
      <c r="AY37" s="34">
        <f t="shared" si="182"/>
        <v>0</v>
      </c>
      <c r="AZ37" s="34">
        <f t="shared" si="183"/>
        <v>0</v>
      </c>
      <c r="BA37" s="34">
        <f t="shared" si="184"/>
        <v>0</v>
      </c>
      <c r="BB37" s="34">
        <f t="shared" si="185"/>
        <v>0</v>
      </c>
      <c r="BC37" s="34">
        <f t="shared" si="186"/>
        <v>0</v>
      </c>
      <c r="BD37" s="34">
        <f t="shared" si="187"/>
        <v>0</v>
      </c>
      <c r="BE37" s="34">
        <f t="shared" si="188"/>
        <v>0</v>
      </c>
      <c r="BF37" s="34">
        <f t="shared" si="189"/>
        <v>0</v>
      </c>
      <c r="BG37" s="34">
        <f t="shared" si="190"/>
        <v>0</v>
      </c>
      <c r="BH37" s="34">
        <f t="shared" si="191"/>
        <v>0</v>
      </c>
      <c r="BI37" s="34">
        <f t="shared" si="192"/>
        <v>0</v>
      </c>
      <c r="BJ37" s="34">
        <f t="shared" si="193"/>
        <v>0</v>
      </c>
      <c r="BK37" s="34">
        <f t="shared" si="194"/>
        <v>0</v>
      </c>
      <c r="BL37" s="34">
        <f t="shared" si="195"/>
        <v>0</v>
      </c>
      <c r="BM37" s="34">
        <f t="shared" si="196"/>
        <v>0</v>
      </c>
      <c r="BN37" s="34">
        <f t="shared" si="197"/>
        <v>0</v>
      </c>
      <c r="BO37" s="34">
        <f t="shared" si="198"/>
        <v>0</v>
      </c>
      <c r="BP37" s="34">
        <f t="shared" si="199"/>
        <v>0</v>
      </c>
      <c r="BQ37" s="42">
        <f t="shared" si="199"/>
        <v>0</v>
      </c>
      <c r="BR37" s="42">
        <f t="shared" si="200"/>
        <v>0</v>
      </c>
      <c r="BS37" s="42">
        <f t="shared" si="201"/>
        <v>0</v>
      </c>
      <c r="BT37" s="10">
        <f t="shared" si="202"/>
        <v>0</v>
      </c>
      <c r="BU37" s="10">
        <f t="shared" si="202"/>
        <v>0</v>
      </c>
      <c r="BV37" s="10">
        <f t="shared" si="202"/>
        <v>0</v>
      </c>
      <c r="BW37" s="35">
        <f t="shared" si="202"/>
        <v>0</v>
      </c>
      <c r="BX37" s="10">
        <f t="shared" si="202"/>
        <v>0</v>
      </c>
      <c r="BY37" s="10">
        <f t="shared" si="202"/>
        <v>0</v>
      </c>
      <c r="BZ37" s="10">
        <f t="shared" si="202"/>
        <v>0</v>
      </c>
      <c r="CA37" s="10">
        <f t="shared" si="202"/>
        <v>0</v>
      </c>
      <c r="CB37" s="10">
        <f t="shared" si="202"/>
        <v>0</v>
      </c>
      <c r="CC37" s="10">
        <f t="shared" si="202"/>
        <v>0</v>
      </c>
      <c r="CD37" s="10">
        <f t="shared" si="202"/>
        <v>0</v>
      </c>
      <c r="CE37" s="10">
        <f t="shared" si="202"/>
        <v>0</v>
      </c>
      <c r="CF37" s="56">
        <f t="shared" si="202"/>
        <v>0</v>
      </c>
      <c r="CG37" s="56">
        <f t="shared" si="202"/>
        <v>0</v>
      </c>
      <c r="CH37" s="56">
        <f t="shared" si="202"/>
        <v>0</v>
      </c>
      <c r="CI37" s="56">
        <f t="shared" si="202"/>
        <v>0</v>
      </c>
      <c r="CJ37" s="56">
        <f t="shared" si="202"/>
        <v>0</v>
      </c>
      <c r="CK37" s="56">
        <f t="shared" si="202"/>
        <v>0</v>
      </c>
      <c r="CL37" s="56">
        <f t="shared" si="202"/>
        <v>1</v>
      </c>
      <c r="CM37" s="56">
        <f>IF(CM25="Not Received",CL37,CM25)</f>
        <v>0</v>
      </c>
      <c r="CN37" s="56">
        <f t="shared" si="202"/>
        <v>0</v>
      </c>
      <c r="CO37" s="56">
        <f t="shared" si="202"/>
        <v>0</v>
      </c>
      <c r="CP37" s="56">
        <f t="shared" si="202"/>
        <v>0</v>
      </c>
      <c r="CQ37" s="56">
        <f t="shared" si="202"/>
        <v>0</v>
      </c>
      <c r="CR37" s="56">
        <f t="shared" si="202"/>
        <v>0</v>
      </c>
      <c r="CS37" s="56">
        <f t="shared" si="202"/>
        <v>0</v>
      </c>
      <c r="CT37" s="56">
        <f t="shared" si="202"/>
        <v>0</v>
      </c>
      <c r="CU37" s="56">
        <f t="shared" si="202"/>
        <v>1</v>
      </c>
      <c r="CV37" s="56">
        <f t="shared" ref="CV37:EM39" si="223">IF(CV25="Not Received",CU37,CV25)</f>
        <v>1</v>
      </c>
      <c r="CW37" s="56">
        <f t="shared" si="223"/>
        <v>1</v>
      </c>
      <c r="CX37" s="56">
        <f t="shared" si="223"/>
        <v>1</v>
      </c>
      <c r="CY37" s="56">
        <f t="shared" si="223"/>
        <v>0</v>
      </c>
      <c r="CZ37" s="56">
        <f t="shared" si="223"/>
        <v>0</v>
      </c>
      <c r="DA37" s="56">
        <f t="shared" si="223"/>
        <v>0</v>
      </c>
      <c r="DB37" s="56">
        <f t="shared" si="223"/>
        <v>0</v>
      </c>
      <c r="DC37" s="56">
        <f t="shared" si="223"/>
        <v>1</v>
      </c>
      <c r="DD37" s="56">
        <f t="shared" si="223"/>
        <v>1</v>
      </c>
      <c r="DE37" s="56">
        <f t="shared" si="223"/>
        <v>1</v>
      </c>
      <c r="DF37" s="56">
        <f t="shared" si="223"/>
        <v>1</v>
      </c>
      <c r="DG37" s="56">
        <f t="shared" si="223"/>
        <v>0</v>
      </c>
      <c r="DH37" s="56">
        <f t="shared" si="223"/>
        <v>0</v>
      </c>
      <c r="DI37" s="56">
        <f t="shared" si="223"/>
        <v>0</v>
      </c>
      <c r="DJ37" s="56">
        <f t="shared" si="223"/>
        <v>0</v>
      </c>
      <c r="DK37" s="56">
        <f t="shared" si="223"/>
        <v>1</v>
      </c>
      <c r="DL37" s="56">
        <f t="shared" si="223"/>
        <v>1</v>
      </c>
      <c r="DM37" s="56">
        <f t="shared" si="223"/>
        <v>1</v>
      </c>
      <c r="DN37" s="56">
        <f t="shared" si="223"/>
        <v>1</v>
      </c>
      <c r="DO37" s="56">
        <f t="shared" si="223"/>
        <v>0</v>
      </c>
      <c r="DP37" s="56">
        <f t="shared" si="223"/>
        <v>0</v>
      </c>
      <c r="DQ37" s="56">
        <f t="shared" si="223"/>
        <v>0</v>
      </c>
      <c r="DR37" s="56">
        <f t="shared" si="223"/>
        <v>0</v>
      </c>
      <c r="DS37" s="56">
        <f t="shared" si="223"/>
        <v>1</v>
      </c>
      <c r="DT37" s="56">
        <f t="shared" si="223"/>
        <v>1</v>
      </c>
      <c r="DU37" s="56">
        <f t="shared" si="223"/>
        <v>1</v>
      </c>
      <c r="DV37" s="56">
        <f t="shared" si="223"/>
        <v>1</v>
      </c>
      <c r="DW37" s="56">
        <f t="shared" si="223"/>
        <v>0</v>
      </c>
      <c r="DX37" s="56">
        <f t="shared" si="223"/>
        <v>0</v>
      </c>
      <c r="DY37" s="56">
        <f t="shared" si="223"/>
        <v>0</v>
      </c>
      <c r="DZ37" s="56">
        <f t="shared" si="223"/>
        <v>0</v>
      </c>
      <c r="EA37" s="56">
        <f t="shared" si="223"/>
        <v>1</v>
      </c>
      <c r="EB37" s="56">
        <f t="shared" si="223"/>
        <v>1</v>
      </c>
      <c r="EC37" s="56">
        <f t="shared" si="223"/>
        <v>1</v>
      </c>
      <c r="ED37" s="56">
        <f t="shared" si="223"/>
        <v>1</v>
      </c>
      <c r="EE37" s="56">
        <f t="shared" si="223"/>
        <v>0</v>
      </c>
      <c r="EF37" s="56">
        <f t="shared" si="223"/>
        <v>0</v>
      </c>
      <c r="EG37" s="56">
        <f t="shared" si="223"/>
        <v>0</v>
      </c>
      <c r="EH37" s="56">
        <f t="shared" si="223"/>
        <v>0</v>
      </c>
      <c r="EI37" s="56">
        <f t="shared" si="223"/>
        <v>1</v>
      </c>
      <c r="EJ37" s="56">
        <f t="shared" si="223"/>
        <v>1</v>
      </c>
      <c r="EK37" s="56">
        <f t="shared" si="223"/>
        <v>1</v>
      </c>
      <c r="EL37" s="56">
        <f t="shared" si="223"/>
        <v>1</v>
      </c>
      <c r="EM37" s="56">
        <f t="shared" si="223"/>
        <v>0</v>
      </c>
      <c r="EN37" s="56">
        <f t="shared" si="220"/>
        <v>0</v>
      </c>
      <c r="EO37" s="56">
        <f t="shared" si="220"/>
        <v>0</v>
      </c>
      <c r="EP37" s="56">
        <f t="shared" si="220"/>
        <v>0</v>
      </c>
      <c r="EQ37" s="56">
        <f t="shared" si="220"/>
        <v>1</v>
      </c>
      <c r="ER37" s="56">
        <f t="shared" si="220"/>
        <v>1</v>
      </c>
      <c r="ES37" s="56">
        <f t="shared" si="220"/>
        <v>1</v>
      </c>
      <c r="ET37" s="56">
        <f t="shared" si="220"/>
        <v>1</v>
      </c>
      <c r="EU37" s="56">
        <f t="shared" si="220"/>
        <v>0</v>
      </c>
      <c r="EV37" s="56">
        <f t="shared" si="220"/>
        <v>0</v>
      </c>
      <c r="EW37" s="56">
        <f t="shared" si="220"/>
        <v>0</v>
      </c>
      <c r="EX37" s="56">
        <f t="shared" si="220"/>
        <v>0</v>
      </c>
      <c r="EY37" s="56">
        <f t="shared" si="220"/>
        <v>1</v>
      </c>
      <c r="EZ37" s="56">
        <f t="shared" si="220"/>
        <v>1</v>
      </c>
      <c r="FA37" s="56">
        <f t="shared" si="204"/>
        <v>1</v>
      </c>
      <c r="FB37" s="56">
        <f t="shared" si="204"/>
        <v>1</v>
      </c>
      <c r="FC37" s="56">
        <f t="shared" si="204"/>
        <v>0</v>
      </c>
      <c r="FD37" s="56">
        <f t="shared" si="204"/>
        <v>0</v>
      </c>
      <c r="FE37" s="56">
        <f t="shared" si="204"/>
        <v>0</v>
      </c>
      <c r="FF37" s="56">
        <f t="shared" si="204"/>
        <v>0</v>
      </c>
      <c r="FG37" s="56">
        <f t="shared" si="204"/>
        <v>1</v>
      </c>
      <c r="FH37" s="56">
        <f t="shared" si="204"/>
        <v>1</v>
      </c>
      <c r="FI37" s="56">
        <f t="shared" si="204"/>
        <v>1</v>
      </c>
      <c r="FJ37" s="56">
        <f t="shared" si="204"/>
        <v>1</v>
      </c>
      <c r="FK37" s="56">
        <f t="shared" si="204"/>
        <v>0</v>
      </c>
      <c r="FL37" s="56">
        <f t="shared" si="204"/>
        <v>0</v>
      </c>
      <c r="FM37" s="56">
        <f t="shared" si="204"/>
        <v>0</v>
      </c>
      <c r="FN37" s="56">
        <f t="shared" si="204"/>
        <v>0</v>
      </c>
      <c r="FO37" s="56">
        <f t="shared" si="204"/>
        <v>1</v>
      </c>
      <c r="FP37" s="10"/>
      <c r="FQ37" s="10">
        <f t="shared" si="205"/>
        <v>0</v>
      </c>
      <c r="FR37" s="10">
        <f t="shared" si="205"/>
        <v>0</v>
      </c>
      <c r="FS37" s="10">
        <f t="shared" si="205"/>
        <v>0</v>
      </c>
      <c r="FT37" s="10">
        <f t="shared" si="205"/>
        <v>0</v>
      </c>
      <c r="FU37" s="10">
        <f t="shared" si="205"/>
        <v>0</v>
      </c>
      <c r="FV37" s="10">
        <f t="shared" si="205"/>
        <v>0</v>
      </c>
      <c r="FW37" s="10">
        <f t="shared" si="205"/>
        <v>0</v>
      </c>
      <c r="FX37" s="10">
        <f t="shared" si="205"/>
        <v>0</v>
      </c>
      <c r="FY37" s="10">
        <f t="shared" si="205"/>
        <v>0</v>
      </c>
      <c r="FZ37" s="10">
        <f t="shared" si="205"/>
        <v>0</v>
      </c>
      <c r="GA37" s="10">
        <f t="shared" ref="GA37:HM39" si="224">IF(GA25="Not Received",FZ37,GA25)</f>
        <v>0</v>
      </c>
      <c r="GB37" s="10">
        <f t="shared" si="224"/>
        <v>0</v>
      </c>
      <c r="GC37" s="10">
        <f t="shared" si="224"/>
        <v>0</v>
      </c>
      <c r="GD37" s="10">
        <f t="shared" si="224"/>
        <v>0</v>
      </c>
      <c r="GE37" s="10">
        <f t="shared" si="224"/>
        <v>0</v>
      </c>
      <c r="GF37" s="10">
        <f t="shared" si="224"/>
        <v>0</v>
      </c>
      <c r="GG37" s="10">
        <f t="shared" si="224"/>
        <v>0</v>
      </c>
      <c r="GH37" s="10">
        <f t="shared" si="224"/>
        <v>0</v>
      </c>
      <c r="GI37" s="10">
        <f t="shared" si="224"/>
        <v>0</v>
      </c>
      <c r="GJ37" s="10">
        <f t="shared" si="224"/>
        <v>0</v>
      </c>
      <c r="GK37" s="10">
        <f t="shared" si="224"/>
        <v>0</v>
      </c>
      <c r="GL37" s="10">
        <f t="shared" si="224"/>
        <v>0</v>
      </c>
      <c r="GM37" s="10">
        <f t="shared" si="224"/>
        <v>0</v>
      </c>
      <c r="GN37" s="10">
        <f t="shared" si="224"/>
        <v>0</v>
      </c>
      <c r="GO37" s="10">
        <f t="shared" si="224"/>
        <v>0</v>
      </c>
      <c r="GP37" s="10">
        <f t="shared" si="224"/>
        <v>0</v>
      </c>
      <c r="GQ37" s="10">
        <f t="shared" si="224"/>
        <v>0</v>
      </c>
      <c r="GR37" s="10">
        <f t="shared" si="224"/>
        <v>0</v>
      </c>
      <c r="GS37" s="10">
        <f t="shared" si="224"/>
        <v>0</v>
      </c>
      <c r="GT37" s="10">
        <f t="shared" si="224"/>
        <v>0</v>
      </c>
      <c r="GU37" s="10">
        <f t="shared" si="224"/>
        <v>0</v>
      </c>
      <c r="GV37" s="10">
        <f t="shared" si="224"/>
        <v>0</v>
      </c>
      <c r="GW37" s="10">
        <f t="shared" si="224"/>
        <v>0</v>
      </c>
      <c r="GX37" s="10">
        <f t="shared" si="224"/>
        <v>0</v>
      </c>
      <c r="GY37" s="10">
        <f t="shared" si="224"/>
        <v>0</v>
      </c>
      <c r="GZ37" s="10">
        <f t="shared" si="224"/>
        <v>0</v>
      </c>
      <c r="HA37" s="10">
        <f t="shared" si="224"/>
        <v>0</v>
      </c>
      <c r="HB37" s="10">
        <f t="shared" si="224"/>
        <v>0</v>
      </c>
      <c r="HC37" s="10">
        <f t="shared" si="224"/>
        <v>0</v>
      </c>
      <c r="HD37" s="10">
        <f t="shared" si="224"/>
        <v>0</v>
      </c>
      <c r="HE37" s="10">
        <f t="shared" si="224"/>
        <v>0</v>
      </c>
      <c r="HF37" s="10">
        <f t="shared" si="224"/>
        <v>0</v>
      </c>
      <c r="HG37" s="10">
        <f t="shared" si="224"/>
        <v>0</v>
      </c>
      <c r="HH37" s="10">
        <f t="shared" si="224"/>
        <v>0</v>
      </c>
      <c r="HI37" s="10">
        <f t="shared" si="224"/>
        <v>0</v>
      </c>
      <c r="HJ37" s="10">
        <f t="shared" si="224"/>
        <v>0</v>
      </c>
      <c r="HK37" s="10">
        <f t="shared" si="224"/>
        <v>0</v>
      </c>
      <c r="HL37" s="10">
        <f t="shared" si="224"/>
        <v>0</v>
      </c>
      <c r="HM37" s="10">
        <f t="shared" si="224"/>
        <v>0</v>
      </c>
      <c r="HN37" s="10">
        <f t="shared" si="206"/>
        <v>0</v>
      </c>
      <c r="HO37" s="10">
        <f t="shared" si="206"/>
        <v>0</v>
      </c>
      <c r="HP37" s="10">
        <f t="shared" si="206"/>
        <v>0</v>
      </c>
      <c r="HQ37" s="10">
        <f t="shared" si="206"/>
        <v>0</v>
      </c>
      <c r="HR37" s="10">
        <f t="shared" si="206"/>
        <v>0</v>
      </c>
      <c r="HS37" s="10">
        <f t="shared" si="206"/>
        <v>0</v>
      </c>
      <c r="HT37" s="10">
        <f t="shared" si="206"/>
        <v>0</v>
      </c>
      <c r="HU37" s="10">
        <f t="shared" si="206"/>
        <v>0</v>
      </c>
      <c r="HV37" s="10">
        <f t="shared" si="206"/>
        <v>0</v>
      </c>
      <c r="HW37" s="10">
        <f t="shared" si="206"/>
        <v>0</v>
      </c>
      <c r="HX37" s="10">
        <f t="shared" si="206"/>
        <v>0</v>
      </c>
      <c r="HY37" s="10">
        <f t="shared" si="206"/>
        <v>0</v>
      </c>
      <c r="HZ37" s="10">
        <f t="shared" si="206"/>
        <v>0</v>
      </c>
      <c r="IA37" s="10">
        <f t="shared" si="206"/>
        <v>0</v>
      </c>
      <c r="IB37" s="10">
        <f t="shared" si="206"/>
        <v>0</v>
      </c>
      <c r="IC37" s="10">
        <f t="shared" si="206"/>
        <v>0</v>
      </c>
      <c r="ID37" s="10">
        <f t="shared" si="206"/>
        <v>0</v>
      </c>
      <c r="IE37" s="10">
        <f t="shared" si="206"/>
        <v>0</v>
      </c>
      <c r="IF37" s="10">
        <f t="shared" si="206"/>
        <v>0</v>
      </c>
      <c r="IG37" s="10">
        <f t="shared" si="206"/>
        <v>0</v>
      </c>
      <c r="IH37" s="10">
        <f t="shared" si="206"/>
        <v>0</v>
      </c>
      <c r="II37" s="10"/>
      <c r="IJ37" s="10">
        <f t="shared" ref="IJ37:JZ39" si="225">IF(IJ25="Not Received",II37,IJ25)</f>
        <v>0</v>
      </c>
      <c r="IK37" s="10">
        <f t="shared" si="225"/>
        <v>0</v>
      </c>
      <c r="IL37" s="10">
        <f t="shared" si="225"/>
        <v>0</v>
      </c>
      <c r="IM37" s="35">
        <f t="shared" si="225"/>
        <v>0</v>
      </c>
      <c r="IN37" s="35">
        <f t="shared" si="225"/>
        <v>0</v>
      </c>
      <c r="IO37" s="35">
        <f t="shared" si="225"/>
        <v>0</v>
      </c>
      <c r="IP37" s="10">
        <f t="shared" si="225"/>
        <v>0</v>
      </c>
      <c r="IQ37" s="30">
        <f t="shared" si="215"/>
        <v>0</v>
      </c>
      <c r="IR37" s="30">
        <f t="shared" si="216"/>
        <v>0</v>
      </c>
      <c r="IS37" s="30">
        <f t="shared" si="217"/>
        <v>0</v>
      </c>
      <c r="IT37" s="30">
        <f t="shared" si="218"/>
        <v>0</v>
      </c>
      <c r="IU37" s="30">
        <f t="shared" si="225"/>
        <v>0</v>
      </c>
      <c r="IV37" s="30">
        <f t="shared" si="225"/>
        <v>0</v>
      </c>
      <c r="IW37" s="30">
        <f t="shared" si="225"/>
        <v>0</v>
      </c>
      <c r="IX37" s="30">
        <f t="shared" si="225"/>
        <v>0</v>
      </c>
      <c r="IY37" s="30">
        <f t="shared" si="225"/>
        <v>0</v>
      </c>
      <c r="IZ37" s="30">
        <f t="shared" si="225"/>
        <v>0</v>
      </c>
      <c r="JA37" s="30">
        <f t="shared" si="225"/>
        <v>0</v>
      </c>
      <c r="JB37" s="30">
        <f t="shared" si="225"/>
        <v>0</v>
      </c>
      <c r="JC37" s="30">
        <f t="shared" si="225"/>
        <v>0</v>
      </c>
      <c r="JD37" s="30">
        <f t="shared" si="225"/>
        <v>0</v>
      </c>
      <c r="JE37" s="30">
        <f t="shared" si="225"/>
        <v>0</v>
      </c>
      <c r="JF37" s="30">
        <f t="shared" si="225"/>
        <v>0</v>
      </c>
      <c r="JG37" s="30">
        <f t="shared" si="225"/>
        <v>0</v>
      </c>
      <c r="JH37" s="30">
        <f t="shared" si="225"/>
        <v>0</v>
      </c>
      <c r="JI37" s="30">
        <f t="shared" si="225"/>
        <v>0</v>
      </c>
      <c r="JJ37" s="30">
        <f t="shared" si="225"/>
        <v>0</v>
      </c>
      <c r="JK37" s="30">
        <f t="shared" si="225"/>
        <v>0</v>
      </c>
      <c r="JL37" s="30">
        <f t="shared" si="225"/>
        <v>0</v>
      </c>
      <c r="JM37" s="30">
        <f t="shared" si="225"/>
        <v>0</v>
      </c>
      <c r="JN37" s="30">
        <f t="shared" si="225"/>
        <v>0</v>
      </c>
      <c r="JO37" s="30">
        <f t="shared" si="225"/>
        <v>0</v>
      </c>
      <c r="JP37" s="30">
        <f t="shared" si="225"/>
        <v>0</v>
      </c>
      <c r="JQ37" s="30">
        <f t="shared" si="225"/>
        <v>0</v>
      </c>
      <c r="JR37" s="30">
        <f t="shared" si="225"/>
        <v>0</v>
      </c>
      <c r="JS37" s="30">
        <f t="shared" si="225"/>
        <v>0</v>
      </c>
      <c r="JT37" s="30">
        <f t="shared" si="225"/>
        <v>0</v>
      </c>
      <c r="JU37" s="30">
        <f t="shared" si="225"/>
        <v>0</v>
      </c>
      <c r="JV37" s="30">
        <f t="shared" si="225"/>
        <v>0</v>
      </c>
      <c r="JW37" s="30">
        <f t="shared" si="225"/>
        <v>0</v>
      </c>
      <c r="JX37" s="30">
        <f t="shared" si="225"/>
        <v>0</v>
      </c>
      <c r="JY37" s="30">
        <f t="shared" si="225"/>
        <v>0</v>
      </c>
      <c r="JZ37" s="30">
        <f t="shared" si="225"/>
        <v>0</v>
      </c>
      <c r="KA37" s="30">
        <f t="shared" si="221"/>
        <v>0</v>
      </c>
      <c r="KB37" s="30">
        <f t="shared" si="221"/>
        <v>0</v>
      </c>
      <c r="KC37" s="30">
        <f t="shared" si="221"/>
        <v>0</v>
      </c>
      <c r="KD37" s="30">
        <f t="shared" si="221"/>
        <v>0</v>
      </c>
      <c r="KE37" s="30">
        <f t="shared" si="221"/>
        <v>0</v>
      </c>
      <c r="KF37" s="30">
        <f t="shared" si="221"/>
        <v>0</v>
      </c>
      <c r="KG37" s="30">
        <f t="shared" si="221"/>
        <v>0</v>
      </c>
      <c r="KH37" s="30">
        <f t="shared" si="221"/>
        <v>0</v>
      </c>
      <c r="KI37" s="30">
        <f t="shared" si="221"/>
        <v>0</v>
      </c>
      <c r="KJ37" s="30">
        <f t="shared" si="221"/>
        <v>0</v>
      </c>
      <c r="KK37" s="30">
        <f t="shared" si="221"/>
        <v>0</v>
      </c>
      <c r="KL37" s="30">
        <f t="shared" si="221"/>
        <v>0</v>
      </c>
      <c r="KM37" s="30">
        <f t="shared" si="221"/>
        <v>0</v>
      </c>
      <c r="KN37" s="30">
        <f t="shared" si="221"/>
        <v>0</v>
      </c>
      <c r="KO37" s="30">
        <f t="shared" si="221"/>
        <v>0</v>
      </c>
      <c r="KP37" s="30">
        <f t="shared" si="221"/>
        <v>0</v>
      </c>
      <c r="KQ37" s="30">
        <f t="shared" si="221"/>
        <v>0</v>
      </c>
      <c r="KR37" s="30">
        <f t="shared" si="221"/>
        <v>0</v>
      </c>
      <c r="KS37" s="30">
        <f t="shared" si="221"/>
        <v>0</v>
      </c>
      <c r="KT37" s="30">
        <f t="shared" si="221"/>
        <v>0</v>
      </c>
      <c r="KU37" s="30">
        <f t="shared" si="221"/>
        <v>0</v>
      </c>
      <c r="KV37" s="30">
        <f t="shared" si="221"/>
        <v>0</v>
      </c>
      <c r="KW37" s="30">
        <f t="shared" si="221"/>
        <v>0</v>
      </c>
      <c r="KX37" s="30">
        <f t="shared" si="221"/>
        <v>0</v>
      </c>
      <c r="KY37" s="30">
        <f t="shared" si="221"/>
        <v>0</v>
      </c>
      <c r="KZ37" s="30">
        <f t="shared" si="221"/>
        <v>0</v>
      </c>
      <c r="LA37" s="30">
        <f t="shared" si="221"/>
        <v>0</v>
      </c>
      <c r="LB37" s="30">
        <f t="shared" si="221"/>
        <v>0</v>
      </c>
      <c r="LC37" s="30">
        <f t="shared" si="221"/>
        <v>0</v>
      </c>
      <c r="LD37" s="30">
        <f t="shared" si="221"/>
        <v>0</v>
      </c>
      <c r="LE37" s="30">
        <f t="shared" si="221"/>
        <v>0</v>
      </c>
      <c r="LF37" s="30">
        <f t="shared" si="221"/>
        <v>0</v>
      </c>
      <c r="LG37" s="30">
        <f t="shared" si="221"/>
        <v>0</v>
      </c>
      <c r="LH37" s="30">
        <f t="shared" si="221"/>
        <v>0</v>
      </c>
      <c r="LI37" s="30">
        <f t="shared" si="221"/>
        <v>0</v>
      </c>
      <c r="LJ37" s="30">
        <f t="shared" si="221"/>
        <v>0</v>
      </c>
      <c r="LK37" s="30">
        <f t="shared" si="221"/>
        <v>0</v>
      </c>
      <c r="LL37" s="30">
        <f t="shared" si="221"/>
        <v>0</v>
      </c>
      <c r="LM37" s="30">
        <f t="shared" si="221"/>
        <v>0</v>
      </c>
      <c r="LN37" s="30">
        <f t="shared" si="221"/>
        <v>0</v>
      </c>
      <c r="LO37" s="30">
        <f t="shared" si="221"/>
        <v>0</v>
      </c>
      <c r="LP37" s="30">
        <f t="shared" si="221"/>
        <v>0</v>
      </c>
      <c r="LQ37" s="30">
        <f t="shared" si="221"/>
        <v>0</v>
      </c>
      <c r="LR37" s="30">
        <f t="shared" si="221"/>
        <v>0</v>
      </c>
      <c r="LS37" s="30">
        <f t="shared" si="221"/>
        <v>0</v>
      </c>
      <c r="LT37" s="30">
        <f t="shared" si="221"/>
        <v>0</v>
      </c>
      <c r="LU37" s="30">
        <f t="shared" si="221"/>
        <v>0</v>
      </c>
      <c r="LV37" s="30">
        <f t="shared" si="221"/>
        <v>0</v>
      </c>
      <c r="LW37" s="30">
        <f t="shared" si="221"/>
        <v>0</v>
      </c>
      <c r="LX37" s="30">
        <f t="shared" si="221"/>
        <v>0</v>
      </c>
      <c r="LY37" s="30">
        <f t="shared" si="221"/>
        <v>0</v>
      </c>
      <c r="LZ37" s="30">
        <f t="shared" si="221"/>
        <v>0</v>
      </c>
      <c r="MA37" s="30">
        <f t="shared" si="221"/>
        <v>0</v>
      </c>
      <c r="MB37" s="30">
        <f t="shared" si="221"/>
        <v>0</v>
      </c>
      <c r="MC37" s="12">
        <f t="shared" si="222"/>
        <v>0</v>
      </c>
      <c r="MD37" s="12">
        <f t="shared" si="222"/>
        <v>0</v>
      </c>
      <c r="ME37" s="12">
        <f t="shared" si="222"/>
        <v>0</v>
      </c>
      <c r="MF37" s="12">
        <f t="shared" si="222"/>
        <v>0</v>
      </c>
      <c r="MG37" s="12">
        <f t="shared" si="222"/>
        <v>0</v>
      </c>
      <c r="MH37" s="12">
        <f t="shared" si="222"/>
        <v>0</v>
      </c>
      <c r="MI37" s="12">
        <f t="shared" si="222"/>
        <v>0</v>
      </c>
      <c r="MJ37" s="12">
        <f t="shared" si="222"/>
        <v>0</v>
      </c>
      <c r="MK37" s="12">
        <f t="shared" si="222"/>
        <v>0</v>
      </c>
      <c r="ML37" s="12">
        <f t="shared" si="222"/>
        <v>0</v>
      </c>
      <c r="MM37" s="12"/>
      <c r="MN37" s="12"/>
    </row>
    <row r="38" spans="1:352" ht="23.25" customHeight="1" x14ac:dyDescent="0.25">
      <c r="A38" s="3" t="s">
        <v>3</v>
      </c>
      <c r="B38" s="3" t="s">
        <v>46</v>
      </c>
      <c r="C38" s="34"/>
      <c r="D38" s="34">
        <f t="shared" si="135"/>
        <v>0</v>
      </c>
      <c r="E38" s="34">
        <f t="shared" si="136"/>
        <v>0</v>
      </c>
      <c r="F38" s="34">
        <f t="shared" si="137"/>
        <v>0</v>
      </c>
      <c r="G38" s="34">
        <f t="shared" si="138"/>
        <v>0</v>
      </c>
      <c r="H38" s="34">
        <f t="shared" si="139"/>
        <v>0</v>
      </c>
      <c r="I38" s="34">
        <f t="shared" si="140"/>
        <v>0</v>
      </c>
      <c r="J38" s="34">
        <f t="shared" si="141"/>
        <v>0</v>
      </c>
      <c r="K38" s="34">
        <f t="shared" si="142"/>
        <v>0</v>
      </c>
      <c r="L38" s="34">
        <f t="shared" si="143"/>
        <v>0</v>
      </c>
      <c r="M38" s="34">
        <f t="shared" si="144"/>
        <v>0</v>
      </c>
      <c r="N38" s="34">
        <f t="shared" si="145"/>
        <v>0</v>
      </c>
      <c r="O38" s="34">
        <f t="shared" si="146"/>
        <v>0</v>
      </c>
      <c r="P38" s="34">
        <f t="shared" si="147"/>
        <v>0</v>
      </c>
      <c r="Q38" s="34">
        <f t="shared" si="148"/>
        <v>0</v>
      </c>
      <c r="R38" s="34">
        <f t="shared" si="149"/>
        <v>0</v>
      </c>
      <c r="S38" s="34">
        <f t="shared" si="150"/>
        <v>0</v>
      </c>
      <c r="T38" s="34">
        <f t="shared" si="151"/>
        <v>0</v>
      </c>
      <c r="U38" s="34">
        <f t="shared" si="152"/>
        <v>0</v>
      </c>
      <c r="V38" s="34">
        <f t="shared" si="153"/>
        <v>0</v>
      </c>
      <c r="W38" s="34">
        <f t="shared" si="154"/>
        <v>0</v>
      </c>
      <c r="X38" s="34">
        <f t="shared" si="155"/>
        <v>0</v>
      </c>
      <c r="Y38" s="34">
        <f t="shared" si="156"/>
        <v>0</v>
      </c>
      <c r="Z38" s="34">
        <f t="shared" si="157"/>
        <v>0</v>
      </c>
      <c r="AA38" s="34">
        <f t="shared" si="158"/>
        <v>0</v>
      </c>
      <c r="AB38" s="34">
        <f t="shared" si="159"/>
        <v>0</v>
      </c>
      <c r="AC38" s="34">
        <f t="shared" si="160"/>
        <v>0</v>
      </c>
      <c r="AD38" s="34">
        <f t="shared" si="161"/>
        <v>0</v>
      </c>
      <c r="AE38" s="34">
        <f t="shared" si="162"/>
        <v>0</v>
      </c>
      <c r="AF38" s="34">
        <f t="shared" si="163"/>
        <v>0</v>
      </c>
      <c r="AG38" s="34">
        <f t="shared" si="164"/>
        <v>0</v>
      </c>
      <c r="AH38" s="34">
        <f t="shared" si="165"/>
        <v>0</v>
      </c>
      <c r="AI38" s="34">
        <f t="shared" si="166"/>
        <v>0</v>
      </c>
      <c r="AJ38" s="34">
        <f t="shared" si="167"/>
        <v>0</v>
      </c>
      <c r="AK38" s="34">
        <f t="shared" si="168"/>
        <v>0</v>
      </c>
      <c r="AL38" s="34">
        <f t="shared" si="169"/>
        <v>0</v>
      </c>
      <c r="AM38" s="34">
        <f t="shared" si="170"/>
        <v>0</v>
      </c>
      <c r="AN38" s="34">
        <f t="shared" si="171"/>
        <v>0</v>
      </c>
      <c r="AO38" s="34">
        <f t="shared" si="172"/>
        <v>0</v>
      </c>
      <c r="AP38" s="34">
        <f t="shared" si="173"/>
        <v>0</v>
      </c>
      <c r="AQ38" s="34">
        <f t="shared" si="174"/>
        <v>0</v>
      </c>
      <c r="AR38" s="34">
        <f t="shared" si="175"/>
        <v>0</v>
      </c>
      <c r="AS38" s="34">
        <f t="shared" si="176"/>
        <v>0</v>
      </c>
      <c r="AT38" s="34">
        <f t="shared" si="177"/>
        <v>0</v>
      </c>
      <c r="AU38" s="34">
        <f t="shared" si="178"/>
        <v>0</v>
      </c>
      <c r="AV38" s="34">
        <f t="shared" si="179"/>
        <v>0</v>
      </c>
      <c r="AW38" s="34">
        <f t="shared" si="180"/>
        <v>0</v>
      </c>
      <c r="AX38" s="34">
        <f t="shared" si="181"/>
        <v>0</v>
      </c>
      <c r="AY38" s="34">
        <f t="shared" si="182"/>
        <v>0</v>
      </c>
      <c r="AZ38" s="34">
        <f t="shared" si="183"/>
        <v>0</v>
      </c>
      <c r="BA38" s="34">
        <f t="shared" si="184"/>
        <v>0</v>
      </c>
      <c r="BB38" s="34">
        <f t="shared" si="185"/>
        <v>0</v>
      </c>
      <c r="BC38" s="34">
        <f t="shared" si="186"/>
        <v>0</v>
      </c>
      <c r="BD38" s="34">
        <f t="shared" si="187"/>
        <v>0</v>
      </c>
      <c r="BE38" s="34">
        <f t="shared" si="188"/>
        <v>0</v>
      </c>
      <c r="BF38" s="34">
        <f t="shared" si="189"/>
        <v>0</v>
      </c>
      <c r="BG38" s="34">
        <f t="shared" si="190"/>
        <v>0</v>
      </c>
      <c r="BH38" s="34">
        <f t="shared" si="191"/>
        <v>1</v>
      </c>
      <c r="BI38" s="34">
        <f t="shared" si="192"/>
        <v>1</v>
      </c>
      <c r="BJ38" s="34">
        <f t="shared" si="193"/>
        <v>1</v>
      </c>
      <c r="BK38" s="34">
        <f t="shared" si="194"/>
        <v>0</v>
      </c>
      <c r="BL38" s="34">
        <f t="shared" si="195"/>
        <v>0</v>
      </c>
      <c r="BM38" s="34">
        <f t="shared" si="196"/>
        <v>0</v>
      </c>
      <c r="BN38" s="34">
        <f t="shared" si="197"/>
        <v>0</v>
      </c>
      <c r="BO38" s="34">
        <f t="shared" si="198"/>
        <v>0</v>
      </c>
      <c r="BP38" s="34">
        <f t="shared" si="199"/>
        <v>0</v>
      </c>
      <c r="BQ38" s="42">
        <f t="shared" si="199"/>
        <v>0</v>
      </c>
      <c r="BR38" s="42">
        <f t="shared" si="200"/>
        <v>0</v>
      </c>
      <c r="BS38" s="42">
        <f t="shared" si="201"/>
        <v>0</v>
      </c>
      <c r="BT38" s="10">
        <f t="shared" si="202"/>
        <v>0</v>
      </c>
      <c r="BU38" s="10">
        <f t="shared" si="202"/>
        <v>0</v>
      </c>
      <c r="BV38" s="10">
        <f t="shared" si="202"/>
        <v>0</v>
      </c>
      <c r="BW38" s="35">
        <f t="shared" si="202"/>
        <v>0</v>
      </c>
      <c r="BX38" s="10">
        <f t="shared" si="202"/>
        <v>0</v>
      </c>
      <c r="BY38" s="10">
        <f t="shared" si="202"/>
        <v>0</v>
      </c>
      <c r="BZ38" s="10">
        <f t="shared" si="202"/>
        <v>0</v>
      </c>
      <c r="CA38" s="10">
        <f t="shared" si="202"/>
        <v>0</v>
      </c>
      <c r="CB38" s="10">
        <f t="shared" si="202"/>
        <v>0</v>
      </c>
      <c r="CC38" s="10">
        <f t="shared" si="202"/>
        <v>0</v>
      </c>
      <c r="CD38" s="10">
        <f t="shared" si="202"/>
        <v>0</v>
      </c>
      <c r="CE38" s="10">
        <f t="shared" si="202"/>
        <v>0</v>
      </c>
      <c r="CF38" s="56">
        <f t="shared" si="202"/>
        <v>0</v>
      </c>
      <c r="CG38" s="56">
        <f t="shared" si="202"/>
        <v>0</v>
      </c>
      <c r="CH38" s="56">
        <f t="shared" si="202"/>
        <v>0</v>
      </c>
      <c r="CI38" s="56">
        <f t="shared" si="202"/>
        <v>1</v>
      </c>
      <c r="CJ38" s="56">
        <f t="shared" si="202"/>
        <v>0</v>
      </c>
      <c r="CK38" s="56">
        <f t="shared" si="202"/>
        <v>1</v>
      </c>
      <c r="CL38" s="56">
        <f t="shared" si="202"/>
        <v>0</v>
      </c>
      <c r="CM38" s="56">
        <f>IF(CM26="Not Received",CL38,CM26)</f>
        <v>0</v>
      </c>
      <c r="CN38" s="56">
        <f t="shared" si="202"/>
        <v>0</v>
      </c>
      <c r="CO38" s="56">
        <f t="shared" si="202"/>
        <v>0</v>
      </c>
      <c r="CP38" s="56">
        <f t="shared" si="202"/>
        <v>0</v>
      </c>
      <c r="CQ38" s="56">
        <f t="shared" si="202"/>
        <v>0</v>
      </c>
      <c r="CR38" s="56">
        <f t="shared" si="202"/>
        <v>0</v>
      </c>
      <c r="CS38" s="56">
        <f t="shared" si="202"/>
        <v>0</v>
      </c>
      <c r="CT38" s="56">
        <f t="shared" si="202"/>
        <v>1</v>
      </c>
      <c r="CU38" s="56">
        <f t="shared" si="202"/>
        <v>0</v>
      </c>
      <c r="CV38" s="56">
        <f t="shared" si="223"/>
        <v>0</v>
      </c>
      <c r="CW38" s="56">
        <f t="shared" si="223"/>
        <v>0</v>
      </c>
      <c r="CX38" s="56">
        <f t="shared" si="223"/>
        <v>0</v>
      </c>
      <c r="CY38" s="56">
        <f t="shared" si="223"/>
        <v>0</v>
      </c>
      <c r="CZ38" s="56">
        <f t="shared" si="223"/>
        <v>0</v>
      </c>
      <c r="DA38" s="56">
        <f t="shared" si="223"/>
        <v>0</v>
      </c>
      <c r="DB38" s="56">
        <f t="shared" si="223"/>
        <v>1</v>
      </c>
      <c r="DC38" s="56">
        <f t="shared" si="223"/>
        <v>0</v>
      </c>
      <c r="DD38" s="56">
        <f t="shared" si="223"/>
        <v>0</v>
      </c>
      <c r="DE38" s="56">
        <f t="shared" si="223"/>
        <v>0</v>
      </c>
      <c r="DF38" s="56">
        <f t="shared" si="223"/>
        <v>0</v>
      </c>
      <c r="DG38" s="56">
        <f t="shared" si="223"/>
        <v>0</v>
      </c>
      <c r="DH38" s="56">
        <f t="shared" si="223"/>
        <v>0</v>
      </c>
      <c r="DI38" s="56">
        <f t="shared" si="223"/>
        <v>0</v>
      </c>
      <c r="DJ38" s="56">
        <f t="shared" si="223"/>
        <v>1</v>
      </c>
      <c r="DK38" s="56">
        <f t="shared" si="223"/>
        <v>0</v>
      </c>
      <c r="DL38" s="56">
        <f t="shared" si="223"/>
        <v>0</v>
      </c>
      <c r="DM38" s="56">
        <f t="shared" si="223"/>
        <v>0</v>
      </c>
      <c r="DN38" s="56">
        <f t="shared" si="223"/>
        <v>0</v>
      </c>
      <c r="DO38" s="56">
        <f t="shared" si="223"/>
        <v>0</v>
      </c>
      <c r="DP38" s="56">
        <f t="shared" si="223"/>
        <v>0</v>
      </c>
      <c r="DQ38" s="56">
        <f t="shared" si="223"/>
        <v>0</v>
      </c>
      <c r="DR38" s="56">
        <f t="shared" si="223"/>
        <v>1</v>
      </c>
      <c r="DS38" s="56">
        <f t="shared" si="223"/>
        <v>0</v>
      </c>
      <c r="DT38" s="56">
        <f t="shared" si="223"/>
        <v>0</v>
      </c>
      <c r="DU38" s="56">
        <f t="shared" si="223"/>
        <v>0</v>
      </c>
      <c r="DV38" s="56">
        <f t="shared" si="223"/>
        <v>0</v>
      </c>
      <c r="DW38" s="56">
        <f t="shared" si="223"/>
        <v>0</v>
      </c>
      <c r="DX38" s="56">
        <f t="shared" si="223"/>
        <v>0</v>
      </c>
      <c r="DY38" s="56">
        <f t="shared" si="223"/>
        <v>0</v>
      </c>
      <c r="DZ38" s="56">
        <f t="shared" si="223"/>
        <v>1</v>
      </c>
      <c r="EA38" s="56">
        <f t="shared" si="223"/>
        <v>0</v>
      </c>
      <c r="EB38" s="56">
        <f t="shared" si="223"/>
        <v>0</v>
      </c>
      <c r="EC38" s="56">
        <f t="shared" si="223"/>
        <v>0</v>
      </c>
      <c r="ED38" s="56">
        <f t="shared" si="223"/>
        <v>0</v>
      </c>
      <c r="EE38" s="56">
        <f t="shared" si="223"/>
        <v>0</v>
      </c>
      <c r="EF38" s="56">
        <f t="shared" si="223"/>
        <v>0</v>
      </c>
      <c r="EG38" s="56">
        <f t="shared" si="223"/>
        <v>0</v>
      </c>
      <c r="EH38" s="56">
        <f t="shared" si="223"/>
        <v>1</v>
      </c>
      <c r="EI38" s="56">
        <f t="shared" si="223"/>
        <v>0</v>
      </c>
      <c r="EJ38" s="56">
        <f t="shared" si="223"/>
        <v>0</v>
      </c>
      <c r="EK38" s="56">
        <f t="shared" si="223"/>
        <v>0</v>
      </c>
      <c r="EL38" s="56">
        <f t="shared" si="223"/>
        <v>0</v>
      </c>
      <c r="EM38" s="56">
        <f t="shared" si="223"/>
        <v>0</v>
      </c>
      <c r="EN38" s="56">
        <f t="shared" si="220"/>
        <v>0</v>
      </c>
      <c r="EO38" s="56">
        <f t="shared" si="220"/>
        <v>0</v>
      </c>
      <c r="EP38" s="56">
        <f t="shared" si="220"/>
        <v>1</v>
      </c>
      <c r="EQ38" s="56">
        <f t="shared" si="220"/>
        <v>0</v>
      </c>
      <c r="ER38" s="56">
        <f t="shared" si="220"/>
        <v>0</v>
      </c>
      <c r="ES38" s="56">
        <f t="shared" si="220"/>
        <v>0</v>
      </c>
      <c r="ET38" s="56">
        <f t="shared" si="220"/>
        <v>0</v>
      </c>
      <c r="EU38" s="56">
        <f t="shared" si="220"/>
        <v>0</v>
      </c>
      <c r="EV38" s="56">
        <f t="shared" si="220"/>
        <v>0</v>
      </c>
      <c r="EW38" s="56">
        <f t="shared" si="220"/>
        <v>0</v>
      </c>
      <c r="EX38" s="56">
        <f t="shared" si="220"/>
        <v>1</v>
      </c>
      <c r="EY38" s="56">
        <f t="shared" si="220"/>
        <v>0</v>
      </c>
      <c r="EZ38" s="56">
        <f t="shared" si="220"/>
        <v>0</v>
      </c>
      <c r="FA38" s="56">
        <f t="shared" si="204"/>
        <v>0</v>
      </c>
      <c r="FB38" s="56">
        <f t="shared" si="204"/>
        <v>0</v>
      </c>
      <c r="FC38" s="56">
        <f t="shared" si="204"/>
        <v>0</v>
      </c>
      <c r="FD38" s="56">
        <f t="shared" si="204"/>
        <v>0</v>
      </c>
      <c r="FE38" s="56">
        <f t="shared" si="204"/>
        <v>0</v>
      </c>
      <c r="FF38" s="56">
        <f t="shared" si="204"/>
        <v>1</v>
      </c>
      <c r="FG38" s="56">
        <f t="shared" si="204"/>
        <v>0</v>
      </c>
      <c r="FH38" s="56">
        <f t="shared" si="204"/>
        <v>0</v>
      </c>
      <c r="FI38" s="56">
        <f t="shared" si="204"/>
        <v>0</v>
      </c>
      <c r="FJ38" s="56">
        <f t="shared" si="204"/>
        <v>0</v>
      </c>
      <c r="FK38" s="56">
        <f t="shared" si="204"/>
        <v>0</v>
      </c>
      <c r="FL38" s="56">
        <f t="shared" si="204"/>
        <v>0</v>
      </c>
      <c r="FM38" s="56">
        <f t="shared" si="204"/>
        <v>0</v>
      </c>
      <c r="FN38" s="56">
        <f t="shared" si="204"/>
        <v>1</v>
      </c>
      <c r="FO38" s="56">
        <f t="shared" si="204"/>
        <v>0</v>
      </c>
      <c r="FP38" s="10"/>
      <c r="FQ38" s="10">
        <f t="shared" ref="FQ38:GV39" si="226">IF(FQ26="Not Received",FP38,FQ26)</f>
        <v>0</v>
      </c>
      <c r="FR38" s="10">
        <f t="shared" si="226"/>
        <v>0</v>
      </c>
      <c r="FS38" s="10">
        <f t="shared" si="226"/>
        <v>0</v>
      </c>
      <c r="FT38" s="10">
        <f t="shared" si="226"/>
        <v>0</v>
      </c>
      <c r="FU38" s="10">
        <f t="shared" si="226"/>
        <v>0</v>
      </c>
      <c r="FV38" s="10">
        <f t="shared" si="226"/>
        <v>0</v>
      </c>
      <c r="FW38" s="10">
        <f t="shared" si="226"/>
        <v>0</v>
      </c>
      <c r="FX38" s="10">
        <f t="shared" si="226"/>
        <v>0</v>
      </c>
      <c r="FY38" s="10">
        <f t="shared" si="226"/>
        <v>0</v>
      </c>
      <c r="FZ38" s="10">
        <f t="shared" si="226"/>
        <v>0</v>
      </c>
      <c r="GA38" s="10">
        <f t="shared" si="226"/>
        <v>0</v>
      </c>
      <c r="GB38" s="10">
        <f t="shared" si="226"/>
        <v>0</v>
      </c>
      <c r="GC38" s="10">
        <f t="shared" si="226"/>
        <v>0</v>
      </c>
      <c r="GD38" s="10">
        <f t="shared" si="226"/>
        <v>0</v>
      </c>
      <c r="GE38" s="10">
        <f t="shared" si="226"/>
        <v>0</v>
      </c>
      <c r="GF38" s="10">
        <f t="shared" si="226"/>
        <v>0</v>
      </c>
      <c r="GG38" s="10">
        <f t="shared" si="226"/>
        <v>0</v>
      </c>
      <c r="GH38" s="10">
        <f t="shared" si="226"/>
        <v>0</v>
      </c>
      <c r="GI38" s="10">
        <f t="shared" si="226"/>
        <v>0</v>
      </c>
      <c r="GJ38" s="10">
        <f t="shared" si="226"/>
        <v>0</v>
      </c>
      <c r="GK38" s="10">
        <f t="shared" si="226"/>
        <v>0</v>
      </c>
      <c r="GL38" s="10">
        <f t="shared" si="226"/>
        <v>0</v>
      </c>
      <c r="GM38" s="10">
        <f t="shared" si="226"/>
        <v>0</v>
      </c>
      <c r="GN38" s="10">
        <f t="shared" si="226"/>
        <v>0</v>
      </c>
      <c r="GO38" s="10">
        <f t="shared" si="226"/>
        <v>0</v>
      </c>
      <c r="GP38" s="10">
        <f t="shared" si="226"/>
        <v>0</v>
      </c>
      <c r="GQ38" s="10">
        <f t="shared" si="226"/>
        <v>0</v>
      </c>
      <c r="GR38" s="10">
        <f t="shared" si="226"/>
        <v>0</v>
      </c>
      <c r="GS38" s="10">
        <f t="shared" si="226"/>
        <v>0</v>
      </c>
      <c r="GT38" s="10">
        <f t="shared" si="226"/>
        <v>0</v>
      </c>
      <c r="GU38" s="10">
        <f t="shared" si="226"/>
        <v>0</v>
      </c>
      <c r="GV38" s="10">
        <f t="shared" si="226"/>
        <v>0</v>
      </c>
      <c r="GW38" s="10">
        <f t="shared" si="224"/>
        <v>0</v>
      </c>
      <c r="GX38" s="10">
        <f t="shared" si="224"/>
        <v>0</v>
      </c>
      <c r="GY38" s="10">
        <f t="shared" si="224"/>
        <v>0</v>
      </c>
      <c r="GZ38" s="10">
        <f t="shared" si="224"/>
        <v>0</v>
      </c>
      <c r="HA38" s="10">
        <f t="shared" si="224"/>
        <v>0</v>
      </c>
      <c r="HB38" s="10">
        <f t="shared" si="224"/>
        <v>0</v>
      </c>
      <c r="HC38" s="10">
        <f t="shared" si="224"/>
        <v>0</v>
      </c>
      <c r="HD38" s="10">
        <f t="shared" si="224"/>
        <v>0</v>
      </c>
      <c r="HE38" s="10">
        <f t="shared" si="224"/>
        <v>0</v>
      </c>
      <c r="HF38" s="10">
        <f t="shared" si="224"/>
        <v>0</v>
      </c>
      <c r="HG38" s="10">
        <f t="shared" si="224"/>
        <v>0</v>
      </c>
      <c r="HH38" s="10">
        <f t="shared" si="224"/>
        <v>0</v>
      </c>
      <c r="HI38" s="10">
        <f t="shared" si="224"/>
        <v>0</v>
      </c>
      <c r="HJ38" s="10">
        <f t="shared" si="224"/>
        <v>0</v>
      </c>
      <c r="HK38" s="10">
        <f t="shared" si="224"/>
        <v>0</v>
      </c>
      <c r="HL38" s="10">
        <f t="shared" si="224"/>
        <v>0</v>
      </c>
      <c r="HM38" s="10">
        <f t="shared" si="224"/>
        <v>0</v>
      </c>
      <c r="HN38" s="10">
        <f t="shared" si="206"/>
        <v>0</v>
      </c>
      <c r="HO38" s="10">
        <f t="shared" si="206"/>
        <v>0</v>
      </c>
      <c r="HP38" s="10">
        <f t="shared" si="206"/>
        <v>0</v>
      </c>
      <c r="HQ38" s="10">
        <f t="shared" si="206"/>
        <v>0</v>
      </c>
      <c r="HR38" s="10">
        <f t="shared" si="206"/>
        <v>0</v>
      </c>
      <c r="HS38" s="10">
        <f t="shared" si="206"/>
        <v>0</v>
      </c>
      <c r="HT38" s="10">
        <f t="shared" si="206"/>
        <v>0</v>
      </c>
      <c r="HU38" s="10">
        <f t="shared" si="206"/>
        <v>0</v>
      </c>
      <c r="HV38" s="10">
        <f t="shared" si="206"/>
        <v>0</v>
      </c>
      <c r="HW38" s="10">
        <f t="shared" si="206"/>
        <v>0</v>
      </c>
      <c r="HX38" s="10">
        <f t="shared" si="206"/>
        <v>0</v>
      </c>
      <c r="HY38" s="10">
        <f t="shared" si="206"/>
        <v>0</v>
      </c>
      <c r="HZ38" s="10">
        <f t="shared" si="206"/>
        <v>0</v>
      </c>
      <c r="IA38" s="10">
        <f t="shared" si="206"/>
        <v>0</v>
      </c>
      <c r="IB38" s="10">
        <f t="shared" si="206"/>
        <v>0</v>
      </c>
      <c r="IC38" s="10">
        <f t="shared" si="206"/>
        <v>0</v>
      </c>
      <c r="ID38" s="10">
        <f t="shared" si="206"/>
        <v>0</v>
      </c>
      <c r="IE38" s="10">
        <f t="shared" si="206"/>
        <v>0</v>
      </c>
      <c r="IF38" s="10">
        <f t="shared" si="206"/>
        <v>0</v>
      </c>
      <c r="IG38" s="10">
        <f t="shared" si="206"/>
        <v>0</v>
      </c>
      <c r="IH38" s="10">
        <f t="shared" si="206"/>
        <v>0</v>
      </c>
      <c r="II38" s="10"/>
      <c r="IJ38" s="10">
        <f t="shared" si="225"/>
        <v>0</v>
      </c>
      <c r="IK38" s="10">
        <f t="shared" si="225"/>
        <v>0</v>
      </c>
      <c r="IL38" s="10">
        <f t="shared" si="225"/>
        <v>0</v>
      </c>
      <c r="IM38" s="35">
        <f t="shared" si="225"/>
        <v>0</v>
      </c>
      <c r="IN38" s="35">
        <f t="shared" si="225"/>
        <v>0</v>
      </c>
      <c r="IO38" s="35">
        <f t="shared" si="225"/>
        <v>0</v>
      </c>
      <c r="IP38" s="10">
        <f t="shared" si="225"/>
        <v>0</v>
      </c>
      <c r="IQ38" s="30">
        <f t="shared" si="215"/>
        <v>0</v>
      </c>
      <c r="IR38" s="30">
        <f t="shared" si="216"/>
        <v>0</v>
      </c>
      <c r="IS38" s="30">
        <f t="shared" si="217"/>
        <v>0</v>
      </c>
      <c r="IT38" s="30">
        <f t="shared" si="218"/>
        <v>0</v>
      </c>
      <c r="IU38" s="30">
        <f t="shared" si="225"/>
        <v>0</v>
      </c>
      <c r="IV38" s="30">
        <f t="shared" si="225"/>
        <v>0</v>
      </c>
      <c r="IW38" s="30">
        <f t="shared" si="225"/>
        <v>0</v>
      </c>
      <c r="IX38" s="30">
        <f t="shared" si="225"/>
        <v>0</v>
      </c>
      <c r="IY38" s="30">
        <f t="shared" si="225"/>
        <v>0</v>
      </c>
      <c r="IZ38" s="30">
        <f t="shared" si="225"/>
        <v>0</v>
      </c>
      <c r="JA38" s="30">
        <f t="shared" si="225"/>
        <v>0</v>
      </c>
      <c r="JB38" s="30">
        <f t="shared" si="225"/>
        <v>0</v>
      </c>
      <c r="JC38" s="30">
        <f t="shared" si="225"/>
        <v>0</v>
      </c>
      <c r="JD38" s="30">
        <f t="shared" si="225"/>
        <v>0</v>
      </c>
      <c r="JE38" s="30">
        <f t="shared" si="225"/>
        <v>0</v>
      </c>
      <c r="JF38" s="30">
        <f t="shared" si="225"/>
        <v>0</v>
      </c>
      <c r="JG38" s="30">
        <f t="shared" si="225"/>
        <v>0</v>
      </c>
      <c r="JH38" s="30">
        <f t="shared" si="225"/>
        <v>0</v>
      </c>
      <c r="JI38" s="30">
        <f t="shared" si="225"/>
        <v>0</v>
      </c>
      <c r="JJ38" s="30">
        <f t="shared" si="225"/>
        <v>0</v>
      </c>
      <c r="JK38" s="30">
        <f t="shared" si="225"/>
        <v>0</v>
      </c>
      <c r="JL38" s="30">
        <f t="shared" si="225"/>
        <v>0</v>
      </c>
      <c r="JM38" s="30">
        <f t="shared" si="225"/>
        <v>0</v>
      </c>
      <c r="JN38" s="30">
        <f t="shared" si="225"/>
        <v>0</v>
      </c>
      <c r="JO38" s="30">
        <f t="shared" si="225"/>
        <v>0</v>
      </c>
      <c r="JP38" s="30">
        <f t="shared" si="225"/>
        <v>0</v>
      </c>
      <c r="JQ38" s="30">
        <f t="shared" si="225"/>
        <v>0</v>
      </c>
      <c r="JR38" s="30">
        <f t="shared" si="225"/>
        <v>0</v>
      </c>
      <c r="JS38" s="30">
        <f t="shared" si="225"/>
        <v>0</v>
      </c>
      <c r="JT38" s="30">
        <f t="shared" si="225"/>
        <v>0</v>
      </c>
      <c r="JU38" s="30">
        <f t="shared" si="225"/>
        <v>0</v>
      </c>
      <c r="JV38" s="30">
        <f t="shared" si="225"/>
        <v>0</v>
      </c>
      <c r="JW38" s="30">
        <f t="shared" si="225"/>
        <v>0</v>
      </c>
      <c r="JX38" s="30">
        <f t="shared" si="225"/>
        <v>0</v>
      </c>
      <c r="JY38" s="30">
        <f t="shared" si="225"/>
        <v>0</v>
      </c>
      <c r="JZ38" s="30">
        <f t="shared" si="225"/>
        <v>0</v>
      </c>
      <c r="KA38" s="30">
        <f t="shared" si="221"/>
        <v>0</v>
      </c>
      <c r="KB38" s="30">
        <f t="shared" si="221"/>
        <v>0</v>
      </c>
      <c r="KC38" s="30">
        <f t="shared" si="221"/>
        <v>0</v>
      </c>
      <c r="KD38" s="30">
        <f t="shared" si="221"/>
        <v>0</v>
      </c>
      <c r="KE38" s="30">
        <f t="shared" si="221"/>
        <v>0</v>
      </c>
      <c r="KF38" s="30">
        <f t="shared" si="221"/>
        <v>0</v>
      </c>
      <c r="KG38" s="30">
        <f t="shared" si="221"/>
        <v>0</v>
      </c>
      <c r="KH38" s="30">
        <f t="shared" si="221"/>
        <v>0</v>
      </c>
      <c r="KI38" s="30">
        <f t="shared" si="221"/>
        <v>0</v>
      </c>
      <c r="KJ38" s="30">
        <f t="shared" si="221"/>
        <v>0</v>
      </c>
      <c r="KK38" s="30">
        <f t="shared" si="221"/>
        <v>0</v>
      </c>
      <c r="KL38" s="30">
        <f t="shared" si="221"/>
        <v>0</v>
      </c>
      <c r="KM38" s="30">
        <f t="shared" si="221"/>
        <v>0</v>
      </c>
      <c r="KN38" s="30">
        <f t="shared" si="221"/>
        <v>0</v>
      </c>
      <c r="KO38" s="30">
        <f t="shared" si="221"/>
        <v>0</v>
      </c>
      <c r="KP38" s="30">
        <f t="shared" si="221"/>
        <v>0</v>
      </c>
      <c r="KQ38" s="30">
        <f t="shared" si="221"/>
        <v>0</v>
      </c>
      <c r="KR38" s="30">
        <f t="shared" si="221"/>
        <v>0</v>
      </c>
      <c r="KS38" s="30">
        <f t="shared" si="221"/>
        <v>0</v>
      </c>
      <c r="KT38" s="30">
        <f t="shared" si="221"/>
        <v>0</v>
      </c>
      <c r="KU38" s="30">
        <f t="shared" si="221"/>
        <v>0</v>
      </c>
      <c r="KV38" s="30">
        <f t="shared" si="221"/>
        <v>0</v>
      </c>
      <c r="KW38" s="30">
        <f t="shared" si="221"/>
        <v>0</v>
      </c>
      <c r="KX38" s="30">
        <f t="shared" si="221"/>
        <v>0</v>
      </c>
      <c r="KY38" s="30">
        <f t="shared" si="221"/>
        <v>0</v>
      </c>
      <c r="KZ38" s="30">
        <f t="shared" si="221"/>
        <v>0</v>
      </c>
      <c r="LA38" s="30">
        <f t="shared" si="221"/>
        <v>0</v>
      </c>
      <c r="LB38" s="30">
        <f t="shared" si="221"/>
        <v>0</v>
      </c>
      <c r="LC38" s="30">
        <f t="shared" si="221"/>
        <v>0</v>
      </c>
      <c r="LD38" s="30">
        <f t="shared" si="221"/>
        <v>0</v>
      </c>
      <c r="LE38" s="30">
        <f t="shared" si="221"/>
        <v>0</v>
      </c>
      <c r="LF38" s="30">
        <f t="shared" si="221"/>
        <v>0</v>
      </c>
      <c r="LG38" s="30">
        <f t="shared" si="221"/>
        <v>0</v>
      </c>
      <c r="LH38" s="30">
        <f t="shared" si="221"/>
        <v>0</v>
      </c>
      <c r="LI38" s="30">
        <f t="shared" si="221"/>
        <v>0</v>
      </c>
      <c r="LJ38" s="30">
        <f t="shared" si="221"/>
        <v>0</v>
      </c>
      <c r="LK38" s="30">
        <f t="shared" si="221"/>
        <v>0</v>
      </c>
      <c r="LL38" s="30">
        <f t="shared" si="221"/>
        <v>0</v>
      </c>
      <c r="LM38" s="30">
        <f t="shared" si="221"/>
        <v>0</v>
      </c>
      <c r="LN38" s="30">
        <f t="shared" si="221"/>
        <v>0</v>
      </c>
      <c r="LO38" s="30">
        <f t="shared" si="221"/>
        <v>0</v>
      </c>
      <c r="LP38" s="30">
        <f t="shared" si="221"/>
        <v>0</v>
      </c>
      <c r="LQ38" s="30">
        <f t="shared" si="221"/>
        <v>0</v>
      </c>
      <c r="LR38" s="30">
        <f t="shared" si="221"/>
        <v>0</v>
      </c>
      <c r="LS38" s="30">
        <f t="shared" si="221"/>
        <v>0</v>
      </c>
      <c r="LT38" s="30">
        <f t="shared" si="221"/>
        <v>0</v>
      </c>
      <c r="LU38" s="30">
        <f t="shared" si="221"/>
        <v>0</v>
      </c>
      <c r="LV38" s="30">
        <f t="shared" si="221"/>
        <v>0</v>
      </c>
      <c r="LW38" s="30">
        <f t="shared" si="221"/>
        <v>0</v>
      </c>
      <c r="LX38" s="30">
        <f t="shared" si="221"/>
        <v>0</v>
      </c>
      <c r="LY38" s="30">
        <f t="shared" si="221"/>
        <v>0</v>
      </c>
      <c r="LZ38" s="30">
        <f t="shared" si="221"/>
        <v>0</v>
      </c>
      <c r="MA38" s="30">
        <f t="shared" si="221"/>
        <v>0</v>
      </c>
      <c r="MB38" s="30">
        <f t="shared" si="221"/>
        <v>0</v>
      </c>
      <c r="MC38" s="12">
        <f t="shared" si="222"/>
        <v>0</v>
      </c>
      <c r="MD38" s="12">
        <f t="shared" si="222"/>
        <v>0</v>
      </c>
      <c r="ME38" s="12">
        <f t="shared" si="222"/>
        <v>0</v>
      </c>
      <c r="MF38" s="12">
        <f t="shared" si="222"/>
        <v>0</v>
      </c>
      <c r="MG38" s="12">
        <f t="shared" si="222"/>
        <v>0</v>
      </c>
      <c r="MH38" s="12">
        <f t="shared" si="222"/>
        <v>0</v>
      </c>
      <c r="MI38" s="12">
        <f t="shared" si="222"/>
        <v>0</v>
      </c>
      <c r="MJ38" s="12">
        <f t="shared" si="222"/>
        <v>0</v>
      </c>
      <c r="MK38" s="12">
        <f t="shared" si="222"/>
        <v>0</v>
      </c>
      <c r="ML38" s="12">
        <f t="shared" si="222"/>
        <v>0</v>
      </c>
      <c r="MM38" s="12"/>
      <c r="MN38" s="12"/>
    </row>
    <row r="39" spans="1:352" ht="23.25" customHeight="1" x14ac:dyDescent="0.25">
      <c r="A39" s="3" t="s">
        <v>3</v>
      </c>
      <c r="B39" s="3" t="s">
        <v>47</v>
      </c>
      <c r="C39" s="34"/>
      <c r="D39" s="34">
        <f t="shared" si="135"/>
        <v>0</v>
      </c>
      <c r="E39" s="34">
        <f t="shared" si="136"/>
        <v>0</v>
      </c>
      <c r="F39" s="34">
        <f t="shared" si="137"/>
        <v>0</v>
      </c>
      <c r="G39" s="34">
        <f t="shared" si="138"/>
        <v>0</v>
      </c>
      <c r="H39" s="34">
        <f t="shared" si="139"/>
        <v>0</v>
      </c>
      <c r="I39" s="34">
        <f t="shared" si="140"/>
        <v>0</v>
      </c>
      <c r="J39" s="34">
        <f t="shared" si="141"/>
        <v>0</v>
      </c>
      <c r="K39" s="34">
        <f t="shared" si="142"/>
        <v>0</v>
      </c>
      <c r="L39" s="34">
        <f t="shared" si="143"/>
        <v>0</v>
      </c>
      <c r="M39" s="34">
        <f t="shared" si="144"/>
        <v>0</v>
      </c>
      <c r="N39" s="34">
        <f t="shared" si="145"/>
        <v>0</v>
      </c>
      <c r="O39" s="34">
        <f t="shared" si="146"/>
        <v>0</v>
      </c>
      <c r="P39" s="34">
        <f t="shared" si="147"/>
        <v>0</v>
      </c>
      <c r="Q39" s="34">
        <f t="shared" si="148"/>
        <v>0</v>
      </c>
      <c r="R39" s="34">
        <f t="shared" si="149"/>
        <v>0</v>
      </c>
      <c r="S39" s="34">
        <f t="shared" si="150"/>
        <v>0</v>
      </c>
      <c r="T39" s="34">
        <f t="shared" si="151"/>
        <v>0</v>
      </c>
      <c r="U39" s="34">
        <f t="shared" si="152"/>
        <v>0</v>
      </c>
      <c r="V39" s="34">
        <f t="shared" si="153"/>
        <v>0</v>
      </c>
      <c r="W39" s="34">
        <f t="shared" si="154"/>
        <v>0</v>
      </c>
      <c r="X39" s="34">
        <f t="shared" si="155"/>
        <v>0</v>
      </c>
      <c r="Y39" s="34">
        <f t="shared" si="156"/>
        <v>0</v>
      </c>
      <c r="Z39" s="34">
        <f t="shared" si="157"/>
        <v>0</v>
      </c>
      <c r="AA39" s="34">
        <f t="shared" si="158"/>
        <v>0</v>
      </c>
      <c r="AB39" s="34">
        <f t="shared" si="159"/>
        <v>0</v>
      </c>
      <c r="AC39" s="34">
        <f t="shared" si="160"/>
        <v>0</v>
      </c>
      <c r="AD39" s="34">
        <f t="shared" si="161"/>
        <v>0</v>
      </c>
      <c r="AE39" s="34">
        <f t="shared" si="162"/>
        <v>0</v>
      </c>
      <c r="AF39" s="34">
        <f t="shared" si="163"/>
        <v>0</v>
      </c>
      <c r="AG39" s="34">
        <f t="shared" si="164"/>
        <v>0</v>
      </c>
      <c r="AH39" s="34">
        <f t="shared" si="165"/>
        <v>0</v>
      </c>
      <c r="AI39" s="34">
        <f t="shared" si="166"/>
        <v>0</v>
      </c>
      <c r="AJ39" s="34">
        <f t="shared" si="167"/>
        <v>0</v>
      </c>
      <c r="AK39" s="34">
        <f t="shared" si="168"/>
        <v>0</v>
      </c>
      <c r="AL39" s="34">
        <f t="shared" si="169"/>
        <v>0</v>
      </c>
      <c r="AM39" s="34">
        <f t="shared" si="170"/>
        <v>0</v>
      </c>
      <c r="AN39" s="34">
        <f t="shared" si="171"/>
        <v>0</v>
      </c>
      <c r="AO39" s="34">
        <f t="shared" si="172"/>
        <v>0</v>
      </c>
      <c r="AP39" s="34">
        <f t="shared" si="173"/>
        <v>0</v>
      </c>
      <c r="AQ39" s="34">
        <f t="shared" si="174"/>
        <v>0</v>
      </c>
      <c r="AR39" s="34">
        <f t="shared" si="175"/>
        <v>0</v>
      </c>
      <c r="AS39" s="34">
        <f t="shared" si="176"/>
        <v>0</v>
      </c>
      <c r="AT39" s="34">
        <f t="shared" si="177"/>
        <v>0</v>
      </c>
      <c r="AU39" s="34">
        <f t="shared" si="178"/>
        <v>0</v>
      </c>
      <c r="AV39" s="34">
        <f t="shared" si="179"/>
        <v>0</v>
      </c>
      <c r="AW39" s="34">
        <f t="shared" si="180"/>
        <v>0</v>
      </c>
      <c r="AX39" s="34">
        <f t="shared" si="181"/>
        <v>0</v>
      </c>
      <c r="AY39" s="34">
        <f t="shared" si="182"/>
        <v>0</v>
      </c>
      <c r="AZ39" s="34">
        <f t="shared" si="183"/>
        <v>0</v>
      </c>
      <c r="BA39" s="34">
        <f t="shared" si="184"/>
        <v>0</v>
      </c>
      <c r="BB39" s="34">
        <f t="shared" si="185"/>
        <v>1</v>
      </c>
      <c r="BC39" s="34">
        <f t="shared" si="186"/>
        <v>1</v>
      </c>
      <c r="BD39" s="34">
        <f t="shared" si="187"/>
        <v>1</v>
      </c>
      <c r="BE39" s="34">
        <f t="shared" si="188"/>
        <v>0</v>
      </c>
      <c r="BF39" s="34">
        <f t="shared" si="189"/>
        <v>0</v>
      </c>
      <c r="BG39" s="34">
        <f t="shared" si="190"/>
        <v>0</v>
      </c>
      <c r="BH39" s="34">
        <f t="shared" si="191"/>
        <v>0</v>
      </c>
      <c r="BI39" s="34">
        <f t="shared" si="192"/>
        <v>0</v>
      </c>
      <c r="BJ39" s="34">
        <f t="shared" si="193"/>
        <v>0</v>
      </c>
      <c r="BK39" s="34">
        <f t="shared" si="194"/>
        <v>0</v>
      </c>
      <c r="BL39" s="34">
        <f t="shared" si="195"/>
        <v>0</v>
      </c>
      <c r="BM39" s="34">
        <f t="shared" si="196"/>
        <v>0</v>
      </c>
      <c r="BN39" s="34">
        <f t="shared" si="197"/>
        <v>0</v>
      </c>
      <c r="BO39" s="34">
        <f t="shared" si="198"/>
        <v>0</v>
      </c>
      <c r="BP39" s="34">
        <f t="shared" si="199"/>
        <v>0</v>
      </c>
      <c r="BQ39" s="42">
        <f t="shared" si="199"/>
        <v>0</v>
      </c>
      <c r="BR39" s="42">
        <f t="shared" si="200"/>
        <v>0</v>
      </c>
      <c r="BS39" s="42">
        <f t="shared" si="201"/>
        <v>0</v>
      </c>
      <c r="BT39" s="10">
        <f t="shared" si="202"/>
        <v>0</v>
      </c>
      <c r="BU39" s="10">
        <f t="shared" si="202"/>
        <v>0</v>
      </c>
      <c r="BV39" s="10">
        <f t="shared" si="202"/>
        <v>0</v>
      </c>
      <c r="BW39" s="35">
        <f t="shared" si="202"/>
        <v>0</v>
      </c>
      <c r="BX39" s="10">
        <f t="shared" si="202"/>
        <v>0</v>
      </c>
      <c r="BY39" s="10">
        <f t="shared" si="202"/>
        <v>0</v>
      </c>
      <c r="BZ39" s="10">
        <f t="shared" si="202"/>
        <v>0</v>
      </c>
      <c r="CA39" s="10">
        <f t="shared" si="202"/>
        <v>0</v>
      </c>
      <c r="CB39" s="10">
        <f t="shared" si="202"/>
        <v>0</v>
      </c>
      <c r="CC39" s="10">
        <f t="shared" si="202"/>
        <v>0</v>
      </c>
      <c r="CD39" s="10">
        <f t="shared" si="202"/>
        <v>0</v>
      </c>
      <c r="CE39" s="10">
        <f t="shared" si="202"/>
        <v>0</v>
      </c>
      <c r="CF39" s="56">
        <f t="shared" si="202"/>
        <v>0</v>
      </c>
      <c r="CG39" s="56">
        <f t="shared" si="202"/>
        <v>0</v>
      </c>
      <c r="CH39" s="56">
        <f t="shared" si="202"/>
        <v>0</v>
      </c>
      <c r="CI39" s="56">
        <f t="shared" si="202"/>
        <v>0</v>
      </c>
      <c r="CJ39" s="56">
        <f t="shared" si="202"/>
        <v>1</v>
      </c>
      <c r="CK39" s="56">
        <f t="shared" si="202"/>
        <v>0</v>
      </c>
      <c r="CL39" s="56">
        <f t="shared" si="202"/>
        <v>0</v>
      </c>
      <c r="CM39" s="56">
        <f>IF(CM27="Not Received",CL39,CM27)</f>
        <v>1</v>
      </c>
      <c r="CN39" s="56">
        <f t="shared" si="202"/>
        <v>1</v>
      </c>
      <c r="CO39" s="56">
        <f t="shared" si="202"/>
        <v>1</v>
      </c>
      <c r="CP39" s="56">
        <f t="shared" si="202"/>
        <v>1</v>
      </c>
      <c r="CQ39" s="56">
        <f t="shared" si="202"/>
        <v>0</v>
      </c>
      <c r="CR39" s="56">
        <f t="shared" si="202"/>
        <v>0</v>
      </c>
      <c r="CS39" s="56">
        <f t="shared" si="202"/>
        <v>1</v>
      </c>
      <c r="CT39" s="56">
        <f t="shared" si="202"/>
        <v>0</v>
      </c>
      <c r="CU39" s="56">
        <f t="shared" si="202"/>
        <v>0</v>
      </c>
      <c r="CV39" s="56">
        <f t="shared" si="223"/>
        <v>0</v>
      </c>
      <c r="CW39" s="56">
        <f t="shared" si="223"/>
        <v>0</v>
      </c>
      <c r="CX39" s="56">
        <f t="shared" si="223"/>
        <v>0</v>
      </c>
      <c r="CY39" s="56">
        <f t="shared" si="223"/>
        <v>0</v>
      </c>
      <c r="CZ39" s="56">
        <f t="shared" si="223"/>
        <v>0</v>
      </c>
      <c r="DA39" s="56">
        <f t="shared" si="223"/>
        <v>1</v>
      </c>
      <c r="DB39" s="56">
        <f t="shared" si="223"/>
        <v>0</v>
      </c>
      <c r="DC39" s="56">
        <f t="shared" si="223"/>
        <v>0</v>
      </c>
      <c r="DD39" s="56">
        <f t="shared" si="223"/>
        <v>0</v>
      </c>
      <c r="DE39" s="56">
        <f t="shared" si="223"/>
        <v>0</v>
      </c>
      <c r="DF39" s="56">
        <f t="shared" si="223"/>
        <v>0</v>
      </c>
      <c r="DG39" s="56">
        <f t="shared" si="223"/>
        <v>0</v>
      </c>
      <c r="DH39" s="56">
        <f t="shared" si="223"/>
        <v>0</v>
      </c>
      <c r="DI39" s="56">
        <f t="shared" si="223"/>
        <v>1</v>
      </c>
      <c r="DJ39" s="56">
        <f t="shared" si="223"/>
        <v>0</v>
      </c>
      <c r="DK39" s="56">
        <f t="shared" si="223"/>
        <v>0</v>
      </c>
      <c r="DL39" s="56">
        <f t="shared" si="223"/>
        <v>0</v>
      </c>
      <c r="DM39" s="56">
        <f t="shared" si="223"/>
        <v>0</v>
      </c>
      <c r="DN39" s="56">
        <f t="shared" si="223"/>
        <v>0</v>
      </c>
      <c r="DO39" s="56">
        <f t="shared" si="223"/>
        <v>0</v>
      </c>
      <c r="DP39" s="56">
        <f t="shared" si="223"/>
        <v>0</v>
      </c>
      <c r="DQ39" s="56">
        <f t="shared" si="223"/>
        <v>1</v>
      </c>
      <c r="DR39" s="56">
        <f t="shared" si="223"/>
        <v>0</v>
      </c>
      <c r="DS39" s="56">
        <f t="shared" si="223"/>
        <v>0</v>
      </c>
      <c r="DT39" s="56">
        <f t="shared" si="223"/>
        <v>0</v>
      </c>
      <c r="DU39" s="56">
        <f t="shared" si="223"/>
        <v>0</v>
      </c>
      <c r="DV39" s="56">
        <f t="shared" si="223"/>
        <v>0</v>
      </c>
      <c r="DW39" s="56">
        <f t="shared" si="223"/>
        <v>0</v>
      </c>
      <c r="DX39" s="56">
        <f t="shared" si="223"/>
        <v>0</v>
      </c>
      <c r="DY39" s="56">
        <f t="shared" si="223"/>
        <v>1</v>
      </c>
      <c r="DZ39" s="56">
        <f t="shared" si="223"/>
        <v>0</v>
      </c>
      <c r="EA39" s="56">
        <f t="shared" si="223"/>
        <v>0</v>
      </c>
      <c r="EB39" s="56">
        <f t="shared" si="223"/>
        <v>0</v>
      </c>
      <c r="EC39" s="56">
        <f t="shared" si="223"/>
        <v>0</v>
      </c>
      <c r="ED39" s="56">
        <f t="shared" si="223"/>
        <v>0</v>
      </c>
      <c r="EE39" s="56">
        <f t="shared" si="223"/>
        <v>0</v>
      </c>
      <c r="EF39" s="56">
        <f t="shared" si="223"/>
        <v>0</v>
      </c>
      <c r="EG39" s="56">
        <f t="shared" si="223"/>
        <v>1</v>
      </c>
      <c r="EH39" s="56">
        <f t="shared" si="223"/>
        <v>0</v>
      </c>
      <c r="EI39" s="56">
        <f t="shared" si="223"/>
        <v>0</v>
      </c>
      <c r="EJ39" s="56">
        <f t="shared" si="223"/>
        <v>0</v>
      </c>
      <c r="EK39" s="56">
        <f t="shared" si="223"/>
        <v>0</v>
      </c>
      <c r="EL39" s="56">
        <f t="shared" si="223"/>
        <v>0</v>
      </c>
      <c r="EM39" s="56">
        <f t="shared" si="223"/>
        <v>0</v>
      </c>
      <c r="EN39" s="56">
        <f t="shared" si="220"/>
        <v>0</v>
      </c>
      <c r="EO39" s="56">
        <f t="shared" si="220"/>
        <v>1</v>
      </c>
      <c r="EP39" s="56">
        <f t="shared" si="220"/>
        <v>0</v>
      </c>
      <c r="EQ39" s="56">
        <f t="shared" si="220"/>
        <v>0</v>
      </c>
      <c r="ER39" s="56">
        <f t="shared" si="220"/>
        <v>0</v>
      </c>
      <c r="ES39" s="56">
        <f t="shared" si="220"/>
        <v>0</v>
      </c>
      <c r="ET39" s="56">
        <f t="shared" si="220"/>
        <v>0</v>
      </c>
      <c r="EU39" s="56">
        <f t="shared" si="220"/>
        <v>0</v>
      </c>
      <c r="EV39" s="56">
        <f t="shared" si="220"/>
        <v>0</v>
      </c>
      <c r="EW39" s="56">
        <f t="shared" si="220"/>
        <v>1</v>
      </c>
      <c r="EX39" s="56">
        <f t="shared" si="220"/>
        <v>0</v>
      </c>
      <c r="EY39" s="56">
        <f t="shared" si="220"/>
        <v>0</v>
      </c>
      <c r="EZ39" s="56">
        <f t="shared" si="220"/>
        <v>0</v>
      </c>
      <c r="FA39" s="56">
        <f t="shared" si="204"/>
        <v>0</v>
      </c>
      <c r="FB39" s="56">
        <f t="shared" si="204"/>
        <v>0</v>
      </c>
      <c r="FC39" s="56">
        <f t="shared" si="204"/>
        <v>0</v>
      </c>
      <c r="FD39" s="56">
        <f t="shared" si="204"/>
        <v>0</v>
      </c>
      <c r="FE39" s="56">
        <f t="shared" si="204"/>
        <v>1</v>
      </c>
      <c r="FF39" s="56">
        <f t="shared" si="204"/>
        <v>0</v>
      </c>
      <c r="FG39" s="56">
        <f t="shared" si="204"/>
        <v>0</v>
      </c>
      <c r="FH39" s="56">
        <f t="shared" si="204"/>
        <v>0</v>
      </c>
      <c r="FI39" s="56">
        <f t="shared" si="204"/>
        <v>0</v>
      </c>
      <c r="FJ39" s="56">
        <f t="shared" si="204"/>
        <v>0</v>
      </c>
      <c r="FK39" s="56">
        <f t="shared" si="204"/>
        <v>0</v>
      </c>
      <c r="FL39" s="56">
        <f t="shared" si="204"/>
        <v>0</v>
      </c>
      <c r="FM39" s="56">
        <f t="shared" si="204"/>
        <v>1</v>
      </c>
      <c r="FN39" s="56">
        <f t="shared" si="204"/>
        <v>0</v>
      </c>
      <c r="FO39" s="56">
        <f t="shared" si="204"/>
        <v>0</v>
      </c>
      <c r="FP39" s="10"/>
      <c r="FQ39" s="10">
        <f t="shared" si="226"/>
        <v>0</v>
      </c>
      <c r="FR39" s="10">
        <f t="shared" si="226"/>
        <v>0</v>
      </c>
      <c r="FS39" s="10">
        <f t="shared" si="226"/>
        <v>0</v>
      </c>
      <c r="FT39" s="10">
        <f t="shared" si="226"/>
        <v>0</v>
      </c>
      <c r="FU39" s="10">
        <f t="shared" si="226"/>
        <v>0</v>
      </c>
      <c r="FV39" s="10">
        <f t="shared" si="226"/>
        <v>0</v>
      </c>
      <c r="FW39" s="10">
        <f t="shared" si="226"/>
        <v>0</v>
      </c>
      <c r="FX39" s="10">
        <f t="shared" si="226"/>
        <v>0</v>
      </c>
      <c r="FY39" s="10">
        <f t="shared" si="226"/>
        <v>0</v>
      </c>
      <c r="FZ39" s="10">
        <f t="shared" si="226"/>
        <v>0</v>
      </c>
      <c r="GA39" s="10">
        <f t="shared" si="226"/>
        <v>0</v>
      </c>
      <c r="GB39" s="10">
        <f t="shared" si="226"/>
        <v>0</v>
      </c>
      <c r="GC39" s="10">
        <f t="shared" si="226"/>
        <v>0</v>
      </c>
      <c r="GD39" s="10">
        <f t="shared" si="226"/>
        <v>0</v>
      </c>
      <c r="GE39" s="10">
        <f t="shared" si="226"/>
        <v>0</v>
      </c>
      <c r="GF39" s="10">
        <f t="shared" si="226"/>
        <v>0</v>
      </c>
      <c r="GG39" s="10">
        <f t="shared" si="226"/>
        <v>0</v>
      </c>
      <c r="GH39" s="10">
        <f t="shared" si="226"/>
        <v>0</v>
      </c>
      <c r="GI39" s="10">
        <f t="shared" si="226"/>
        <v>0</v>
      </c>
      <c r="GJ39" s="10">
        <f t="shared" si="226"/>
        <v>0</v>
      </c>
      <c r="GK39" s="10">
        <f t="shared" si="226"/>
        <v>0</v>
      </c>
      <c r="GL39" s="10">
        <f t="shared" si="226"/>
        <v>0</v>
      </c>
      <c r="GM39" s="10">
        <f t="shared" si="226"/>
        <v>0</v>
      </c>
      <c r="GN39" s="10">
        <f t="shared" si="226"/>
        <v>0</v>
      </c>
      <c r="GO39" s="10">
        <f t="shared" si="226"/>
        <v>0</v>
      </c>
      <c r="GP39" s="10">
        <f t="shared" si="226"/>
        <v>0</v>
      </c>
      <c r="GQ39" s="10">
        <f t="shared" si="226"/>
        <v>0</v>
      </c>
      <c r="GR39" s="10">
        <f t="shared" si="226"/>
        <v>0</v>
      </c>
      <c r="GS39" s="10">
        <f t="shared" si="226"/>
        <v>0</v>
      </c>
      <c r="GT39" s="10">
        <f t="shared" si="226"/>
        <v>0</v>
      </c>
      <c r="GU39" s="10">
        <f t="shared" si="226"/>
        <v>0</v>
      </c>
      <c r="GV39" s="10">
        <f t="shared" si="226"/>
        <v>0</v>
      </c>
      <c r="GW39" s="10">
        <f t="shared" si="224"/>
        <v>0</v>
      </c>
      <c r="GX39" s="10">
        <f t="shared" si="224"/>
        <v>0</v>
      </c>
      <c r="GY39" s="10">
        <f t="shared" si="224"/>
        <v>0</v>
      </c>
      <c r="GZ39" s="10">
        <f t="shared" si="224"/>
        <v>0</v>
      </c>
      <c r="HA39" s="10">
        <f t="shared" si="224"/>
        <v>0</v>
      </c>
      <c r="HB39" s="10">
        <f t="shared" si="224"/>
        <v>0</v>
      </c>
      <c r="HC39" s="10">
        <f t="shared" si="224"/>
        <v>0</v>
      </c>
      <c r="HD39" s="10">
        <f t="shared" si="224"/>
        <v>0</v>
      </c>
      <c r="HE39" s="10">
        <f t="shared" si="224"/>
        <v>0</v>
      </c>
      <c r="HF39" s="10">
        <f t="shared" si="224"/>
        <v>0</v>
      </c>
      <c r="HG39" s="10">
        <f t="shared" si="224"/>
        <v>0</v>
      </c>
      <c r="HH39" s="10">
        <f t="shared" si="224"/>
        <v>0</v>
      </c>
      <c r="HI39" s="10">
        <f t="shared" si="224"/>
        <v>0</v>
      </c>
      <c r="HJ39" s="10">
        <f t="shared" si="224"/>
        <v>0</v>
      </c>
      <c r="HK39" s="10">
        <f t="shared" si="224"/>
        <v>0</v>
      </c>
      <c r="HL39" s="10">
        <f t="shared" si="224"/>
        <v>0</v>
      </c>
      <c r="HM39" s="10">
        <f t="shared" si="224"/>
        <v>0</v>
      </c>
      <c r="HN39" s="10">
        <f t="shared" si="206"/>
        <v>0</v>
      </c>
      <c r="HO39" s="10">
        <f t="shared" si="206"/>
        <v>0</v>
      </c>
      <c r="HP39" s="10">
        <f t="shared" si="206"/>
        <v>0</v>
      </c>
      <c r="HQ39" s="10">
        <f t="shared" si="206"/>
        <v>0</v>
      </c>
      <c r="HR39" s="10">
        <f t="shared" si="206"/>
        <v>0</v>
      </c>
      <c r="HS39" s="10">
        <f t="shared" si="206"/>
        <v>0</v>
      </c>
      <c r="HT39" s="10">
        <f t="shared" si="206"/>
        <v>0</v>
      </c>
      <c r="HU39" s="10">
        <f t="shared" si="206"/>
        <v>0</v>
      </c>
      <c r="HV39" s="10">
        <f t="shared" si="206"/>
        <v>0</v>
      </c>
      <c r="HW39" s="10">
        <f t="shared" si="206"/>
        <v>0</v>
      </c>
      <c r="HX39" s="10">
        <f t="shared" si="206"/>
        <v>0</v>
      </c>
      <c r="HY39" s="10">
        <f t="shared" si="206"/>
        <v>0</v>
      </c>
      <c r="HZ39" s="10">
        <f t="shared" si="206"/>
        <v>0</v>
      </c>
      <c r="IA39" s="10">
        <f t="shared" si="206"/>
        <v>0</v>
      </c>
      <c r="IB39" s="10">
        <f t="shared" si="206"/>
        <v>0</v>
      </c>
      <c r="IC39" s="10">
        <f t="shared" si="206"/>
        <v>0</v>
      </c>
      <c r="ID39" s="10">
        <f t="shared" si="206"/>
        <v>0</v>
      </c>
      <c r="IE39" s="10">
        <f t="shared" si="206"/>
        <v>0</v>
      </c>
      <c r="IF39" s="10">
        <f t="shared" si="206"/>
        <v>0</v>
      </c>
      <c r="IG39" s="10">
        <f t="shared" si="206"/>
        <v>0</v>
      </c>
      <c r="IH39" s="10">
        <f t="shared" si="206"/>
        <v>0</v>
      </c>
      <c r="II39" s="10"/>
      <c r="IJ39" s="10">
        <f t="shared" si="225"/>
        <v>0</v>
      </c>
      <c r="IK39" s="10">
        <f t="shared" si="225"/>
        <v>0</v>
      </c>
      <c r="IL39" s="10">
        <f t="shared" si="225"/>
        <v>0</v>
      </c>
      <c r="IM39" s="35">
        <f t="shared" si="225"/>
        <v>0</v>
      </c>
      <c r="IN39" s="35">
        <f t="shared" si="225"/>
        <v>0</v>
      </c>
      <c r="IO39" s="35">
        <f t="shared" si="225"/>
        <v>0</v>
      </c>
      <c r="IP39" s="10">
        <f t="shared" si="225"/>
        <v>0</v>
      </c>
      <c r="IQ39" s="30">
        <f t="shared" si="215"/>
        <v>0</v>
      </c>
      <c r="IR39" s="30">
        <f t="shared" si="216"/>
        <v>0</v>
      </c>
      <c r="IS39" s="30">
        <f t="shared" si="217"/>
        <v>0</v>
      </c>
      <c r="IT39" s="30">
        <f t="shared" si="218"/>
        <v>0</v>
      </c>
      <c r="IU39" s="30">
        <f t="shared" si="225"/>
        <v>0</v>
      </c>
      <c r="IV39" s="30">
        <f t="shared" si="225"/>
        <v>0</v>
      </c>
      <c r="IW39" s="30">
        <f t="shared" si="225"/>
        <v>0</v>
      </c>
      <c r="IX39" s="30">
        <f t="shared" si="225"/>
        <v>0</v>
      </c>
      <c r="IY39" s="30">
        <f t="shared" si="225"/>
        <v>0</v>
      </c>
      <c r="IZ39" s="30">
        <f t="shared" si="225"/>
        <v>0</v>
      </c>
      <c r="JA39" s="30">
        <f t="shared" si="225"/>
        <v>0</v>
      </c>
      <c r="JB39" s="30">
        <f t="shared" si="225"/>
        <v>0</v>
      </c>
      <c r="JC39" s="30">
        <f t="shared" si="225"/>
        <v>0</v>
      </c>
      <c r="JD39" s="30">
        <f t="shared" si="225"/>
        <v>0</v>
      </c>
      <c r="JE39" s="30">
        <f t="shared" si="225"/>
        <v>0</v>
      </c>
      <c r="JF39" s="30">
        <f t="shared" si="225"/>
        <v>0</v>
      </c>
      <c r="JG39" s="30">
        <f t="shared" si="225"/>
        <v>0</v>
      </c>
      <c r="JH39" s="30">
        <f t="shared" si="225"/>
        <v>0</v>
      </c>
      <c r="JI39" s="30">
        <f t="shared" si="225"/>
        <v>0</v>
      </c>
      <c r="JJ39" s="30">
        <f t="shared" si="225"/>
        <v>0</v>
      </c>
      <c r="JK39" s="30">
        <f t="shared" si="225"/>
        <v>0</v>
      </c>
      <c r="JL39" s="30">
        <f t="shared" si="225"/>
        <v>0</v>
      </c>
      <c r="JM39" s="30">
        <f t="shared" si="225"/>
        <v>0</v>
      </c>
      <c r="JN39" s="30">
        <f t="shared" si="225"/>
        <v>0</v>
      </c>
      <c r="JO39" s="30">
        <f t="shared" si="225"/>
        <v>0</v>
      </c>
      <c r="JP39" s="30">
        <f t="shared" si="225"/>
        <v>0</v>
      </c>
      <c r="JQ39" s="30">
        <f t="shared" si="225"/>
        <v>0</v>
      </c>
      <c r="JR39" s="30">
        <f t="shared" si="225"/>
        <v>0</v>
      </c>
      <c r="JS39" s="30">
        <f t="shared" si="225"/>
        <v>0</v>
      </c>
      <c r="JT39" s="30">
        <f t="shared" si="225"/>
        <v>0</v>
      </c>
      <c r="JU39" s="30">
        <f t="shared" si="225"/>
        <v>0</v>
      </c>
      <c r="JV39" s="30">
        <f t="shared" si="225"/>
        <v>0</v>
      </c>
      <c r="JW39" s="30">
        <f t="shared" si="225"/>
        <v>0</v>
      </c>
      <c r="JX39" s="30">
        <f t="shared" si="225"/>
        <v>0</v>
      </c>
      <c r="JY39" s="30">
        <f t="shared" si="225"/>
        <v>0</v>
      </c>
      <c r="JZ39" s="30">
        <f t="shared" si="225"/>
        <v>0</v>
      </c>
      <c r="KA39" s="30">
        <f t="shared" si="221"/>
        <v>0</v>
      </c>
      <c r="KB39" s="30">
        <f t="shared" si="221"/>
        <v>0</v>
      </c>
      <c r="KC39" s="30">
        <f t="shared" si="221"/>
        <v>0</v>
      </c>
      <c r="KD39" s="30">
        <f t="shared" si="221"/>
        <v>0</v>
      </c>
      <c r="KE39" s="30">
        <f t="shared" si="221"/>
        <v>0</v>
      </c>
      <c r="KF39" s="30">
        <f t="shared" si="221"/>
        <v>0</v>
      </c>
      <c r="KG39" s="30">
        <f t="shared" si="221"/>
        <v>0</v>
      </c>
      <c r="KH39" s="30">
        <f t="shared" si="221"/>
        <v>0</v>
      </c>
      <c r="KI39" s="30">
        <f t="shared" si="221"/>
        <v>0</v>
      </c>
      <c r="KJ39" s="30">
        <f t="shared" si="221"/>
        <v>0</v>
      </c>
      <c r="KK39" s="30">
        <f t="shared" si="221"/>
        <v>0</v>
      </c>
      <c r="KL39" s="30">
        <f t="shared" si="221"/>
        <v>0</v>
      </c>
      <c r="KM39" s="30">
        <f t="shared" si="221"/>
        <v>0</v>
      </c>
      <c r="KN39" s="30">
        <f t="shared" si="221"/>
        <v>0</v>
      </c>
      <c r="KO39" s="30">
        <f t="shared" si="221"/>
        <v>0</v>
      </c>
      <c r="KP39" s="30">
        <f t="shared" si="221"/>
        <v>0</v>
      </c>
      <c r="KQ39" s="30">
        <f t="shared" si="221"/>
        <v>0</v>
      </c>
      <c r="KR39" s="30">
        <f t="shared" si="221"/>
        <v>0</v>
      </c>
      <c r="KS39" s="30">
        <f t="shared" si="221"/>
        <v>0</v>
      </c>
      <c r="KT39" s="30">
        <f t="shared" si="221"/>
        <v>0</v>
      </c>
      <c r="KU39" s="30">
        <f t="shared" si="221"/>
        <v>0</v>
      </c>
      <c r="KV39" s="30">
        <f t="shared" si="221"/>
        <v>0</v>
      </c>
      <c r="KW39" s="30">
        <f t="shared" si="221"/>
        <v>0</v>
      </c>
      <c r="KX39" s="30">
        <f t="shared" si="221"/>
        <v>0</v>
      </c>
      <c r="KY39" s="30">
        <f t="shared" si="221"/>
        <v>0</v>
      </c>
      <c r="KZ39" s="30">
        <f t="shared" si="221"/>
        <v>0</v>
      </c>
      <c r="LA39" s="30">
        <f t="shared" si="221"/>
        <v>0</v>
      </c>
      <c r="LB39" s="30">
        <f t="shared" si="221"/>
        <v>0</v>
      </c>
      <c r="LC39" s="30">
        <f t="shared" si="221"/>
        <v>0</v>
      </c>
      <c r="LD39" s="30">
        <f t="shared" si="221"/>
        <v>0</v>
      </c>
      <c r="LE39" s="30">
        <f t="shared" si="221"/>
        <v>0</v>
      </c>
      <c r="LF39" s="30">
        <f t="shared" si="221"/>
        <v>0</v>
      </c>
      <c r="LG39" s="30">
        <f t="shared" si="221"/>
        <v>0</v>
      </c>
      <c r="LH39" s="30">
        <f t="shared" si="221"/>
        <v>0</v>
      </c>
      <c r="LI39" s="30">
        <f t="shared" si="221"/>
        <v>0</v>
      </c>
      <c r="LJ39" s="30">
        <f t="shared" si="221"/>
        <v>0</v>
      </c>
      <c r="LK39" s="30">
        <f t="shared" si="221"/>
        <v>0</v>
      </c>
      <c r="LL39" s="30">
        <f t="shared" si="221"/>
        <v>0</v>
      </c>
      <c r="LM39" s="30">
        <f t="shared" si="221"/>
        <v>0</v>
      </c>
      <c r="LN39" s="30">
        <f t="shared" si="221"/>
        <v>0</v>
      </c>
      <c r="LO39" s="30">
        <f t="shared" si="221"/>
        <v>0</v>
      </c>
      <c r="LP39" s="30">
        <f t="shared" si="221"/>
        <v>0</v>
      </c>
      <c r="LQ39" s="30">
        <f t="shared" si="221"/>
        <v>0</v>
      </c>
      <c r="LR39" s="30">
        <f t="shared" si="221"/>
        <v>0</v>
      </c>
      <c r="LS39" s="30">
        <f t="shared" si="221"/>
        <v>0</v>
      </c>
      <c r="LT39" s="30">
        <f t="shared" si="221"/>
        <v>0</v>
      </c>
      <c r="LU39" s="30">
        <f t="shared" si="221"/>
        <v>0</v>
      </c>
      <c r="LV39" s="30">
        <f t="shared" si="221"/>
        <v>0</v>
      </c>
      <c r="LW39" s="30">
        <f t="shared" si="221"/>
        <v>0</v>
      </c>
      <c r="LX39" s="30">
        <f t="shared" si="221"/>
        <v>0</v>
      </c>
      <c r="LY39" s="30">
        <f t="shared" si="221"/>
        <v>0</v>
      </c>
      <c r="LZ39" s="30">
        <f t="shared" si="221"/>
        <v>0</v>
      </c>
      <c r="MA39" s="30">
        <f t="shared" si="221"/>
        <v>0</v>
      </c>
      <c r="MB39" s="30">
        <f t="shared" si="221"/>
        <v>0</v>
      </c>
      <c r="MC39" s="12">
        <f t="shared" si="222"/>
        <v>0</v>
      </c>
      <c r="MD39" s="12">
        <f t="shared" si="222"/>
        <v>0</v>
      </c>
      <c r="ME39" s="12">
        <f t="shared" si="222"/>
        <v>0</v>
      </c>
      <c r="MF39" s="12">
        <f t="shared" si="222"/>
        <v>0</v>
      </c>
      <c r="MG39" s="12">
        <f t="shared" si="222"/>
        <v>0</v>
      </c>
      <c r="MH39" s="12">
        <f t="shared" si="222"/>
        <v>0</v>
      </c>
      <c r="MI39" s="12">
        <f t="shared" si="222"/>
        <v>0</v>
      </c>
      <c r="MJ39" s="12">
        <f t="shared" si="222"/>
        <v>0</v>
      </c>
      <c r="MK39" s="12">
        <f t="shared" si="222"/>
        <v>0</v>
      </c>
      <c r="ML39" s="12">
        <f t="shared" si="222"/>
        <v>0</v>
      </c>
      <c r="MM39" s="12"/>
      <c r="MN39" s="12"/>
    </row>
    <row r="40" spans="1:352" ht="23.25" customHeight="1" x14ac:dyDescent="0.25">
      <c r="A40" s="3" t="s">
        <v>3</v>
      </c>
      <c r="B40" s="3" t="s">
        <v>48</v>
      </c>
      <c r="C40" s="34"/>
      <c r="D40" s="34" t="str">
        <f>IF(D16="Not Received",C40,D16)</f>
        <v>DPV_ERROR_RESET_OR_NO_ERROR_E</v>
      </c>
      <c r="E40" s="34" t="str">
        <f t="shared" ref="E40:BQ40" si="227">IF(E16="Not Received",D40,E16)</f>
        <v>DPV_ERROR_RESET_OR_NO_ERROR_E</v>
      </c>
      <c r="F40" s="34" t="str">
        <f t="shared" si="227"/>
        <v>DPV_ERROR_RESET_OR_NO_ERROR_E</v>
      </c>
      <c r="G40" s="34" t="str">
        <f t="shared" si="227"/>
        <v>DPV_ERROR_RESET_OR_NO_ERROR_E</v>
      </c>
      <c r="H40" s="34" t="str">
        <f t="shared" si="227"/>
        <v>DPV_ERROR_RESET_OR_NO_ERROR_E</v>
      </c>
      <c r="I40" s="34" t="str">
        <f t="shared" si="227"/>
        <v>DPV_ERROR_RESET_OR_NO_ERROR_E</v>
      </c>
      <c r="J40" s="34" t="str">
        <f t="shared" si="227"/>
        <v>DPV_ERROR_RESET_OR_NO_ERROR_E</v>
      </c>
      <c r="K40" s="34" t="str">
        <f t="shared" si="227"/>
        <v>DPV_ERROR_RESET_OR_NO_ERROR_E</v>
      </c>
      <c r="L40" s="34" t="str">
        <f t="shared" si="227"/>
        <v>DPV_DEVICE_HARDWARE_E</v>
      </c>
      <c r="M40" s="34" t="str">
        <f t="shared" si="227"/>
        <v>DPV_DEVICE_HARDWARE_E</v>
      </c>
      <c r="N40" s="34" t="str">
        <f t="shared" si="227"/>
        <v>DPV_DEVICE_HARDWARE_E</v>
      </c>
      <c r="O40" s="34" t="str">
        <f t="shared" si="227"/>
        <v>DPV_ERROR_RESET_OR_NO_ERROR_E</v>
      </c>
      <c r="P40" s="34" t="str">
        <f t="shared" si="227"/>
        <v>DPV_ERROR_RESET_OR_NO_ERROR_E</v>
      </c>
      <c r="Q40" s="34" t="str">
        <f t="shared" si="227"/>
        <v>DPV_ERROR_RESET_OR_NO_ERROR_E</v>
      </c>
      <c r="R40" s="34" t="str">
        <f t="shared" si="227"/>
        <v>DPV_ERROR_RESET_OR_NO_ERROR_E</v>
      </c>
      <c r="S40" s="34" t="str">
        <f t="shared" si="227"/>
        <v>DPV_ERROR_RESET_OR_NO_ERROR_E</v>
      </c>
      <c r="T40" s="34" t="str">
        <f t="shared" si="227"/>
        <v>DPV_ERROR_RESET_OR_NO_ERROR_E</v>
      </c>
      <c r="U40" s="34" t="str">
        <f t="shared" si="227"/>
        <v>DPV_ERROR_RESET_OR_NO_ERROR_E</v>
      </c>
      <c r="V40" s="34" t="str">
        <f t="shared" si="227"/>
        <v>DPV_ERROR_RESET_OR_NO_ERROR_E</v>
      </c>
      <c r="W40" s="34" t="str">
        <f t="shared" si="227"/>
        <v>DPV_ERROR_RESET_OR_NO_ERROR_E</v>
      </c>
      <c r="X40" s="34" t="str">
        <f t="shared" si="227"/>
        <v>DPV_ERROR_RESET_OR_NO_ERROR_E</v>
      </c>
      <c r="Y40" s="34" t="str">
        <f t="shared" si="227"/>
        <v>DPV_ERROR_RESET_OR_NO_ERROR_E</v>
      </c>
      <c r="Z40" s="34" t="str">
        <f t="shared" si="227"/>
        <v>DPV_ERROR_RESET_OR_NO_ERROR_E</v>
      </c>
      <c r="AA40" s="34" t="str">
        <f t="shared" si="227"/>
        <v>DPV_ERROR_RESET_OR_NO_ERROR_E</v>
      </c>
      <c r="AB40" s="34" t="str">
        <f t="shared" si="227"/>
        <v>DPV_ERROR_RESET_OR_NO_ERROR_E</v>
      </c>
      <c r="AC40" s="34" t="str">
        <f t="shared" si="227"/>
        <v>DPV_ERROR_RESET_OR_NO_ERROR_E</v>
      </c>
      <c r="AD40" s="34" t="str">
        <f t="shared" si="227"/>
        <v>DPV_ERROR_RESET_OR_NO_ERROR_E</v>
      </c>
      <c r="AE40" s="34" t="str">
        <f t="shared" si="227"/>
        <v>DPV_ERROR_RESET_OR_NO_ERROR_E</v>
      </c>
      <c r="AF40" s="34" t="str">
        <f t="shared" si="227"/>
        <v>DPV_ERROR_RESET_OR_NO_ERROR_E</v>
      </c>
      <c r="AG40" s="34" t="str">
        <f t="shared" si="227"/>
        <v>DPV_ERROR_RESET_OR_NO_ERROR_E</v>
      </c>
      <c r="AH40" s="34" t="str">
        <f t="shared" si="227"/>
        <v>DPV_ERROR_RESET_OR_NO_ERROR_E</v>
      </c>
      <c r="AI40" s="34" t="str">
        <f t="shared" si="227"/>
        <v>DPV_ERROR_RESET_OR_NO_ERROR_E</v>
      </c>
      <c r="AJ40" s="34" t="str">
        <f t="shared" si="227"/>
        <v>DPV_ERROR_RESET_OR_NO_ERROR_E</v>
      </c>
      <c r="AK40" s="34" t="str">
        <f t="shared" si="227"/>
        <v>DPV_ERROR_RESET_OR_NO_ERROR_E</v>
      </c>
      <c r="AL40" s="34" t="str">
        <f t="shared" si="227"/>
        <v>DPV_ERROR_RESET_OR_NO_ERROR_E</v>
      </c>
      <c r="AM40" s="34" t="str">
        <f t="shared" si="227"/>
        <v>DPV_ERROR_RESET_OR_NO_ERROR_E</v>
      </c>
      <c r="AN40" s="34" t="str">
        <f t="shared" si="227"/>
        <v>DPV_ERROR_RESET_OR_NO_ERROR_E</v>
      </c>
      <c r="AO40" s="34" t="str">
        <f t="shared" si="227"/>
        <v>DPV_ERROR_RESET_OR_NO_ERROR_E</v>
      </c>
      <c r="AP40" s="34" t="str">
        <f t="shared" si="227"/>
        <v>DPV_ERROR_RESET_OR_NO_ERROR_E</v>
      </c>
      <c r="AQ40" s="34" t="str">
        <f t="shared" si="227"/>
        <v>DPV_ERROR_RESET_OR_NO_ERROR_E</v>
      </c>
      <c r="AR40" s="34" t="str">
        <f t="shared" si="227"/>
        <v>DPV_ERROR_RESET_OR_NO_ERROR_E</v>
      </c>
      <c r="AS40" s="34" t="str">
        <f t="shared" si="227"/>
        <v>DPV_ERROR_RESET_OR_NO_ERROR_E</v>
      </c>
      <c r="AT40" s="34" t="str">
        <f t="shared" si="227"/>
        <v>DPV_ERROR_RESET_OR_NO_ERROR_E</v>
      </c>
      <c r="AU40" s="34" t="str">
        <f t="shared" si="227"/>
        <v>DPV_ERROR_RESET_OR_NO_ERROR_E</v>
      </c>
      <c r="AV40" s="34" t="str">
        <f t="shared" si="227"/>
        <v>DPV_ERROR_RESET_OR_NO_ERROR_E</v>
      </c>
      <c r="AW40" s="34" t="str">
        <f t="shared" si="227"/>
        <v>DPV_ERROR_RESET_OR_NO_ERROR_E</v>
      </c>
      <c r="AX40" s="34" t="str">
        <f t="shared" si="227"/>
        <v>DPV_ERROR_RESET_OR_NO_ERROR_E</v>
      </c>
      <c r="AY40" s="34" t="str">
        <f t="shared" si="227"/>
        <v>DPV_ERROR_RESET_OR_NO_ERROR_E</v>
      </c>
      <c r="AZ40" s="34" t="str">
        <f t="shared" si="227"/>
        <v>DPV_ERROR_RESET_OR_NO_ERROR_E</v>
      </c>
      <c r="BA40" s="34" t="str">
        <f t="shared" si="227"/>
        <v>DPV_ERROR_RESET_OR_NO_ERROR_E</v>
      </c>
      <c r="BB40" s="34" t="str">
        <f t="shared" si="227"/>
        <v>DPV_ERROR_RESET_OR_NO_ERROR_E</v>
      </c>
      <c r="BC40" s="34" t="str">
        <f t="shared" si="227"/>
        <v>DPV_ERROR_RESET_OR_NO_ERROR_E</v>
      </c>
      <c r="BD40" s="34" t="str">
        <f t="shared" si="227"/>
        <v>DPV_ERROR_RESET_OR_NO_ERROR_E</v>
      </c>
      <c r="BE40" s="34" t="str">
        <f t="shared" si="227"/>
        <v>DPV_ERROR_RESET_OR_NO_ERROR_E</v>
      </c>
      <c r="BF40" s="34" t="str">
        <f t="shared" si="227"/>
        <v>DPV_ERROR_RESET_OR_NO_ERROR_E</v>
      </c>
      <c r="BG40" s="34" t="str">
        <f t="shared" si="227"/>
        <v>DPV_ERROR_RESET_OR_NO_ERROR_E</v>
      </c>
      <c r="BH40" s="34" t="str">
        <f t="shared" si="227"/>
        <v>DPV_ERROR_RESET_OR_NO_ERROR_E</v>
      </c>
      <c r="BI40" s="34" t="str">
        <f t="shared" si="227"/>
        <v>DPV_ERROR_RESET_OR_NO_ERROR_E</v>
      </c>
      <c r="BJ40" s="34" t="str">
        <f t="shared" si="227"/>
        <v>DPV_ERROR_RESET_OR_NO_ERROR_E</v>
      </c>
      <c r="BK40" s="34" t="str">
        <f t="shared" si="227"/>
        <v>DPV_ERROR_RESET_OR_NO_ERROR_E</v>
      </c>
      <c r="BL40" s="34" t="str">
        <f t="shared" si="227"/>
        <v>DPV_ERROR_RESET_OR_NO_ERROR_E</v>
      </c>
      <c r="BM40" s="34" t="str">
        <f t="shared" si="227"/>
        <v>DPV_ERROR_RESET_OR_NO_ERROR_E</v>
      </c>
      <c r="BN40" s="34" t="str">
        <f t="shared" si="227"/>
        <v>DPV_ERROR_RESET_OR_NO_ERROR_E</v>
      </c>
      <c r="BO40" s="34" t="str">
        <f t="shared" si="227"/>
        <v>DPV_ERROR_RESET_OR_NO_ERROR_E</v>
      </c>
      <c r="BP40" s="34" t="str">
        <f t="shared" si="227"/>
        <v>DPV_ERROR_RESET_OR_NO_ERROR_E</v>
      </c>
      <c r="BQ40" s="42" t="str">
        <f t="shared" si="227"/>
        <v>DPV_ERROR_RESET_OR_NO_ERROR_E</v>
      </c>
      <c r="BR40" s="42" t="str">
        <f t="shared" ref="BR40:BR41" si="228">IF(BR16="Not Received",BQ40,BR16)</f>
        <v>DPV_ERROR_RESET_OR_NO_ERROR_E</v>
      </c>
      <c r="BS40" s="42" t="str">
        <f t="shared" ref="BS40:BS41" si="229">IF(BS16="Not Received",BR40,BS16)</f>
        <v>DPV_ERROR_RESET_OR_NO_ERROR_E</v>
      </c>
      <c r="BT40" s="10" t="str">
        <f t="shared" ref="BT40:CU41" si="230">IF(BT16="Not Received",BS40,BT16)</f>
        <v>DPV_ERROR_RESET_OR_NO_ERROR_E</v>
      </c>
      <c r="BU40" s="10" t="str">
        <f t="shared" si="230"/>
        <v>DPV_ERROR_RESET_OR_NO_ERROR_E</v>
      </c>
      <c r="BV40" s="10" t="str">
        <f t="shared" si="230"/>
        <v>DPV_ERROR_RESET_OR_NO_ERROR_E</v>
      </c>
      <c r="BW40" s="35" t="str">
        <f t="shared" si="230"/>
        <v>DPV_ERROR_RESET_OR_NO_ERROR_E</v>
      </c>
      <c r="BX40" s="10" t="str">
        <f t="shared" si="230"/>
        <v>DPV_ERROR_RESET_OR_NO_ERROR_E</v>
      </c>
      <c r="BY40" s="10" t="str">
        <f t="shared" si="230"/>
        <v>DPV_ERROR_RESET_OR_NO_ERROR_E</v>
      </c>
      <c r="BZ40" s="10" t="str">
        <f t="shared" si="230"/>
        <v>DPV_ERROR_RESET_OR_NO_ERROR_E</v>
      </c>
      <c r="CA40" s="10" t="str">
        <f t="shared" si="230"/>
        <v>DPV_ERROR_RESET_OR_NO_ERROR_E</v>
      </c>
      <c r="CB40" s="10" t="str">
        <f t="shared" si="230"/>
        <v>DPV_ERROR_RESET_OR_NO_ERROR_E</v>
      </c>
      <c r="CC40" s="10" t="str">
        <f t="shared" si="230"/>
        <v>DPV_ERROR_RESET_OR_NO_ERROR_E</v>
      </c>
      <c r="CD40" s="10" t="str">
        <f t="shared" si="230"/>
        <v>DPV_ERROR_RESET_OR_NO_ERROR_E</v>
      </c>
      <c r="CE40" s="10" t="str">
        <f t="shared" si="230"/>
        <v>DPV_ERROR_RESET_OR_NO_ERROR_E</v>
      </c>
      <c r="CF40" s="56" t="str">
        <f t="shared" si="230"/>
        <v>DPV_ERROR_RESET_OR_NO_ERROR_E</v>
      </c>
      <c r="CG40" s="56" t="str">
        <f t="shared" si="230"/>
        <v>DPV_ERROR_RESET_OR_NO_ERROR_E</v>
      </c>
      <c r="CH40" s="56" t="str">
        <f t="shared" si="230"/>
        <v>DPV_ERROR_RESET_OR_NO_ERROR_E</v>
      </c>
      <c r="CI40" s="56" t="str">
        <f t="shared" si="230"/>
        <v>DPV_ERROR_RESET_OR_NO_ERROR_E</v>
      </c>
      <c r="CJ40" s="56" t="str">
        <f t="shared" si="230"/>
        <v>DPV_ERROR_RESET_OR_NO_ERROR_E</v>
      </c>
      <c r="CK40" s="56" t="str">
        <f t="shared" si="230"/>
        <v>DPV_ERROR_RESET_OR_NO_ERROR_E</v>
      </c>
      <c r="CL40" s="56" t="str">
        <f t="shared" si="230"/>
        <v>DPV_ERROR_RESET_OR_NO_ERROR_E</v>
      </c>
      <c r="CM40" s="56" t="str">
        <f>IF(CM16="Not Received",CL40,CM16)</f>
        <v>DPV_ERROR_RESET_OR_NO_ERROR_E</v>
      </c>
      <c r="CN40" s="56" t="str">
        <f t="shared" si="230"/>
        <v>DPV_ERROR_RESET_OR_NO_ERROR_E</v>
      </c>
      <c r="CO40" s="56" t="str">
        <f t="shared" si="230"/>
        <v>DPV_ERROR_RESET_OR_NO_ERROR_E</v>
      </c>
      <c r="CP40" s="56" t="str">
        <f t="shared" si="230"/>
        <v>DPV_ERROR_RESET_OR_NO_ERROR_E</v>
      </c>
      <c r="CQ40" s="56" t="str">
        <f t="shared" si="230"/>
        <v>DPV_DATA_SET_E</v>
      </c>
      <c r="CR40" s="56" t="str">
        <f t="shared" si="230"/>
        <v>DPV_DATA_SET_E</v>
      </c>
      <c r="CS40" s="56" t="str">
        <f t="shared" si="230"/>
        <v>DPV_ERROR_RESET_OR_NO_ERROR_E</v>
      </c>
      <c r="CT40" s="56" t="str">
        <f t="shared" si="230"/>
        <v>DPV_ERROR_RESET_OR_NO_ERROR_E</v>
      </c>
      <c r="CU40" s="56" t="str">
        <f t="shared" si="230"/>
        <v>DPV_ERROR_RESET_OR_NO_ERROR_E</v>
      </c>
      <c r="CV40" s="56" t="str">
        <f t="shared" ref="CV40:EZ41" si="231">IF(CV16="Not Received",CU40,CV16)</f>
        <v>DPV_ERROR_RESET_OR_NO_ERROR_E</v>
      </c>
      <c r="CW40" s="56" t="str">
        <f t="shared" si="231"/>
        <v>DPV_ERROR_RESET_OR_NO_ERROR_E</v>
      </c>
      <c r="CX40" s="56" t="str">
        <f t="shared" si="231"/>
        <v>DPV_ERROR_RESET_OR_NO_ERROR_E</v>
      </c>
      <c r="CY40" s="56" t="str">
        <f t="shared" si="231"/>
        <v>DPV_ERROR_RESET_OR_NO_ERROR_E</v>
      </c>
      <c r="CZ40" s="56" t="str">
        <f t="shared" si="231"/>
        <v>DPV_ERROR_RESET_OR_NO_ERROR_E</v>
      </c>
      <c r="DA40" s="56" t="str">
        <f t="shared" si="231"/>
        <v>DPV_ERROR_RESET_OR_NO_ERROR_E</v>
      </c>
      <c r="DB40" s="56" t="str">
        <f t="shared" si="231"/>
        <v>DPV_ERROR_RESET_OR_NO_ERROR_E</v>
      </c>
      <c r="DC40" s="56" t="str">
        <f t="shared" si="231"/>
        <v>DPV_ERROR_RESET_OR_NO_ERROR_E</v>
      </c>
      <c r="DD40" s="56" t="str">
        <f t="shared" si="231"/>
        <v>DPV_ERROR_RESET_OR_NO_ERROR_E</v>
      </c>
      <c r="DE40" s="56" t="str">
        <f t="shared" si="231"/>
        <v>DPV_ERROR_RESET_OR_NO_ERROR_E</v>
      </c>
      <c r="DF40" s="56" t="str">
        <f t="shared" si="231"/>
        <v>DPV_ERROR_RESET_OR_NO_ERROR_E</v>
      </c>
      <c r="DG40" s="56" t="str">
        <f t="shared" si="231"/>
        <v>DPV_ERROR_RESET_OR_NO_ERROR_E</v>
      </c>
      <c r="DH40" s="56" t="str">
        <f t="shared" si="231"/>
        <v>DPV_ERROR_RESET_OR_NO_ERROR_E</v>
      </c>
      <c r="DI40" s="56" t="str">
        <f t="shared" si="231"/>
        <v>DPV_ERROR_RESET_OR_NO_ERROR_E</v>
      </c>
      <c r="DJ40" s="56" t="str">
        <f t="shared" si="231"/>
        <v>DPV_ERROR_RESET_OR_NO_ERROR_E</v>
      </c>
      <c r="DK40" s="56" t="str">
        <f t="shared" si="231"/>
        <v>DPV_ERROR_RESET_OR_NO_ERROR_E</v>
      </c>
      <c r="DL40" s="56" t="str">
        <f t="shared" si="231"/>
        <v>DPV_ERROR_RESET_OR_NO_ERROR_E</v>
      </c>
      <c r="DM40" s="56" t="str">
        <f t="shared" si="231"/>
        <v>DPV_ERROR_RESET_OR_NO_ERROR_E</v>
      </c>
      <c r="DN40" s="56" t="str">
        <f t="shared" si="231"/>
        <v>DPV_ERROR_RESET_OR_NO_ERROR_E</v>
      </c>
      <c r="DO40" s="56" t="str">
        <f t="shared" si="231"/>
        <v>DPV_ERROR_RESET_OR_NO_ERROR_E</v>
      </c>
      <c r="DP40" s="56" t="str">
        <f t="shared" si="231"/>
        <v>DPV_ERROR_RESET_OR_NO_ERROR_E</v>
      </c>
      <c r="DQ40" s="56" t="str">
        <f t="shared" si="231"/>
        <v>DPV_ERROR_RESET_OR_NO_ERROR_E</v>
      </c>
      <c r="DR40" s="56" t="str">
        <f t="shared" si="231"/>
        <v>DPV_ERROR_RESET_OR_NO_ERROR_E</v>
      </c>
      <c r="DS40" s="56" t="str">
        <f t="shared" si="231"/>
        <v>DPV_ERROR_RESET_OR_NO_ERROR_E</v>
      </c>
      <c r="DT40" s="56" t="str">
        <f t="shared" si="231"/>
        <v>DPV_ERROR_RESET_OR_NO_ERROR_E</v>
      </c>
      <c r="DU40" s="56" t="str">
        <f t="shared" si="231"/>
        <v>DPV_ERROR_RESET_OR_NO_ERROR_E</v>
      </c>
      <c r="DV40" s="56" t="str">
        <f t="shared" si="231"/>
        <v>DPV_ERROR_RESET_OR_NO_ERROR_E</v>
      </c>
      <c r="DW40" s="56" t="str">
        <f t="shared" si="231"/>
        <v>DPV_ERROR_RESET_OR_NO_ERROR_E</v>
      </c>
      <c r="DX40" s="56" t="str">
        <f t="shared" si="231"/>
        <v>DPV_ERROR_RESET_OR_NO_ERROR_E</v>
      </c>
      <c r="DY40" s="56" t="str">
        <f t="shared" si="231"/>
        <v>DPV_ERROR_RESET_OR_NO_ERROR_E</v>
      </c>
      <c r="DZ40" s="56" t="str">
        <f t="shared" si="231"/>
        <v>DPV_ERROR_RESET_OR_NO_ERROR_E</v>
      </c>
      <c r="EA40" s="56" t="str">
        <f t="shared" si="231"/>
        <v>DPV_ERROR_RESET_OR_NO_ERROR_E</v>
      </c>
      <c r="EB40" s="56" t="str">
        <f t="shared" si="231"/>
        <v>DPV_ERROR_RESET_OR_NO_ERROR_E</v>
      </c>
      <c r="EC40" s="56" t="str">
        <f t="shared" si="231"/>
        <v>DPV_ERROR_RESET_OR_NO_ERROR_E</v>
      </c>
      <c r="ED40" s="56" t="str">
        <f t="shared" si="231"/>
        <v>DPV_ERROR_RESET_OR_NO_ERROR_E</v>
      </c>
      <c r="EE40" s="56" t="str">
        <f t="shared" si="231"/>
        <v>DPV_ERROR_RESET_OR_NO_ERROR_E</v>
      </c>
      <c r="EF40" s="56" t="str">
        <f t="shared" si="231"/>
        <v>DPV_ERROR_RESET_OR_NO_ERROR_E</v>
      </c>
      <c r="EG40" s="56" t="str">
        <f t="shared" si="231"/>
        <v>DPV_ERROR_RESET_OR_NO_ERROR_E</v>
      </c>
      <c r="EH40" s="56" t="str">
        <f t="shared" si="231"/>
        <v>DPV_ERROR_RESET_OR_NO_ERROR_E</v>
      </c>
      <c r="EI40" s="56" t="str">
        <f t="shared" si="231"/>
        <v>DPV_ERROR_RESET_OR_NO_ERROR_E</v>
      </c>
      <c r="EJ40" s="56" t="str">
        <f t="shared" si="231"/>
        <v>DPV_ERROR_RESET_OR_NO_ERROR_E</v>
      </c>
      <c r="EK40" s="56" t="str">
        <f t="shared" si="231"/>
        <v>DPV_ERROR_RESET_OR_NO_ERROR_E</v>
      </c>
      <c r="EL40" s="56" t="str">
        <f t="shared" si="231"/>
        <v>DPV_ERROR_RESET_OR_NO_ERROR_E</v>
      </c>
      <c r="EM40" s="56" t="str">
        <f t="shared" si="231"/>
        <v>DPV_ERROR_RESET_OR_NO_ERROR_E</v>
      </c>
      <c r="EN40" s="56" t="str">
        <f t="shared" si="231"/>
        <v>DPV_ERROR_RESET_OR_NO_ERROR_E</v>
      </c>
      <c r="EO40" s="56" t="str">
        <f t="shared" si="231"/>
        <v>DPV_ERROR_RESET_OR_NO_ERROR_E</v>
      </c>
      <c r="EP40" s="56" t="str">
        <f t="shared" si="231"/>
        <v>DPV_ERROR_RESET_OR_NO_ERROR_E</v>
      </c>
      <c r="EQ40" s="56" t="str">
        <f t="shared" si="231"/>
        <v>DPV_ERROR_RESET_OR_NO_ERROR_E</v>
      </c>
      <c r="ER40" s="56" t="str">
        <f t="shared" si="231"/>
        <v>DPV_ERROR_RESET_OR_NO_ERROR_E</v>
      </c>
      <c r="ES40" s="56" t="str">
        <f t="shared" si="231"/>
        <v>DPV_ERROR_RESET_OR_NO_ERROR_E</v>
      </c>
      <c r="ET40" s="56" t="str">
        <f t="shared" si="231"/>
        <v>DPV_ERROR_RESET_OR_NO_ERROR_E</v>
      </c>
      <c r="EU40" s="56" t="str">
        <f t="shared" si="231"/>
        <v>DPV_ERROR_RESET_OR_NO_ERROR_E</v>
      </c>
      <c r="EV40" s="56" t="str">
        <f t="shared" si="231"/>
        <v>DPV_ERROR_RESET_OR_NO_ERROR_E</v>
      </c>
      <c r="EW40" s="56" t="str">
        <f t="shared" si="231"/>
        <v>DPV_ERROR_RESET_OR_NO_ERROR_E</v>
      </c>
      <c r="EX40" s="56" t="str">
        <f t="shared" si="231"/>
        <v>DPV_ERROR_RESET_OR_NO_ERROR_E</v>
      </c>
      <c r="EY40" s="56" t="str">
        <f t="shared" si="231"/>
        <v>DPV_ERROR_RESET_OR_NO_ERROR_E</v>
      </c>
      <c r="EZ40" s="56" t="str">
        <f t="shared" si="231"/>
        <v>DPV_ERROR_RESET_OR_NO_ERROR_E</v>
      </c>
      <c r="FA40" s="56" t="str">
        <f t="shared" ref="FA40:HL41" si="232">IF(FA16="Not Received",EZ40,FA16)</f>
        <v>DPV_ERROR_RESET_OR_NO_ERROR_E</v>
      </c>
      <c r="FB40" s="56" t="str">
        <f t="shared" si="232"/>
        <v>DPV_ERROR_RESET_OR_NO_ERROR_E</v>
      </c>
      <c r="FC40" s="56" t="str">
        <f t="shared" si="232"/>
        <v>DPV_ERROR_RESET_OR_NO_ERROR_E</v>
      </c>
      <c r="FD40" s="56" t="str">
        <f t="shared" si="232"/>
        <v>DPV_ERROR_RESET_OR_NO_ERROR_E</v>
      </c>
      <c r="FE40" s="56" t="str">
        <f t="shared" si="232"/>
        <v>DPV_ERROR_RESET_OR_NO_ERROR_E</v>
      </c>
      <c r="FF40" s="56" t="str">
        <f t="shared" si="232"/>
        <v>DPV_ERROR_RESET_OR_NO_ERROR_E</v>
      </c>
      <c r="FG40" s="56" t="str">
        <f t="shared" si="232"/>
        <v>DPV_ERROR_RESET_OR_NO_ERROR_E</v>
      </c>
      <c r="FH40" s="56" t="str">
        <f t="shared" si="232"/>
        <v>DPV_ERROR_RESET_OR_NO_ERROR_E</v>
      </c>
      <c r="FI40" s="56" t="str">
        <f t="shared" si="232"/>
        <v>DPV_ERROR_RESET_OR_NO_ERROR_E</v>
      </c>
      <c r="FJ40" s="56" t="str">
        <f t="shared" si="232"/>
        <v>DPV_ERROR_RESET_OR_NO_ERROR_E</v>
      </c>
      <c r="FK40" s="56" t="str">
        <f t="shared" si="232"/>
        <v>DPV_ERROR_RESET_OR_NO_ERROR_E</v>
      </c>
      <c r="FL40" s="56" t="str">
        <f t="shared" si="232"/>
        <v>DPV_ERROR_RESET_OR_NO_ERROR_E</v>
      </c>
      <c r="FM40" s="56" t="str">
        <f t="shared" si="232"/>
        <v>DPV_ERROR_RESET_OR_NO_ERROR_E</v>
      </c>
      <c r="FN40" s="56" t="str">
        <f t="shared" si="232"/>
        <v>DPV_ERROR_RESET_OR_NO_ERROR_E</v>
      </c>
      <c r="FO40" s="56" t="str">
        <f t="shared" si="232"/>
        <v>DPV_ERROR_RESET_OR_NO_ERROR_E</v>
      </c>
      <c r="FP40" s="10" t="str">
        <f t="shared" si="232"/>
        <v>DPV_ERROR_RESET_OR_NO_ERROR_E</v>
      </c>
      <c r="FQ40" s="10" t="str">
        <f t="shared" si="232"/>
        <v>DPV_ERROR_RESET_OR_NO_ERROR_E</v>
      </c>
      <c r="FR40" s="10" t="str">
        <f t="shared" si="232"/>
        <v>DPV_ERROR_RESET_OR_NO_ERROR_E</v>
      </c>
      <c r="FS40" s="10" t="str">
        <f t="shared" si="232"/>
        <v>DPV_ERROR_RESET_OR_NO_ERROR_E</v>
      </c>
      <c r="FT40" s="10" t="str">
        <f t="shared" si="232"/>
        <v>DPV_ERROR_RESET_OR_NO_ERROR_E</v>
      </c>
      <c r="FU40" s="10" t="str">
        <f t="shared" si="232"/>
        <v>DPV_ERROR_RESET_OR_NO_ERROR_E</v>
      </c>
      <c r="FV40" s="10" t="str">
        <f t="shared" si="232"/>
        <v>DPV_ERROR_RESET_OR_NO_ERROR_E</v>
      </c>
      <c r="FW40" s="10" t="str">
        <f t="shared" si="232"/>
        <v>DPV_ERROR_RESET_OR_NO_ERROR_E</v>
      </c>
      <c r="FX40" s="10" t="str">
        <f t="shared" si="232"/>
        <v>DPV_ERROR_RESET_OR_NO_ERROR_E</v>
      </c>
      <c r="FY40" s="10" t="str">
        <f t="shared" si="232"/>
        <v>DPV_ERROR_RESET_OR_NO_ERROR_E</v>
      </c>
      <c r="FZ40" s="10" t="str">
        <f t="shared" si="232"/>
        <v>DPV_ERROR_RESET_OR_NO_ERROR_E</v>
      </c>
      <c r="GA40" s="10" t="str">
        <f t="shared" si="232"/>
        <v>DPV_ERROR_RESET_OR_NO_ERROR_E</v>
      </c>
      <c r="GB40" s="10" t="str">
        <f t="shared" si="232"/>
        <v>DPV_ERROR_RESET_OR_NO_ERROR_E</v>
      </c>
      <c r="GC40" s="10" t="str">
        <f t="shared" si="232"/>
        <v>DPV_ERROR_RESET_OR_NO_ERROR_E</v>
      </c>
      <c r="GD40" s="10" t="str">
        <f t="shared" si="232"/>
        <v>DPV_ERROR_RESET_OR_NO_ERROR_E</v>
      </c>
      <c r="GE40" s="10" t="str">
        <f t="shared" si="232"/>
        <v>DPV_ERROR_RESET_OR_NO_ERROR_E</v>
      </c>
      <c r="GF40" s="10" t="str">
        <f t="shared" si="232"/>
        <v>DPV_ERROR_RESET_OR_NO_ERROR_E</v>
      </c>
      <c r="GG40" s="10" t="str">
        <f t="shared" si="232"/>
        <v>DPV_ERROR_RESET_OR_NO_ERROR_E</v>
      </c>
      <c r="GH40" s="10" t="str">
        <f t="shared" si="232"/>
        <v>DPV_ERROR_RESET_OR_NO_ERROR_E</v>
      </c>
      <c r="GI40" s="10" t="str">
        <f t="shared" si="232"/>
        <v>DPV_ERROR_RESET_OR_NO_ERROR_E</v>
      </c>
      <c r="GJ40" s="10" t="str">
        <f t="shared" si="232"/>
        <v>DPV_ERROR_RESET_OR_NO_ERROR_E</v>
      </c>
      <c r="GK40" s="10" t="str">
        <f t="shared" si="232"/>
        <v>DPV_ERROR_RESET_OR_NO_ERROR_E</v>
      </c>
      <c r="GL40" s="10" t="str">
        <f t="shared" si="232"/>
        <v>DPV_ERROR_RESET_OR_NO_ERROR_E</v>
      </c>
      <c r="GM40" s="10" t="str">
        <f t="shared" si="232"/>
        <v>DPV_ERROR_RESET_OR_NO_ERROR_E</v>
      </c>
      <c r="GN40" s="10" t="str">
        <f t="shared" si="232"/>
        <v>DPV_ERROR_RESET_OR_NO_ERROR_E</v>
      </c>
      <c r="GO40" s="10" t="str">
        <f t="shared" si="232"/>
        <v>DPV_ERROR_RESET_OR_NO_ERROR_E</v>
      </c>
      <c r="GP40" s="10" t="str">
        <f t="shared" si="232"/>
        <v>DPV_ERROR_RESET_OR_NO_ERROR_E</v>
      </c>
      <c r="GQ40" s="10" t="str">
        <f t="shared" si="232"/>
        <v>DPV_ERROR_RESET_OR_NO_ERROR_E</v>
      </c>
      <c r="GR40" s="10" t="str">
        <f t="shared" si="232"/>
        <v>DPV_ERROR_RESET_OR_NO_ERROR_E</v>
      </c>
      <c r="GS40" s="10" t="str">
        <f t="shared" si="232"/>
        <v>DPV_ERROR_RESET_OR_NO_ERROR_E</v>
      </c>
      <c r="GT40" s="10" t="str">
        <f t="shared" si="232"/>
        <v>DPV_ERROR_RESET_OR_NO_ERROR_E</v>
      </c>
      <c r="GU40" s="10" t="str">
        <f t="shared" si="232"/>
        <v>DPV_ERROR_RESET_OR_NO_ERROR_E</v>
      </c>
      <c r="GV40" s="10" t="str">
        <f t="shared" si="232"/>
        <v>DPV_ERROR_RESET_OR_NO_ERROR_E</v>
      </c>
      <c r="GW40" s="10" t="str">
        <f t="shared" si="232"/>
        <v>DPV_ERROR_RESET_OR_NO_ERROR_E</v>
      </c>
      <c r="GX40" s="10" t="str">
        <f t="shared" si="232"/>
        <v>DPV_ERROR_RESET_OR_NO_ERROR_E</v>
      </c>
      <c r="GY40" s="10" t="str">
        <f t="shared" si="232"/>
        <v>DPV_ERROR_RESET_OR_NO_ERROR_E</v>
      </c>
      <c r="GZ40" s="10" t="str">
        <f t="shared" si="232"/>
        <v>DPV_ERROR_RESET_OR_NO_ERROR_E</v>
      </c>
      <c r="HA40" s="10" t="str">
        <f t="shared" si="232"/>
        <v>DPV_ERROR_RESET_OR_NO_ERROR_E</v>
      </c>
      <c r="HB40" s="10" t="str">
        <f t="shared" si="232"/>
        <v>DPV_ERROR_RESET_OR_NO_ERROR_E</v>
      </c>
      <c r="HC40" s="10" t="str">
        <f t="shared" si="232"/>
        <v>DPV_ERROR_RESET_OR_NO_ERROR_E</v>
      </c>
      <c r="HD40" s="10" t="str">
        <f t="shared" si="232"/>
        <v>DPV_ERROR_RESET_OR_NO_ERROR_E</v>
      </c>
      <c r="HE40" s="10" t="str">
        <f t="shared" si="232"/>
        <v>DPV_ERROR_RESET_OR_NO_ERROR_E</v>
      </c>
      <c r="HF40" s="10" t="str">
        <f t="shared" si="232"/>
        <v>DPV_ERROR_RESET_OR_NO_ERROR_E</v>
      </c>
      <c r="HG40" s="10" t="str">
        <f t="shared" si="232"/>
        <v>DPV_ERROR_RESET_OR_NO_ERROR_E</v>
      </c>
      <c r="HH40" s="10" t="str">
        <f t="shared" si="232"/>
        <v>DPV_ERROR_RESET_OR_NO_ERROR_E</v>
      </c>
      <c r="HI40" s="10" t="str">
        <f t="shared" si="232"/>
        <v>DPV_ERROR_RESET_OR_NO_ERROR_E</v>
      </c>
      <c r="HJ40" s="10" t="str">
        <f t="shared" si="232"/>
        <v>DPV_ERROR_RESET_OR_NO_ERROR_E</v>
      </c>
      <c r="HK40" s="10" t="str">
        <f t="shared" si="232"/>
        <v>DPV_ERROR_RESET_OR_NO_ERROR_E</v>
      </c>
      <c r="HL40" s="10" t="str">
        <f t="shared" si="232"/>
        <v>DPV_ERROR_RESET_OR_NO_ERROR_E</v>
      </c>
      <c r="HM40" s="10" t="str">
        <f t="shared" ref="HM40:IB41" si="233">IF(HM16="Not Received",HL40,HM16)</f>
        <v>DPV_ERROR_RESET_OR_NO_ERROR_E</v>
      </c>
      <c r="HN40" s="10" t="str">
        <f t="shared" si="233"/>
        <v>DPV_ERROR_RESET_OR_NO_ERROR_E</v>
      </c>
      <c r="HO40" s="10" t="str">
        <f t="shared" si="233"/>
        <v>DPV_ERROR_RESET_OR_NO_ERROR_E</v>
      </c>
      <c r="HP40" s="10" t="str">
        <f t="shared" si="233"/>
        <v>DPV_ERROR_RESET_OR_NO_ERROR_E</v>
      </c>
      <c r="HQ40" s="10" t="str">
        <f t="shared" si="233"/>
        <v>DPV_ERROR_RESET_OR_NO_ERROR_E</v>
      </c>
      <c r="HR40" s="10" t="str">
        <f t="shared" si="233"/>
        <v>DPV_ERROR_RESET_OR_NO_ERROR_E</v>
      </c>
      <c r="HS40" s="10" t="str">
        <f t="shared" si="233"/>
        <v>DPV_ERROR_RESET_OR_NO_ERROR_E</v>
      </c>
      <c r="HT40" s="10" t="str">
        <f t="shared" si="233"/>
        <v>DPV_ERROR_RESET_OR_NO_ERROR_E</v>
      </c>
      <c r="HU40" s="10" t="str">
        <f t="shared" si="233"/>
        <v>DPV_ERROR_RESET_OR_NO_ERROR_E</v>
      </c>
      <c r="HV40" s="10" t="str">
        <f t="shared" si="233"/>
        <v>DPV_ERROR_RESET_OR_NO_ERROR_E</v>
      </c>
      <c r="HW40" s="10" t="str">
        <f t="shared" si="233"/>
        <v>DPV_ERROR_RESET_OR_NO_ERROR_E</v>
      </c>
      <c r="HX40" s="10" t="str">
        <f t="shared" si="233"/>
        <v>DPV_ERROR_RESET_OR_NO_ERROR_E</v>
      </c>
      <c r="HY40" s="10" t="str">
        <f t="shared" si="233"/>
        <v>DPV_ERROR_RESET_OR_NO_ERROR_E</v>
      </c>
      <c r="HZ40" s="10" t="str">
        <f t="shared" si="233"/>
        <v>DPV_ERROR_RESET_OR_NO_ERROR_E</v>
      </c>
      <c r="IA40" s="10" t="str">
        <f t="shared" si="233"/>
        <v>DPV_ERROR_RESET_OR_NO_ERROR_E</v>
      </c>
      <c r="IB40" s="10" t="str">
        <f t="shared" si="233"/>
        <v>DPV_ERROR_RESET_OR_NO_ERROR_E</v>
      </c>
      <c r="IC40" s="10" t="str">
        <f t="shared" ref="IC40:JZ41" si="234">IF(IC16="Not Received",IB40,IC16)</f>
        <v>DPV_ERROR_RESET_OR_NO_ERROR_E</v>
      </c>
      <c r="ID40" s="10" t="str">
        <f t="shared" si="234"/>
        <v>DPV_ERROR_RESET_OR_NO_ERROR_E</v>
      </c>
      <c r="IE40" s="10" t="str">
        <f t="shared" si="234"/>
        <v>DPV_ERROR_RESET_OR_NO_ERROR_E</v>
      </c>
      <c r="IF40" s="10" t="str">
        <f t="shared" si="234"/>
        <v>DPV_ERROR_RESET_OR_NO_ERROR_E</v>
      </c>
      <c r="IG40" s="10" t="str">
        <f t="shared" si="234"/>
        <v>DPV_ERROR_RESET_OR_NO_ERROR_E</v>
      </c>
      <c r="IH40" s="10" t="str">
        <f t="shared" si="234"/>
        <v>DPV_ERROR_RESET_OR_NO_ERROR_E</v>
      </c>
      <c r="II40" s="10" t="str">
        <f t="shared" si="234"/>
        <v>DPV_ERROR_RESET_OR_NO_ERROR_E</v>
      </c>
      <c r="IJ40" s="10" t="str">
        <f t="shared" si="234"/>
        <v>DPV_ERROR_RESET_OR_NO_ERROR_E</v>
      </c>
      <c r="IK40" s="10" t="str">
        <f t="shared" si="234"/>
        <v>DPV_ERROR_RESET_OR_NO_ERROR_E</v>
      </c>
      <c r="IL40" s="10" t="str">
        <f t="shared" si="234"/>
        <v>DPV_ERROR_RESET_OR_NO_ERROR_E</v>
      </c>
      <c r="IM40" s="35" t="str">
        <f t="shared" si="234"/>
        <v>DPV_ERROR_RESET_OR_NO_ERROR_E</v>
      </c>
      <c r="IN40" s="35" t="str">
        <f t="shared" si="234"/>
        <v>DPV_ERROR_RESET_OR_NO_ERROR_E</v>
      </c>
      <c r="IO40" s="35" t="str">
        <f t="shared" si="234"/>
        <v>DPV_ERROR_RESET_OR_NO_ERROR_E</v>
      </c>
      <c r="IP40" s="10" t="str">
        <f t="shared" si="234"/>
        <v>DPV_ERROR_RESET_OR_NO_ERROR_E</v>
      </c>
      <c r="IQ40" s="30" t="str">
        <f>IF(IQ16="Not Received",#REF!,IQ16)</f>
        <v>DPV_ERROR_RESET_OR_NO_ERROR_E</v>
      </c>
      <c r="IR40" s="30" t="str">
        <f t="shared" si="234"/>
        <v>DPV_ERROR_RESET_OR_NO_ERROR_E</v>
      </c>
      <c r="IS40" s="30" t="str">
        <f t="shared" si="234"/>
        <v>DPV_ERROR_RESET_OR_NO_ERROR_E</v>
      </c>
      <c r="IT40" s="30" t="str">
        <f t="shared" si="234"/>
        <v>DPV_ERROR_RESET_OR_NO_ERROR_E</v>
      </c>
      <c r="IU40" s="30" t="str">
        <f t="shared" si="234"/>
        <v>DPV_ERROR_RESET_OR_NO_ERROR_E</v>
      </c>
      <c r="IV40" s="30" t="str">
        <f t="shared" si="234"/>
        <v>DPV_ERROR_RESET_OR_NO_ERROR_E</v>
      </c>
      <c r="IW40" s="30" t="str">
        <f t="shared" si="234"/>
        <v>DPV_ERROR_RESET_OR_NO_ERROR_E</v>
      </c>
      <c r="IX40" s="30" t="str">
        <f t="shared" si="234"/>
        <v>DPV_ERROR_RESET_OR_NO_ERROR_E</v>
      </c>
      <c r="IY40" s="30" t="str">
        <f t="shared" si="234"/>
        <v>DPV_ERROR_RESET_OR_NO_ERROR_E</v>
      </c>
      <c r="IZ40" s="30" t="str">
        <f t="shared" si="234"/>
        <v>DPV_ERROR_RESET_OR_NO_ERROR_E</v>
      </c>
      <c r="JA40" s="30" t="str">
        <f t="shared" si="234"/>
        <v>DPV_ERROR_RESET_OR_NO_ERROR_E</v>
      </c>
      <c r="JB40" s="30" t="str">
        <f t="shared" si="234"/>
        <v>DPV_ERROR_RESET_OR_NO_ERROR_E</v>
      </c>
      <c r="JC40" s="30" t="str">
        <f t="shared" si="234"/>
        <v>DPV_ERROR_RESET_OR_NO_ERROR_E</v>
      </c>
      <c r="JD40" s="30" t="str">
        <f t="shared" si="234"/>
        <v>DPV_ERROR_RESET_OR_NO_ERROR_E</v>
      </c>
      <c r="JE40" s="30" t="str">
        <f t="shared" si="234"/>
        <v>DPV_ERROR_RESET_OR_NO_ERROR_E</v>
      </c>
      <c r="JF40" s="30" t="str">
        <f t="shared" si="234"/>
        <v>DPV_ERROR_RESET_OR_NO_ERROR_E</v>
      </c>
      <c r="JG40" s="30" t="str">
        <f t="shared" si="234"/>
        <v>DPV_ERROR_RESET_OR_NO_ERROR_E</v>
      </c>
      <c r="JH40" s="30" t="str">
        <f t="shared" si="234"/>
        <v>DPV_ERROR_RESET_OR_NO_ERROR_E</v>
      </c>
      <c r="JI40" s="30" t="str">
        <f t="shared" si="234"/>
        <v>DPV_ERROR_RESET_OR_NO_ERROR_E</v>
      </c>
      <c r="JJ40" s="30" t="str">
        <f t="shared" si="234"/>
        <v>DPV_ERROR_RESET_OR_NO_ERROR_E</v>
      </c>
      <c r="JK40" s="30" t="str">
        <f t="shared" si="234"/>
        <v>DPV_ERROR_RESET_OR_NO_ERROR_E</v>
      </c>
      <c r="JL40" s="30" t="str">
        <f t="shared" si="234"/>
        <v>DPV_ERROR_RESET_OR_NO_ERROR_E</v>
      </c>
      <c r="JM40" s="30" t="str">
        <f t="shared" si="234"/>
        <v>DPV_ERROR_RESET_OR_NO_ERROR_E</v>
      </c>
      <c r="JN40" s="30" t="str">
        <f t="shared" si="234"/>
        <v>DPV_ERROR_RESET_OR_NO_ERROR_E</v>
      </c>
      <c r="JO40" s="30" t="str">
        <f t="shared" si="234"/>
        <v>DPV_ERROR_RESET_OR_NO_ERROR_E</v>
      </c>
      <c r="JP40" s="30" t="str">
        <f t="shared" si="234"/>
        <v>DPV_ERROR_RESET_OR_NO_ERROR_E</v>
      </c>
      <c r="JQ40" s="30" t="str">
        <f t="shared" si="234"/>
        <v>DPV_ERROR_RESET_OR_NO_ERROR_E</v>
      </c>
      <c r="JR40" s="30" t="str">
        <f t="shared" si="234"/>
        <v>DPV_ERROR_RESET_OR_NO_ERROR_E</v>
      </c>
      <c r="JS40" s="30" t="str">
        <f t="shared" si="234"/>
        <v>DPV_ERROR_RESET_OR_NO_ERROR_E</v>
      </c>
      <c r="JT40" s="30" t="str">
        <f t="shared" si="234"/>
        <v>DPV_ERROR_RESET_OR_NO_ERROR_E</v>
      </c>
      <c r="JU40" s="30" t="str">
        <f t="shared" si="234"/>
        <v>DPV_ERROR_RESET_OR_NO_ERROR_E</v>
      </c>
      <c r="JV40" s="30" t="str">
        <f t="shared" si="234"/>
        <v>DPV_ERROR_RESET_OR_NO_ERROR_E</v>
      </c>
      <c r="JW40" s="30" t="str">
        <f t="shared" si="234"/>
        <v>DPV_ERROR_RESET_OR_NO_ERROR_E</v>
      </c>
      <c r="JX40" s="30" t="str">
        <f t="shared" si="234"/>
        <v>DPV_ERROR_RESET_OR_NO_ERROR_E</v>
      </c>
      <c r="JY40" s="30" t="str">
        <f t="shared" si="234"/>
        <v>DPV_ERROR_RESET_OR_NO_ERROR_E</v>
      </c>
      <c r="JZ40" s="30" t="str">
        <f t="shared" si="234"/>
        <v>DPV_ERROR_RESET_OR_NO_ERROR_E</v>
      </c>
      <c r="KA40" s="30" t="str">
        <f t="shared" ref="KA40:ML41" si="235">IF(KA16="Not Received",JZ40,KA16)</f>
        <v>DPV_ERROR_RESET_OR_NO_ERROR_E</v>
      </c>
      <c r="KB40" s="30" t="str">
        <f t="shared" si="235"/>
        <v>DPV_ERROR_RESET_OR_NO_ERROR_E</v>
      </c>
      <c r="KC40" s="30" t="str">
        <f t="shared" si="235"/>
        <v>DPV_ERROR_RESET_OR_NO_ERROR_E</v>
      </c>
      <c r="KD40" s="30" t="str">
        <f t="shared" si="235"/>
        <v>DPV_ERROR_RESET_OR_NO_ERROR_E</v>
      </c>
      <c r="KE40" s="30" t="str">
        <f t="shared" si="235"/>
        <v>DPV_ERROR_RESET_OR_NO_ERROR_E</v>
      </c>
      <c r="KF40" s="30" t="str">
        <f t="shared" si="235"/>
        <v>DPV_ERROR_RESET_OR_NO_ERROR_E</v>
      </c>
      <c r="KG40" s="30" t="str">
        <f t="shared" si="235"/>
        <v>DPV_ERROR_RESET_OR_NO_ERROR_E</v>
      </c>
      <c r="KH40" s="30" t="str">
        <f t="shared" si="235"/>
        <v>DPV_ERROR_RESET_OR_NO_ERROR_E</v>
      </c>
      <c r="KI40" s="30" t="str">
        <f t="shared" si="235"/>
        <v>DPV_ERROR_RESET_OR_NO_ERROR_E</v>
      </c>
      <c r="KJ40" s="30" t="str">
        <f t="shared" si="235"/>
        <v>DPV_ERROR_RESET_OR_NO_ERROR_E</v>
      </c>
      <c r="KK40" s="30" t="str">
        <f t="shared" si="235"/>
        <v>DPV_ERROR_RESET_OR_NO_ERROR_E</v>
      </c>
      <c r="KL40" s="30" t="str">
        <f t="shared" si="235"/>
        <v>DPV_ERROR_RESET_OR_NO_ERROR_E</v>
      </c>
      <c r="KM40" s="30" t="str">
        <f t="shared" si="235"/>
        <v>DPV_ERROR_RESET_OR_NO_ERROR_E</v>
      </c>
      <c r="KN40" s="30" t="str">
        <f t="shared" si="235"/>
        <v>DPV_ERROR_RESET_OR_NO_ERROR_E</v>
      </c>
      <c r="KO40" s="30" t="str">
        <f t="shared" si="235"/>
        <v>DPV_ERROR_RESET_OR_NO_ERROR_E</v>
      </c>
      <c r="KP40" s="30" t="str">
        <f t="shared" si="235"/>
        <v>DPV_ERROR_RESET_OR_NO_ERROR_E</v>
      </c>
      <c r="KQ40" s="30" t="str">
        <f t="shared" si="235"/>
        <v>DPV_ERROR_RESET_OR_NO_ERROR_E</v>
      </c>
      <c r="KR40" s="30" t="str">
        <f t="shared" si="235"/>
        <v>DPV_ERROR_RESET_OR_NO_ERROR_E</v>
      </c>
      <c r="KS40" s="30" t="str">
        <f t="shared" si="235"/>
        <v>DPV_ERROR_RESET_OR_NO_ERROR_E</v>
      </c>
      <c r="KT40" s="30" t="str">
        <f t="shared" si="235"/>
        <v>DPV_ERROR_RESET_OR_NO_ERROR_E</v>
      </c>
      <c r="KU40" s="30" t="str">
        <f t="shared" si="235"/>
        <v>DPV_ERROR_RESET_OR_NO_ERROR_E</v>
      </c>
      <c r="KV40" s="30" t="str">
        <f t="shared" si="235"/>
        <v>DPV_ERROR_RESET_OR_NO_ERROR_E</v>
      </c>
      <c r="KW40" s="30" t="str">
        <f t="shared" si="235"/>
        <v>DPV_ERROR_RESET_OR_NO_ERROR_E</v>
      </c>
      <c r="KX40" s="30" t="str">
        <f t="shared" si="235"/>
        <v>DPV_ERROR_RESET_OR_NO_ERROR_E</v>
      </c>
      <c r="KY40" s="30" t="str">
        <f t="shared" si="235"/>
        <v>DPV_ERROR_RESET_OR_NO_ERROR_E</v>
      </c>
      <c r="KZ40" s="30" t="str">
        <f t="shared" si="235"/>
        <v>DPV_ERROR_RESET_OR_NO_ERROR_E</v>
      </c>
      <c r="LA40" s="30" t="str">
        <f t="shared" si="235"/>
        <v>DPV_ERROR_RESET_OR_NO_ERROR_E</v>
      </c>
      <c r="LB40" s="30" t="str">
        <f t="shared" si="235"/>
        <v>DPV_ERROR_RESET_OR_NO_ERROR_E</v>
      </c>
      <c r="LC40" s="30" t="str">
        <f t="shared" si="235"/>
        <v>DPV_ERROR_RESET_OR_NO_ERROR_E</v>
      </c>
      <c r="LD40" s="30" t="str">
        <f t="shared" si="235"/>
        <v>DPV_ERROR_RESET_OR_NO_ERROR_E</v>
      </c>
      <c r="LE40" s="30" t="str">
        <f t="shared" si="235"/>
        <v>DPV_ERROR_RESET_OR_NO_ERROR_E</v>
      </c>
      <c r="LF40" s="30" t="str">
        <f t="shared" si="235"/>
        <v>DPV_ERROR_RESET_OR_NO_ERROR_E</v>
      </c>
      <c r="LG40" s="30" t="str">
        <f t="shared" si="235"/>
        <v>DPV_ERROR_RESET_OR_NO_ERROR_E</v>
      </c>
      <c r="LH40" s="30" t="str">
        <f t="shared" si="235"/>
        <v>DPV_ERROR_RESET_OR_NO_ERROR_E</v>
      </c>
      <c r="LI40" s="30" t="str">
        <f t="shared" si="235"/>
        <v>DPV_ERROR_RESET_OR_NO_ERROR_E</v>
      </c>
      <c r="LJ40" s="30" t="str">
        <f t="shared" si="235"/>
        <v>DPV_ERROR_RESET_OR_NO_ERROR_E</v>
      </c>
      <c r="LK40" s="30" t="str">
        <f t="shared" si="235"/>
        <v>DPV_ERROR_RESET_OR_NO_ERROR_E</v>
      </c>
      <c r="LL40" s="30" t="str">
        <f t="shared" si="235"/>
        <v>DPV_ERROR_RESET_OR_NO_ERROR_E</v>
      </c>
      <c r="LM40" s="30" t="str">
        <f t="shared" si="235"/>
        <v>DPV_ERROR_RESET_OR_NO_ERROR_E</v>
      </c>
      <c r="LN40" s="30" t="str">
        <f t="shared" si="235"/>
        <v>DPV_ERROR_RESET_OR_NO_ERROR_E</v>
      </c>
      <c r="LO40" s="30" t="str">
        <f t="shared" si="235"/>
        <v>DPV_ERROR_RESET_OR_NO_ERROR_E</v>
      </c>
      <c r="LP40" s="30" t="str">
        <f t="shared" si="235"/>
        <v>DPV_ERROR_RESET_OR_NO_ERROR_E</v>
      </c>
      <c r="LQ40" s="30" t="str">
        <f t="shared" si="235"/>
        <v>DPV_ERROR_RESET_OR_NO_ERROR_E</v>
      </c>
      <c r="LR40" s="30" t="str">
        <f t="shared" si="235"/>
        <v>DPV_ERROR_RESET_OR_NO_ERROR_E</v>
      </c>
      <c r="LS40" s="30" t="str">
        <f t="shared" si="235"/>
        <v>DPV_ERROR_RESET_OR_NO_ERROR_E</v>
      </c>
      <c r="LT40" s="30" t="str">
        <f t="shared" si="235"/>
        <v>DPV_ERROR_RESET_OR_NO_ERROR_E</v>
      </c>
      <c r="LU40" s="30" t="str">
        <f t="shared" si="235"/>
        <v>DPV_ERROR_RESET_OR_NO_ERROR_E</v>
      </c>
      <c r="LV40" s="30" t="str">
        <f t="shared" si="235"/>
        <v>DPV_ERROR_RESET_OR_NO_ERROR_E</v>
      </c>
      <c r="LW40" s="30" t="str">
        <f t="shared" si="235"/>
        <v>DPV_ERROR_RESET_OR_NO_ERROR_E</v>
      </c>
      <c r="LX40" s="30" t="str">
        <f t="shared" si="235"/>
        <v>DPV_ERROR_RESET_OR_NO_ERROR_E</v>
      </c>
      <c r="LY40" s="30" t="str">
        <f t="shared" si="235"/>
        <v>DPV_ERROR_RESET_OR_NO_ERROR_E</v>
      </c>
      <c r="LZ40" s="30" t="str">
        <f t="shared" si="235"/>
        <v>DPV_ERROR_RESET_OR_NO_ERROR_E</v>
      </c>
      <c r="MA40" s="30" t="str">
        <f t="shared" si="235"/>
        <v>DPV_ERROR_RESET_OR_NO_ERROR_E</v>
      </c>
      <c r="MB40" s="30" t="str">
        <f t="shared" si="235"/>
        <v>DPV_ERROR_RESET_OR_NO_ERROR_E</v>
      </c>
      <c r="MC40" s="12" t="str">
        <f t="shared" si="235"/>
        <v>DPV_ERROR_RESET_OR_NO_ERROR_E</v>
      </c>
      <c r="MD40" s="12" t="str">
        <f t="shared" si="235"/>
        <v>DPV_ERROR_RESET_OR_NO_ERROR_E</v>
      </c>
      <c r="ME40" s="12" t="str">
        <f t="shared" si="235"/>
        <v>DPV_ERROR_RESET_OR_NO_ERROR_E</v>
      </c>
      <c r="MF40" s="12" t="str">
        <f t="shared" si="235"/>
        <v>DPV_ERROR_RESET_OR_NO_ERROR_E</v>
      </c>
      <c r="MG40" s="12" t="str">
        <f t="shared" si="235"/>
        <v>DPV_ERROR_RESET_OR_NO_ERROR_E</v>
      </c>
      <c r="MH40" s="12" t="str">
        <f t="shared" si="235"/>
        <v>DPV_ERROR_RESET_OR_NO_ERROR_E</v>
      </c>
      <c r="MI40" s="12" t="str">
        <f t="shared" si="235"/>
        <v>DPV_ERROR_RESET_OR_NO_ERROR_E</v>
      </c>
      <c r="MJ40" s="12" t="str">
        <f t="shared" si="235"/>
        <v>DPV_ERROR_RESET_OR_NO_ERROR_E</v>
      </c>
      <c r="MK40" s="12" t="str">
        <f t="shared" si="235"/>
        <v>DPV_ERROR_RESET_OR_NO_ERROR_E</v>
      </c>
      <c r="ML40" s="12" t="str">
        <f t="shared" si="235"/>
        <v>DPV_ERROR_RESET_OR_NO_ERROR_E</v>
      </c>
      <c r="MM40" s="12"/>
      <c r="MN40" s="12"/>
    </row>
    <row r="41" spans="1:352" ht="23.25" customHeight="1" x14ac:dyDescent="0.25">
      <c r="A41" s="3" t="s">
        <v>3</v>
      </c>
      <c r="B41" s="3" t="s">
        <v>49</v>
      </c>
      <c r="C41" s="34"/>
      <c r="D41" s="34" t="str">
        <f>IF(D17="Not Received",C41,D17)</f>
        <v>DPV_REGISTER_NO_ERROR_E</v>
      </c>
      <c r="E41" s="34" t="str">
        <f t="shared" ref="E41:BQ41" si="236">IF(E17="Not Received",D41,E17)</f>
        <v>DPV_REGISTER_NO_ERROR_E</v>
      </c>
      <c r="F41" s="34" t="str">
        <f t="shared" si="236"/>
        <v>DPV_REGISTER_NO_ERROR_E</v>
      </c>
      <c r="G41" s="34" t="str">
        <f t="shared" si="236"/>
        <v>DPV_REGISTER_NO_ERROR_E</v>
      </c>
      <c r="H41" s="34" t="str">
        <f t="shared" si="236"/>
        <v>DPV_REGISTER_NO_ERROR_E</v>
      </c>
      <c r="I41" s="34" t="str">
        <f t="shared" si="236"/>
        <v>DPV_REGISTER_NO_ERROR_E</v>
      </c>
      <c r="J41" s="34" t="str">
        <f t="shared" si="236"/>
        <v>DPV_REGISTER_NO_ERROR_E</v>
      </c>
      <c r="K41" s="34" t="str">
        <f t="shared" si="236"/>
        <v>DPV_REGISTER_NO_ERROR_E</v>
      </c>
      <c r="L41" s="34" t="str">
        <f t="shared" si="236"/>
        <v>DPV_REGISTER_NO_ERROR_E</v>
      </c>
      <c r="M41" s="34" t="str">
        <f t="shared" si="236"/>
        <v>DPV_REGISTER_NO_ERROR_E</v>
      </c>
      <c r="N41" s="34" t="str">
        <f t="shared" si="236"/>
        <v>DPV_REGISTER_NO_ERROR_E</v>
      </c>
      <c r="O41" s="34" t="str">
        <f t="shared" si="236"/>
        <v>DPV_REGISTER_NO_ERROR_E</v>
      </c>
      <c r="P41" s="34" t="str">
        <f t="shared" si="236"/>
        <v>DPV_REGISTER_NO_ERROR_E</v>
      </c>
      <c r="Q41" s="34" t="str">
        <f t="shared" si="236"/>
        <v>DPV_REGISTER_NO_ERROR_E</v>
      </c>
      <c r="R41" s="34" t="str">
        <f t="shared" si="236"/>
        <v>DPV_REGISTER_NO_ERROR_E</v>
      </c>
      <c r="S41" s="34" t="str">
        <f t="shared" si="236"/>
        <v>DPV_REGISTER_NO_ERROR_E</v>
      </c>
      <c r="T41" s="34" t="str">
        <f t="shared" si="236"/>
        <v>DPV_REGISTER_NO_ERROR_E</v>
      </c>
      <c r="U41" s="34" t="str">
        <f t="shared" si="236"/>
        <v>DPV_REGISTER_NO_ERROR_E</v>
      </c>
      <c r="V41" s="34" t="str">
        <f t="shared" si="236"/>
        <v>DPV_REGISTER_NO_ERROR_E</v>
      </c>
      <c r="W41" s="34" t="str">
        <f t="shared" si="236"/>
        <v>DPV_REGISTER_NO_ERROR_E</v>
      </c>
      <c r="X41" s="34" t="str">
        <f t="shared" si="236"/>
        <v>DPV_REGISTER_NO_ERROR_E</v>
      </c>
      <c r="Y41" s="34" t="str">
        <f t="shared" si="236"/>
        <v>DPV_REGISTER_NO_ERROR_E</v>
      </c>
      <c r="Z41" s="34" t="str">
        <f t="shared" si="236"/>
        <v>DPV_REGISTER_NO_ERROR_E</v>
      </c>
      <c r="AA41" s="34" t="str">
        <f t="shared" si="236"/>
        <v>DPV_REGISTER_NO_ERROR_E</v>
      </c>
      <c r="AB41" s="34" t="str">
        <f t="shared" si="236"/>
        <v>DPV_REGISTER_NO_ERROR_E</v>
      </c>
      <c r="AC41" s="34" t="str">
        <f t="shared" si="236"/>
        <v>DPV_REGISTER_NO_ERROR_E</v>
      </c>
      <c r="AD41" s="34" t="str">
        <f t="shared" si="236"/>
        <v>DPV_REGISTER_NO_ERROR_E</v>
      </c>
      <c r="AE41" s="34" t="str">
        <f t="shared" si="236"/>
        <v>DPV_REGISTER_NO_ERROR_E</v>
      </c>
      <c r="AF41" s="34" t="str">
        <f t="shared" si="236"/>
        <v>DPV_REGISTER_NO_ERROR_E</v>
      </c>
      <c r="AG41" s="34" t="str">
        <f t="shared" si="236"/>
        <v>DPV_REGISTER_NO_ERROR_E</v>
      </c>
      <c r="AH41" s="34" t="str">
        <f t="shared" si="236"/>
        <v>DPV_REGISTER_NO_ERROR_E</v>
      </c>
      <c r="AI41" s="34" t="str">
        <f t="shared" si="236"/>
        <v>DPV_REGISTER_NO_ERROR_E</v>
      </c>
      <c r="AJ41" s="34" t="str">
        <f t="shared" si="236"/>
        <v>DPV_REGISTER_NO_ERROR_E</v>
      </c>
      <c r="AK41" s="34" t="str">
        <f t="shared" si="236"/>
        <v>DPV_REGISTER_NO_ERROR_E</v>
      </c>
      <c r="AL41" s="34" t="str">
        <f t="shared" si="236"/>
        <v>DPV_REGISTER_NO_ERROR_E</v>
      </c>
      <c r="AM41" s="34" t="str">
        <f t="shared" si="236"/>
        <v>DPV_REGISTER_NO_ERROR_E</v>
      </c>
      <c r="AN41" s="34" t="str">
        <f t="shared" si="236"/>
        <v>DPV_REGISTER_NO_ERROR_E</v>
      </c>
      <c r="AO41" s="34" t="str">
        <f t="shared" si="236"/>
        <v>DPV_REGISTER_NO_ERROR_E</v>
      </c>
      <c r="AP41" s="34" t="str">
        <f t="shared" si="236"/>
        <v>DPV_REGISTER_NO_ERROR_E</v>
      </c>
      <c r="AQ41" s="34" t="str">
        <f t="shared" si="236"/>
        <v>DPV_REGISTER_NO_ERROR_E</v>
      </c>
      <c r="AR41" s="34" t="str">
        <f t="shared" si="236"/>
        <v>DPV_REGISTER_NO_ERROR_E</v>
      </c>
      <c r="AS41" s="34" t="str">
        <f t="shared" si="236"/>
        <v>DPV_REGISTER_NO_ERROR_E</v>
      </c>
      <c r="AT41" s="34" t="str">
        <f t="shared" si="236"/>
        <v>DPV_REGISTER_NO_ERROR_E</v>
      </c>
      <c r="AU41" s="34" t="str">
        <f t="shared" si="236"/>
        <v>DPV_REGISTER_NO_ERROR_E</v>
      </c>
      <c r="AV41" s="34" t="str">
        <f t="shared" si="236"/>
        <v>DPV_REGISTER_NO_ERROR_E</v>
      </c>
      <c r="AW41" s="34" t="str">
        <f t="shared" si="236"/>
        <v>DPV_REGISTER_NO_ERROR_E</v>
      </c>
      <c r="AX41" s="34" t="str">
        <f t="shared" si="236"/>
        <v>DPV_REGISTER_NO_ERROR_E</v>
      </c>
      <c r="AY41" s="34" t="str">
        <f t="shared" si="236"/>
        <v>DPV_REGISTER_NO_ERROR_E</v>
      </c>
      <c r="AZ41" s="34" t="str">
        <f t="shared" si="236"/>
        <v>DPV_REGISTER_NO_ERROR_E</v>
      </c>
      <c r="BA41" s="34" t="str">
        <f t="shared" si="236"/>
        <v>DPV_REGISTER_NO_ERROR_E</v>
      </c>
      <c r="BB41" s="34" t="str">
        <f t="shared" si="236"/>
        <v>DPV_REGISTER_NO_ERROR_E</v>
      </c>
      <c r="BC41" s="34" t="str">
        <f t="shared" si="236"/>
        <v>DPV_REGISTER_NO_ERROR_E</v>
      </c>
      <c r="BD41" s="34" t="str">
        <f t="shared" si="236"/>
        <v>DPV_REGISTER_NO_ERROR_E</v>
      </c>
      <c r="BE41" s="34" t="str">
        <f t="shared" si="236"/>
        <v>DPV_REGISTER_NO_ERROR_E</v>
      </c>
      <c r="BF41" s="34" t="str">
        <f t="shared" si="236"/>
        <v>DPV_REGISTER_NO_ERROR_E</v>
      </c>
      <c r="BG41" s="34" t="str">
        <f t="shared" si="236"/>
        <v>DPV_REGISTER_NO_ERROR_E</v>
      </c>
      <c r="BH41" s="34" t="str">
        <f t="shared" si="236"/>
        <v>DPV_REGISTER_NO_ERROR_E</v>
      </c>
      <c r="BI41" s="34" t="str">
        <f t="shared" si="236"/>
        <v>DPV_REGISTER_NO_ERROR_E</v>
      </c>
      <c r="BJ41" s="34" t="str">
        <f t="shared" si="236"/>
        <v>DPV_REGISTER_NO_ERROR_E</v>
      </c>
      <c r="BK41" s="34" t="str">
        <f t="shared" si="236"/>
        <v>DPV_REGISTER_NO_ERROR_E</v>
      </c>
      <c r="BL41" s="34" t="str">
        <f t="shared" si="236"/>
        <v>DPV_REGISTER_NO_ERROR_E</v>
      </c>
      <c r="BM41" s="34" t="str">
        <f t="shared" si="236"/>
        <v>DPV_REGISTER_NO_ERROR_E</v>
      </c>
      <c r="BN41" s="34" t="str">
        <f t="shared" si="236"/>
        <v>DPV_REGISTER_NO_ERROR_E</v>
      </c>
      <c r="BO41" s="34" t="str">
        <f t="shared" si="236"/>
        <v>DPV_REGISTER_NO_ERROR_E</v>
      </c>
      <c r="BP41" s="34" t="str">
        <f t="shared" si="236"/>
        <v>DPV_REGISTER_NO_ERROR_E</v>
      </c>
      <c r="BQ41" s="42" t="str">
        <f t="shared" si="236"/>
        <v>DPV_REGISTER_NO_ERROR_E</v>
      </c>
      <c r="BR41" s="42" t="str">
        <f t="shared" si="228"/>
        <v>DPV_REGISTER_NO_ERROR_E</v>
      </c>
      <c r="BS41" s="42" t="str">
        <f t="shared" si="229"/>
        <v>DPV_REGISTER_NO_ERROR_E</v>
      </c>
      <c r="BT41" s="10" t="str">
        <f t="shared" si="230"/>
        <v>DPV_REGISTER_NO_ERROR_E</v>
      </c>
      <c r="BU41" s="10" t="str">
        <f t="shared" si="230"/>
        <v>DPV_REGISTER_NO_ERROR_E</v>
      </c>
      <c r="BV41" s="10" t="str">
        <f t="shared" si="230"/>
        <v>DPV_REGISTER_NO_ERROR_E</v>
      </c>
      <c r="BW41" s="35" t="str">
        <f t="shared" si="230"/>
        <v>DPV_REGISTER_NO_ERROR_E</v>
      </c>
      <c r="BX41" s="10" t="str">
        <f t="shared" si="230"/>
        <v>DPV_REGISTER_NO_ERROR_E</v>
      </c>
      <c r="BY41" s="10" t="str">
        <f t="shared" si="230"/>
        <v>DPV_REGISTER_NO_ERROR_E</v>
      </c>
      <c r="BZ41" s="10" t="str">
        <f t="shared" si="230"/>
        <v>DPV_REGISTER_NO_ERROR_E</v>
      </c>
      <c r="CA41" s="10" t="str">
        <f t="shared" si="230"/>
        <v>DPV_REGISTER_NO_ERROR_E</v>
      </c>
      <c r="CB41" s="10" t="str">
        <f t="shared" si="230"/>
        <v>DPV_REGISTER_NO_ERROR_E</v>
      </c>
      <c r="CC41" s="10" t="str">
        <f t="shared" si="230"/>
        <v>DPV_DATA_SET_ERROR_E</v>
      </c>
      <c r="CD41" s="10" t="str">
        <f t="shared" si="230"/>
        <v>DPV_DEVICE_HW_AND_OR_DATA_SET_E</v>
      </c>
      <c r="CE41" s="10" t="str">
        <f t="shared" si="230"/>
        <v>DPV_REGISTER_NO_ERROR_E</v>
      </c>
      <c r="CF41" s="56" t="str">
        <f t="shared" si="230"/>
        <v>DPV_REGISTER_NO_ERROR_E</v>
      </c>
      <c r="CG41" s="56" t="str">
        <f t="shared" si="230"/>
        <v>DPV_REGISTER_NO_ERROR_E</v>
      </c>
      <c r="CH41" s="56" t="str">
        <f t="shared" si="230"/>
        <v>DPV_REGISTER_NO_ERROR_E</v>
      </c>
      <c r="CI41" s="56" t="str">
        <f t="shared" si="230"/>
        <v>DPV_REGISTER_NO_ERROR_E</v>
      </c>
      <c r="CJ41" s="56" t="str">
        <f t="shared" si="230"/>
        <v>DPV_REGISTER_NO_ERROR_E</v>
      </c>
      <c r="CK41" s="56" t="str">
        <f t="shared" si="230"/>
        <v>DPV_REGISTER_NO_ERROR_E</v>
      </c>
      <c r="CL41" s="56" t="str">
        <f t="shared" si="230"/>
        <v>DPV_REGISTER_NO_ERROR_E</v>
      </c>
      <c r="CM41" s="56" t="str">
        <f>IF(CM17="Not Received",CL41,CM17)</f>
        <v>DPV_REGISTER_NO_ERROR_E</v>
      </c>
      <c r="CN41" s="56" t="str">
        <f t="shared" si="230"/>
        <v>DPV_REGISTER_NO_ERROR_E</v>
      </c>
      <c r="CO41" s="56" t="str">
        <f t="shared" si="230"/>
        <v>DPV_REGISTER_NO_ERROR_E</v>
      </c>
      <c r="CP41" s="56" t="str">
        <f t="shared" si="230"/>
        <v>DPV_REGISTER_NO_ERROR_E</v>
      </c>
      <c r="CQ41" s="56" t="str">
        <f t="shared" si="230"/>
        <v>DPV_REGISTER_NO_ERROR_E</v>
      </c>
      <c r="CR41" s="56" t="str">
        <f t="shared" si="230"/>
        <v>DPV_REGISTER_NO_ERROR_E</v>
      </c>
      <c r="CS41" s="56" t="str">
        <f t="shared" si="230"/>
        <v>DPV_REGISTER_NO_ERROR_E</v>
      </c>
      <c r="CT41" s="56" t="str">
        <f t="shared" si="230"/>
        <v>DPV_REGISTER_NO_ERROR_E</v>
      </c>
      <c r="CU41" s="56" t="str">
        <f t="shared" si="230"/>
        <v>DPV_REGISTER_NO_ERROR_E</v>
      </c>
      <c r="CV41" s="56" t="str">
        <f t="shared" si="231"/>
        <v>DPV_REGISTER_NO_ERROR_E</v>
      </c>
      <c r="CW41" s="56" t="str">
        <f t="shared" si="231"/>
        <v>DPV_REGISTER_NO_ERROR_E</v>
      </c>
      <c r="CX41" s="56" t="str">
        <f t="shared" si="231"/>
        <v>DPV_REGISTER_NO_ERROR_E</v>
      </c>
      <c r="CY41" s="56" t="str">
        <f t="shared" si="231"/>
        <v>DPV_REGISTER_NO_ERROR_E</v>
      </c>
      <c r="CZ41" s="56" t="str">
        <f t="shared" si="231"/>
        <v>DPV_REGISTER_NO_ERROR_E</v>
      </c>
      <c r="DA41" s="56" t="str">
        <f t="shared" si="231"/>
        <v>DPV_REGISTER_NO_ERROR_E</v>
      </c>
      <c r="DB41" s="56" t="str">
        <f t="shared" si="231"/>
        <v>DPV_REGISTER_NO_ERROR_E</v>
      </c>
      <c r="DC41" s="56" t="str">
        <f t="shared" si="231"/>
        <v>DPV_REGISTER_NO_ERROR_E</v>
      </c>
      <c r="DD41" s="56" t="str">
        <f t="shared" si="231"/>
        <v>DPV_REGISTER_NO_ERROR_E</v>
      </c>
      <c r="DE41" s="56" t="str">
        <f t="shared" si="231"/>
        <v>DPV_REGISTER_NO_ERROR_E</v>
      </c>
      <c r="DF41" s="56" t="str">
        <f t="shared" si="231"/>
        <v>DPV_REGISTER_NO_ERROR_E</v>
      </c>
      <c r="DG41" s="56" t="str">
        <f t="shared" si="231"/>
        <v>DPV_REGISTER_NO_ERROR_E</v>
      </c>
      <c r="DH41" s="56" t="str">
        <f t="shared" si="231"/>
        <v>DPV_REGISTER_NO_ERROR_E</v>
      </c>
      <c r="DI41" s="56" t="str">
        <f t="shared" si="231"/>
        <v>DPV_REGISTER_NO_ERROR_E</v>
      </c>
      <c r="DJ41" s="56" t="str">
        <f t="shared" si="231"/>
        <v>DPV_REGISTER_NO_ERROR_E</v>
      </c>
      <c r="DK41" s="56" t="str">
        <f t="shared" si="231"/>
        <v>DPV_REGISTER_NO_ERROR_E</v>
      </c>
      <c r="DL41" s="56" t="str">
        <f t="shared" si="231"/>
        <v>DPV_REGISTER_NO_ERROR_E</v>
      </c>
      <c r="DM41" s="56" t="str">
        <f t="shared" si="231"/>
        <v>DPV_REGISTER_NO_ERROR_E</v>
      </c>
      <c r="DN41" s="56" t="str">
        <f t="shared" si="231"/>
        <v>DPV_REGISTER_NO_ERROR_E</v>
      </c>
      <c r="DO41" s="56" t="str">
        <f t="shared" si="231"/>
        <v>DPV_REGISTER_NO_ERROR_E</v>
      </c>
      <c r="DP41" s="56" t="str">
        <f t="shared" si="231"/>
        <v>DPV_REGISTER_NO_ERROR_E</v>
      </c>
      <c r="DQ41" s="56" t="str">
        <f t="shared" si="231"/>
        <v>DPV_REGISTER_NO_ERROR_E</v>
      </c>
      <c r="DR41" s="56" t="str">
        <f t="shared" si="231"/>
        <v>DPV_REGISTER_NO_ERROR_E</v>
      </c>
      <c r="DS41" s="56" t="str">
        <f t="shared" si="231"/>
        <v>DPV_REGISTER_NO_ERROR_E</v>
      </c>
      <c r="DT41" s="56" t="str">
        <f t="shared" si="231"/>
        <v>DPV_REGISTER_NO_ERROR_E</v>
      </c>
      <c r="DU41" s="56" t="str">
        <f t="shared" si="231"/>
        <v>DPV_REGISTER_NO_ERROR_E</v>
      </c>
      <c r="DV41" s="56" t="str">
        <f t="shared" si="231"/>
        <v>DPV_REGISTER_NO_ERROR_E</v>
      </c>
      <c r="DW41" s="56" t="str">
        <f t="shared" si="231"/>
        <v>DPV_REGISTER_NO_ERROR_E</v>
      </c>
      <c r="DX41" s="56" t="str">
        <f t="shared" si="231"/>
        <v>DPV_REGISTER_NO_ERROR_E</v>
      </c>
      <c r="DY41" s="56" t="str">
        <f t="shared" si="231"/>
        <v>DPV_REGISTER_NO_ERROR_E</v>
      </c>
      <c r="DZ41" s="56" t="str">
        <f t="shared" si="231"/>
        <v>DPV_REGISTER_NO_ERROR_E</v>
      </c>
      <c r="EA41" s="56" t="str">
        <f t="shared" si="231"/>
        <v>DPV_REGISTER_NO_ERROR_E</v>
      </c>
      <c r="EB41" s="56" t="str">
        <f t="shared" si="231"/>
        <v>DPV_REGISTER_NO_ERROR_E</v>
      </c>
      <c r="EC41" s="56" t="str">
        <f t="shared" si="231"/>
        <v>DPV_REGISTER_NO_ERROR_E</v>
      </c>
      <c r="ED41" s="56" t="str">
        <f t="shared" si="231"/>
        <v>DPV_REGISTER_NO_ERROR_E</v>
      </c>
      <c r="EE41" s="56" t="str">
        <f t="shared" si="231"/>
        <v>DPV_REGISTER_NO_ERROR_E</v>
      </c>
      <c r="EF41" s="56" t="str">
        <f t="shared" si="231"/>
        <v>DPV_REGISTER_NO_ERROR_E</v>
      </c>
      <c r="EG41" s="56" t="str">
        <f t="shared" si="231"/>
        <v>DPV_REGISTER_NO_ERROR_E</v>
      </c>
      <c r="EH41" s="56" t="str">
        <f t="shared" si="231"/>
        <v>DPV_REGISTER_NO_ERROR_E</v>
      </c>
      <c r="EI41" s="56" t="str">
        <f t="shared" si="231"/>
        <v>DPV_REGISTER_NO_ERROR_E</v>
      </c>
      <c r="EJ41" s="56" t="str">
        <f t="shared" si="231"/>
        <v>DPV_REGISTER_NO_ERROR_E</v>
      </c>
      <c r="EK41" s="56" t="str">
        <f t="shared" si="231"/>
        <v>DPV_REGISTER_NO_ERROR_E</v>
      </c>
      <c r="EL41" s="56" t="str">
        <f t="shared" si="231"/>
        <v>DPV_REGISTER_NO_ERROR_E</v>
      </c>
      <c r="EM41" s="56" t="str">
        <f t="shared" si="231"/>
        <v>DPV_REGISTER_NO_ERROR_E</v>
      </c>
      <c r="EN41" s="56" t="str">
        <f t="shared" si="231"/>
        <v>DPV_REGISTER_NO_ERROR_E</v>
      </c>
      <c r="EO41" s="56" t="str">
        <f t="shared" si="231"/>
        <v>DPV_REGISTER_NO_ERROR_E</v>
      </c>
      <c r="EP41" s="56" t="str">
        <f t="shared" si="231"/>
        <v>DPV_REGISTER_NO_ERROR_E</v>
      </c>
      <c r="EQ41" s="56" t="str">
        <f t="shared" si="231"/>
        <v>DPV_REGISTER_NO_ERROR_E</v>
      </c>
      <c r="ER41" s="56" t="str">
        <f t="shared" si="231"/>
        <v>DPV_REGISTER_NO_ERROR_E</v>
      </c>
      <c r="ES41" s="56" t="str">
        <f t="shared" si="231"/>
        <v>DPV_REGISTER_NO_ERROR_E</v>
      </c>
      <c r="ET41" s="56" t="str">
        <f t="shared" si="231"/>
        <v>DPV_REGISTER_NO_ERROR_E</v>
      </c>
      <c r="EU41" s="56" t="str">
        <f t="shared" si="231"/>
        <v>DPV_REGISTER_NO_ERROR_E</v>
      </c>
      <c r="EV41" s="56" t="str">
        <f t="shared" si="231"/>
        <v>DPV_REGISTER_NO_ERROR_E</v>
      </c>
      <c r="EW41" s="56" t="str">
        <f t="shared" si="231"/>
        <v>DPV_REGISTER_NO_ERROR_E</v>
      </c>
      <c r="EX41" s="56" t="str">
        <f t="shared" si="231"/>
        <v>DPV_REGISTER_NO_ERROR_E</v>
      </c>
      <c r="EY41" s="56" t="str">
        <f t="shared" si="231"/>
        <v>DPV_REGISTER_NO_ERROR_E</v>
      </c>
      <c r="EZ41" s="56" t="str">
        <f t="shared" si="231"/>
        <v>DPV_REGISTER_NO_ERROR_E</v>
      </c>
      <c r="FA41" s="56" t="str">
        <f t="shared" si="232"/>
        <v>DPV_REGISTER_NO_ERROR_E</v>
      </c>
      <c r="FB41" s="56" t="str">
        <f t="shared" si="232"/>
        <v>DPV_REGISTER_NO_ERROR_E</v>
      </c>
      <c r="FC41" s="56" t="str">
        <f t="shared" si="232"/>
        <v>DPV_REGISTER_NO_ERROR_E</v>
      </c>
      <c r="FD41" s="56" t="str">
        <f t="shared" si="232"/>
        <v>DPV_REGISTER_NO_ERROR_E</v>
      </c>
      <c r="FE41" s="56" t="str">
        <f t="shared" si="232"/>
        <v>DPV_REGISTER_NO_ERROR_E</v>
      </c>
      <c r="FF41" s="56" t="str">
        <f t="shared" si="232"/>
        <v>DPV_REGISTER_NO_ERROR_E</v>
      </c>
      <c r="FG41" s="56" t="str">
        <f t="shared" si="232"/>
        <v>DPV_REGISTER_NO_ERROR_E</v>
      </c>
      <c r="FH41" s="56" t="str">
        <f t="shared" si="232"/>
        <v>DPV_REGISTER_NO_ERROR_E</v>
      </c>
      <c r="FI41" s="56" t="str">
        <f t="shared" si="232"/>
        <v>DPV_REGISTER_NO_ERROR_E</v>
      </c>
      <c r="FJ41" s="56" t="str">
        <f t="shared" si="232"/>
        <v>DPV_REGISTER_NO_ERROR_E</v>
      </c>
      <c r="FK41" s="56" t="str">
        <f t="shared" si="232"/>
        <v>DPV_REGISTER_NO_ERROR_E</v>
      </c>
      <c r="FL41" s="56" t="str">
        <f t="shared" si="232"/>
        <v>DPV_REGISTER_NO_ERROR_E</v>
      </c>
      <c r="FM41" s="56" t="str">
        <f t="shared" si="232"/>
        <v>DPV_REGISTER_NO_ERROR_E</v>
      </c>
      <c r="FN41" s="56" t="str">
        <f t="shared" si="232"/>
        <v>DPV_REGISTER_NO_ERROR_E</v>
      </c>
      <c r="FO41" s="56" t="str">
        <f t="shared" si="232"/>
        <v>DPV_REGISTER_NO_ERROR_E</v>
      </c>
      <c r="FP41" s="10" t="str">
        <f t="shared" si="232"/>
        <v>DPV_REGISTER_NO_ERROR_E</v>
      </c>
      <c r="FQ41" s="10" t="str">
        <f t="shared" si="232"/>
        <v>DPV_REGISTER_NO_ERROR_E</v>
      </c>
      <c r="FR41" s="10" t="str">
        <f t="shared" si="232"/>
        <v>DPV_REGISTER_NO_ERROR_E</v>
      </c>
      <c r="FS41" s="10" t="str">
        <f t="shared" si="232"/>
        <v>DPV_REGISTER_NO_ERROR_E</v>
      </c>
      <c r="FT41" s="10" t="str">
        <f t="shared" si="232"/>
        <v>DPV_REGISTER_NO_ERROR_E</v>
      </c>
      <c r="FU41" s="10" t="str">
        <f t="shared" si="232"/>
        <v>DPV_REGISTER_NO_ERROR_E</v>
      </c>
      <c r="FV41" s="10" t="str">
        <f t="shared" si="232"/>
        <v>DPV_REGISTER_NO_ERROR_E</v>
      </c>
      <c r="FW41" s="10" t="str">
        <f t="shared" si="232"/>
        <v>DPV_REGISTER_NO_ERROR_E</v>
      </c>
      <c r="FX41" s="10" t="str">
        <f t="shared" si="232"/>
        <v>DPV_REGISTER_NO_ERROR_E</v>
      </c>
      <c r="FY41" s="10" t="str">
        <f t="shared" si="232"/>
        <v>DPV_REGISTER_NO_ERROR_E</v>
      </c>
      <c r="FZ41" s="10" t="str">
        <f t="shared" si="232"/>
        <v>DPV_REGISTER_NO_ERROR_E</v>
      </c>
      <c r="GA41" s="10" t="str">
        <f t="shared" si="232"/>
        <v>DPV_REGISTER_NO_ERROR_E</v>
      </c>
      <c r="GB41" s="10" t="str">
        <f t="shared" si="232"/>
        <v>DPV_REGISTER_NO_ERROR_E</v>
      </c>
      <c r="GC41" s="10" t="str">
        <f t="shared" si="232"/>
        <v>DPV_REGISTER_NO_ERROR_E</v>
      </c>
      <c r="GD41" s="10" t="str">
        <f t="shared" si="232"/>
        <v>DPV_REGISTER_NO_ERROR_E</v>
      </c>
      <c r="GE41" s="10" t="str">
        <f t="shared" si="232"/>
        <v>DPV_REGISTER_NO_ERROR_E</v>
      </c>
      <c r="GF41" s="10" t="str">
        <f t="shared" si="232"/>
        <v>DPV_REGISTER_NO_ERROR_E</v>
      </c>
      <c r="GG41" s="10" t="str">
        <f t="shared" si="232"/>
        <v>DPV_REGISTER_NO_ERROR_E</v>
      </c>
      <c r="GH41" s="10" t="str">
        <f t="shared" si="232"/>
        <v>DPV_REGISTER_NO_ERROR_E</v>
      </c>
      <c r="GI41" s="10" t="str">
        <f t="shared" si="232"/>
        <v>DPV_REGISTER_NO_ERROR_E</v>
      </c>
      <c r="GJ41" s="10" t="str">
        <f t="shared" si="232"/>
        <v>DPV_REGISTER_NO_ERROR_E</v>
      </c>
      <c r="GK41" s="10" t="str">
        <f t="shared" si="232"/>
        <v>DPV_REGISTER_NO_ERROR_E</v>
      </c>
      <c r="GL41" s="10" t="str">
        <f t="shared" si="232"/>
        <v>DPV_REGISTER_NO_ERROR_E</v>
      </c>
      <c r="GM41" s="10" t="str">
        <f t="shared" si="232"/>
        <v>DPV_REGISTER_NO_ERROR_E</v>
      </c>
      <c r="GN41" s="10" t="str">
        <f t="shared" si="232"/>
        <v>DPV_REGISTER_NO_ERROR_E</v>
      </c>
      <c r="GO41" s="10" t="str">
        <f t="shared" si="232"/>
        <v>DPV_REGISTER_NO_ERROR_E</v>
      </c>
      <c r="GP41" s="10" t="str">
        <f t="shared" si="232"/>
        <v>DPV_REGISTER_NO_ERROR_E</v>
      </c>
      <c r="GQ41" s="10" t="str">
        <f t="shared" si="232"/>
        <v>DPV_REGISTER_NO_ERROR_E</v>
      </c>
      <c r="GR41" s="10" t="str">
        <f t="shared" si="232"/>
        <v>DPV_REGISTER_NO_ERROR_E</v>
      </c>
      <c r="GS41" s="10" t="str">
        <f t="shared" si="232"/>
        <v>DPV_REGISTER_NO_ERROR_E</v>
      </c>
      <c r="GT41" s="10" t="str">
        <f t="shared" si="232"/>
        <v>DPV_REGISTER_NO_ERROR_E</v>
      </c>
      <c r="GU41" s="10" t="str">
        <f t="shared" si="232"/>
        <v>DPV_REGISTER_NO_ERROR_E</v>
      </c>
      <c r="GV41" s="10" t="str">
        <f t="shared" si="232"/>
        <v>DPV_REGISTER_NO_ERROR_E</v>
      </c>
      <c r="GW41" s="10" t="str">
        <f t="shared" si="232"/>
        <v>DPV_REGISTER_NO_ERROR_E</v>
      </c>
      <c r="GX41" s="10" t="str">
        <f t="shared" si="232"/>
        <v>DPV_REGISTER_NO_ERROR_E</v>
      </c>
      <c r="GY41" s="10" t="str">
        <f t="shared" si="232"/>
        <v>DPV_REGISTER_NO_ERROR_E</v>
      </c>
      <c r="GZ41" s="10" t="str">
        <f t="shared" si="232"/>
        <v>DPV_REGISTER_NO_ERROR_E</v>
      </c>
      <c r="HA41" s="10" t="str">
        <f t="shared" si="232"/>
        <v>DPV_REGISTER_NO_ERROR_E</v>
      </c>
      <c r="HB41" s="10" t="str">
        <f t="shared" si="232"/>
        <v>DPV_REGISTER_NO_ERROR_E</v>
      </c>
      <c r="HC41" s="10" t="str">
        <f t="shared" si="232"/>
        <v>DPV_REGISTER_NO_ERROR_E</v>
      </c>
      <c r="HD41" s="10" t="str">
        <f t="shared" si="232"/>
        <v>DPV_REGISTER_NO_ERROR_E</v>
      </c>
      <c r="HE41" s="10" t="str">
        <f t="shared" si="232"/>
        <v>DPV_REGISTER_NO_ERROR_E</v>
      </c>
      <c r="HF41" s="10" t="str">
        <f t="shared" si="232"/>
        <v>DPV_REGISTER_NO_ERROR_E</v>
      </c>
      <c r="HG41" s="10" t="str">
        <f t="shared" si="232"/>
        <v>DPV_REGISTER_NO_ERROR_E</v>
      </c>
      <c r="HH41" s="10" t="str">
        <f t="shared" si="232"/>
        <v>DPV_REGISTER_NO_ERROR_E</v>
      </c>
      <c r="HI41" s="10" t="str">
        <f t="shared" si="232"/>
        <v>DPV_REGISTER_NO_ERROR_E</v>
      </c>
      <c r="HJ41" s="10" t="str">
        <f t="shared" si="232"/>
        <v>DPV_REGISTER_NO_ERROR_E</v>
      </c>
      <c r="HK41" s="10" t="str">
        <f t="shared" si="232"/>
        <v>DPV_REGISTER_NO_ERROR_E</v>
      </c>
      <c r="HL41" s="10" t="str">
        <f t="shared" si="232"/>
        <v>DPV_REGISTER_NO_ERROR_E</v>
      </c>
      <c r="HM41" s="10" t="str">
        <f t="shared" si="233"/>
        <v>DPV_REGISTER_NO_ERROR_E</v>
      </c>
      <c r="HN41" s="10" t="str">
        <f t="shared" si="233"/>
        <v>DPV_REGISTER_NO_ERROR_E</v>
      </c>
      <c r="HO41" s="10" t="str">
        <f t="shared" si="233"/>
        <v>DPV_REGISTER_NO_ERROR_E</v>
      </c>
      <c r="HP41" s="10" t="str">
        <f t="shared" si="233"/>
        <v>DPV_REGISTER_NO_ERROR_E</v>
      </c>
      <c r="HQ41" s="10" t="str">
        <f t="shared" si="233"/>
        <v>DPV_REGISTER_NO_ERROR_E</v>
      </c>
      <c r="HR41" s="10" t="str">
        <f t="shared" si="233"/>
        <v>DPV_REGISTER_NO_ERROR_E</v>
      </c>
      <c r="HS41" s="10" t="str">
        <f t="shared" si="233"/>
        <v>DPV_REGISTER_NO_ERROR_E</v>
      </c>
      <c r="HT41" s="10" t="str">
        <f t="shared" si="233"/>
        <v>DPV_REGISTER_NO_ERROR_E</v>
      </c>
      <c r="HU41" s="10" t="str">
        <f t="shared" si="233"/>
        <v>DPV_REGISTER_NO_ERROR_E</v>
      </c>
      <c r="HV41" s="10" t="str">
        <f t="shared" si="233"/>
        <v>DPV_REGISTER_NO_ERROR_E</v>
      </c>
      <c r="HW41" s="10" t="str">
        <f t="shared" si="233"/>
        <v>DPV_REGISTER_NO_ERROR_E</v>
      </c>
      <c r="HX41" s="10" t="str">
        <f t="shared" si="233"/>
        <v>DPV_REGISTER_NO_ERROR_E</v>
      </c>
      <c r="HY41" s="10" t="str">
        <f t="shared" si="233"/>
        <v>DPV_REGISTER_NO_ERROR_E</v>
      </c>
      <c r="HZ41" s="10" t="str">
        <f t="shared" si="233"/>
        <v>DPV_REGISTER_NO_ERROR_E</v>
      </c>
      <c r="IA41" s="10" t="str">
        <f t="shared" si="233"/>
        <v>DPV_REGISTER_NO_ERROR_E</v>
      </c>
      <c r="IB41" s="10" t="str">
        <f t="shared" si="233"/>
        <v>DPV_REGISTER_NO_ERROR_E</v>
      </c>
      <c r="IC41" s="10" t="str">
        <f t="shared" si="234"/>
        <v>DPV_REGISTER_NO_ERROR_E</v>
      </c>
      <c r="ID41" s="10" t="str">
        <f t="shared" si="234"/>
        <v>DPV_REGISTER_NO_ERROR_E</v>
      </c>
      <c r="IE41" s="10" t="str">
        <f t="shared" si="234"/>
        <v>DPV_REGISTER_NO_ERROR_E</v>
      </c>
      <c r="IF41" s="10" t="str">
        <f t="shared" si="234"/>
        <v>DPV_REGISTER_NO_ERROR_E</v>
      </c>
      <c r="IG41" s="10" t="str">
        <f t="shared" si="234"/>
        <v>DPV_REGISTER_NO_ERROR_E</v>
      </c>
      <c r="IH41" s="10" t="str">
        <f t="shared" si="234"/>
        <v>DPV_REGISTER_NO_ERROR_E</v>
      </c>
      <c r="II41" s="10" t="str">
        <f t="shared" si="234"/>
        <v>DPV_REGISTER_NO_ERROR_E</v>
      </c>
      <c r="IJ41" s="10" t="str">
        <f t="shared" si="234"/>
        <v>DPV_REGISTER_NO_ERROR_E</v>
      </c>
      <c r="IK41" s="10" t="str">
        <f t="shared" si="234"/>
        <v>DPV_REGISTER_NO_ERROR_E</v>
      </c>
      <c r="IL41" s="10" t="str">
        <f t="shared" si="234"/>
        <v>DPV_REGISTER_NO_ERROR_E</v>
      </c>
      <c r="IM41" s="35" t="str">
        <f t="shared" si="234"/>
        <v>DPV_REGISTER_NO_ERROR_E</v>
      </c>
      <c r="IN41" s="35" t="str">
        <f t="shared" si="234"/>
        <v>DPV_REGISTER_NO_ERROR_E</v>
      </c>
      <c r="IO41" s="35" t="str">
        <f t="shared" si="234"/>
        <v>DPV_REGISTER_NO_ERROR_E</v>
      </c>
      <c r="IP41" s="10" t="str">
        <f t="shared" si="234"/>
        <v>DPV_REGISTER_NO_ERROR_E</v>
      </c>
      <c r="IQ41" s="30" t="str">
        <f>IF(IQ17="Not Received",#REF!,IQ17)</f>
        <v>DPV_REGISTER_NO_ERROR_E</v>
      </c>
      <c r="IR41" s="30" t="str">
        <f t="shared" si="234"/>
        <v>DPV_REGISTER_NO_ERROR_E</v>
      </c>
      <c r="IS41" s="30" t="str">
        <f t="shared" si="234"/>
        <v>DPV_REGISTER_NO_ERROR_E</v>
      </c>
      <c r="IT41" s="30" t="str">
        <f t="shared" si="234"/>
        <v>DPV_REGISTER_NO_ERROR_E</v>
      </c>
      <c r="IU41" s="30" t="str">
        <f t="shared" si="234"/>
        <v>DPV_REGISTER_NO_ERROR_E</v>
      </c>
      <c r="IV41" s="30" t="str">
        <f t="shared" si="234"/>
        <v>DPV_REGISTER_NO_ERROR_E</v>
      </c>
      <c r="IW41" s="30" t="str">
        <f t="shared" si="234"/>
        <v>DPV_REGISTER_NO_ERROR_E</v>
      </c>
      <c r="IX41" s="30" t="str">
        <f t="shared" si="234"/>
        <v>DPV_REGISTER_NO_ERROR_E</v>
      </c>
      <c r="IY41" s="30" t="str">
        <f t="shared" si="234"/>
        <v>DPV_REGISTER_NO_ERROR_E</v>
      </c>
      <c r="IZ41" s="30" t="str">
        <f t="shared" si="234"/>
        <v>DPV_REGISTER_NO_ERROR_E</v>
      </c>
      <c r="JA41" s="30" t="str">
        <f t="shared" si="234"/>
        <v>DPV_REGISTER_NO_ERROR_E</v>
      </c>
      <c r="JB41" s="30" t="str">
        <f t="shared" si="234"/>
        <v>DPV_REGISTER_NO_ERROR_E</v>
      </c>
      <c r="JC41" s="30" t="str">
        <f t="shared" si="234"/>
        <v>DPV_REGISTER_NO_ERROR_E</v>
      </c>
      <c r="JD41" s="30" t="str">
        <f t="shared" si="234"/>
        <v>DPV_REGISTER_NO_ERROR_E</v>
      </c>
      <c r="JE41" s="30" t="str">
        <f t="shared" si="234"/>
        <v>DPV_REGISTER_NO_ERROR_E</v>
      </c>
      <c r="JF41" s="30" t="str">
        <f t="shared" si="234"/>
        <v>DPV_REGISTER_NO_ERROR_E</v>
      </c>
      <c r="JG41" s="30" t="str">
        <f t="shared" si="234"/>
        <v>DPV_REGISTER_NO_ERROR_E</v>
      </c>
      <c r="JH41" s="30" t="str">
        <f t="shared" si="234"/>
        <v>DPV_REGISTER_NO_ERROR_E</v>
      </c>
      <c r="JI41" s="30" t="str">
        <f t="shared" si="234"/>
        <v>DPV_REGISTER_NO_ERROR_E</v>
      </c>
      <c r="JJ41" s="30" t="str">
        <f t="shared" si="234"/>
        <v>DPV_REGISTER_NO_ERROR_E</v>
      </c>
      <c r="JK41" s="30" t="str">
        <f t="shared" si="234"/>
        <v>DPV_REGISTER_NO_ERROR_E</v>
      </c>
      <c r="JL41" s="30" t="str">
        <f t="shared" si="234"/>
        <v>DPV_REGISTER_NO_ERROR_E</v>
      </c>
      <c r="JM41" s="30" t="str">
        <f t="shared" si="234"/>
        <v>DPV_REGISTER_NO_ERROR_E</v>
      </c>
      <c r="JN41" s="30" t="str">
        <f t="shared" si="234"/>
        <v>DPV_REGISTER_NO_ERROR_E</v>
      </c>
      <c r="JO41" s="30" t="str">
        <f t="shared" si="234"/>
        <v>DPV_REGISTER_NO_ERROR_E</v>
      </c>
      <c r="JP41" s="30" t="str">
        <f t="shared" si="234"/>
        <v>DPV_REGISTER_NO_ERROR_E</v>
      </c>
      <c r="JQ41" s="30" t="str">
        <f t="shared" si="234"/>
        <v>DPV_REGISTER_NO_ERROR_E</v>
      </c>
      <c r="JR41" s="30" t="str">
        <f t="shared" si="234"/>
        <v>DPV_REGISTER_NO_ERROR_E</v>
      </c>
      <c r="JS41" s="30" t="str">
        <f t="shared" si="234"/>
        <v>DPV_REGISTER_NO_ERROR_E</v>
      </c>
      <c r="JT41" s="30" t="str">
        <f t="shared" si="234"/>
        <v>DPV_REGISTER_NO_ERROR_E</v>
      </c>
      <c r="JU41" s="30" t="str">
        <f t="shared" si="234"/>
        <v>DPV_REGISTER_NO_ERROR_E</v>
      </c>
      <c r="JV41" s="30" t="str">
        <f t="shared" si="234"/>
        <v>DPV_REGISTER_NO_ERROR_E</v>
      </c>
      <c r="JW41" s="30" t="str">
        <f t="shared" si="234"/>
        <v>DPV_REGISTER_NO_ERROR_E</v>
      </c>
      <c r="JX41" s="30" t="str">
        <f t="shared" si="234"/>
        <v>DPV_REGISTER_NO_ERROR_E</v>
      </c>
      <c r="JY41" s="30" t="str">
        <f t="shared" si="234"/>
        <v>DPV_REGISTER_NO_ERROR_E</v>
      </c>
      <c r="JZ41" s="30" t="str">
        <f t="shared" si="234"/>
        <v>DPV_REGISTER_NO_ERROR_E</v>
      </c>
      <c r="KA41" s="30" t="str">
        <f t="shared" si="235"/>
        <v>DPV_REGISTER_NO_ERROR_E</v>
      </c>
      <c r="KB41" s="30" t="str">
        <f t="shared" si="235"/>
        <v>DPV_REGISTER_NO_ERROR_E</v>
      </c>
      <c r="KC41" s="30" t="str">
        <f t="shared" si="235"/>
        <v>DPV_REGISTER_NO_ERROR_E</v>
      </c>
      <c r="KD41" s="30" t="str">
        <f t="shared" si="235"/>
        <v>DPV_REGISTER_NO_ERROR_E</v>
      </c>
      <c r="KE41" s="30" t="str">
        <f t="shared" si="235"/>
        <v>DPV_REGISTER_NO_ERROR_E</v>
      </c>
      <c r="KF41" s="30" t="str">
        <f t="shared" si="235"/>
        <v>DPV_REGISTER_NO_ERROR_E</v>
      </c>
      <c r="KG41" s="30" t="str">
        <f t="shared" si="235"/>
        <v>DPV_REGISTER_NO_ERROR_E</v>
      </c>
      <c r="KH41" s="30" t="str">
        <f t="shared" si="235"/>
        <v>DPV_REGISTER_NO_ERROR_E</v>
      </c>
      <c r="KI41" s="30" t="str">
        <f t="shared" si="235"/>
        <v>DPV_REGISTER_NO_ERROR_E</v>
      </c>
      <c r="KJ41" s="30" t="str">
        <f t="shared" si="235"/>
        <v>DPV_REGISTER_NO_ERROR_E</v>
      </c>
      <c r="KK41" s="30" t="str">
        <f t="shared" si="235"/>
        <v>DPV_REGISTER_NO_ERROR_E</v>
      </c>
      <c r="KL41" s="30" t="str">
        <f t="shared" si="235"/>
        <v>DPV_REGISTER_NO_ERROR_E</v>
      </c>
      <c r="KM41" s="30" t="str">
        <f t="shared" si="235"/>
        <v>DPV_REGISTER_NO_ERROR_E</v>
      </c>
      <c r="KN41" s="30" t="str">
        <f t="shared" si="235"/>
        <v>DPV_REGISTER_NO_ERROR_E</v>
      </c>
      <c r="KO41" s="30" t="str">
        <f t="shared" si="235"/>
        <v>DPV_REGISTER_NO_ERROR_E</v>
      </c>
      <c r="KP41" s="30" t="str">
        <f t="shared" si="235"/>
        <v>DPV_REGISTER_NO_ERROR_E</v>
      </c>
      <c r="KQ41" s="30" t="str">
        <f t="shared" si="235"/>
        <v>DPV_REGISTER_NO_ERROR_E</v>
      </c>
      <c r="KR41" s="30" t="str">
        <f t="shared" si="235"/>
        <v>DPV_REGISTER_NO_ERROR_E</v>
      </c>
      <c r="KS41" s="30" t="str">
        <f t="shared" si="235"/>
        <v>DPV_REGISTER_NO_ERROR_E</v>
      </c>
      <c r="KT41" s="30" t="str">
        <f t="shared" si="235"/>
        <v>DPV_REGISTER_NO_ERROR_E</v>
      </c>
      <c r="KU41" s="30" t="str">
        <f t="shared" si="235"/>
        <v>DPV_REGISTER_NO_ERROR_E</v>
      </c>
      <c r="KV41" s="30" t="str">
        <f t="shared" si="235"/>
        <v>DPV_REGISTER_NO_ERROR_E</v>
      </c>
      <c r="KW41" s="30" t="str">
        <f t="shared" si="235"/>
        <v>DPV_REGISTER_NO_ERROR_E</v>
      </c>
      <c r="KX41" s="30" t="str">
        <f t="shared" si="235"/>
        <v>DPV_REGISTER_NO_ERROR_E</v>
      </c>
      <c r="KY41" s="30" t="str">
        <f t="shared" si="235"/>
        <v>DPV_REGISTER_NO_ERROR_E</v>
      </c>
      <c r="KZ41" s="30" t="str">
        <f t="shared" si="235"/>
        <v>DPV_REGISTER_NO_ERROR_E</v>
      </c>
      <c r="LA41" s="30" t="str">
        <f t="shared" si="235"/>
        <v>DPV_REGISTER_NO_ERROR_E</v>
      </c>
      <c r="LB41" s="30" t="str">
        <f t="shared" si="235"/>
        <v>DPV_REGISTER_NO_ERROR_E</v>
      </c>
      <c r="LC41" s="30" t="str">
        <f t="shared" si="235"/>
        <v>DPV_REGISTER_NO_ERROR_E</v>
      </c>
      <c r="LD41" s="30" t="str">
        <f t="shared" si="235"/>
        <v>DPV_REGISTER_NO_ERROR_E</v>
      </c>
      <c r="LE41" s="30" t="str">
        <f t="shared" si="235"/>
        <v>DPV_REGISTER_NO_ERROR_E</v>
      </c>
      <c r="LF41" s="30" t="str">
        <f t="shared" si="235"/>
        <v>DPV_REGISTER_NO_ERROR_E</v>
      </c>
      <c r="LG41" s="30" t="str">
        <f t="shared" si="235"/>
        <v>DPV_REGISTER_NO_ERROR_E</v>
      </c>
      <c r="LH41" s="30" t="str">
        <f t="shared" si="235"/>
        <v>DPV_REGISTER_NO_ERROR_E</v>
      </c>
      <c r="LI41" s="30" t="str">
        <f t="shared" si="235"/>
        <v>DPV_REGISTER_NO_ERROR_E</v>
      </c>
      <c r="LJ41" s="30" t="str">
        <f t="shared" si="235"/>
        <v>DPV_REGISTER_NO_ERROR_E</v>
      </c>
      <c r="LK41" s="30" t="str">
        <f t="shared" si="235"/>
        <v>DPV_REGISTER_NO_ERROR_E</v>
      </c>
      <c r="LL41" s="30" t="str">
        <f t="shared" si="235"/>
        <v>DPV_REGISTER_NO_ERROR_E</v>
      </c>
      <c r="LM41" s="30" t="str">
        <f t="shared" si="235"/>
        <v>DPV_REGISTER_NO_ERROR_E</v>
      </c>
      <c r="LN41" s="30" t="str">
        <f t="shared" si="235"/>
        <v>DPV_REGISTER_NO_ERROR_E</v>
      </c>
      <c r="LO41" s="30" t="str">
        <f t="shared" si="235"/>
        <v>DPV_REGISTER_NO_ERROR_E</v>
      </c>
      <c r="LP41" s="30" t="str">
        <f t="shared" si="235"/>
        <v>DPV_REGISTER_NO_ERROR_E</v>
      </c>
      <c r="LQ41" s="30" t="str">
        <f t="shared" si="235"/>
        <v>DPV_REGISTER_NO_ERROR_E</v>
      </c>
      <c r="LR41" s="30" t="str">
        <f t="shared" si="235"/>
        <v>DPV_REGISTER_NO_ERROR_E</v>
      </c>
      <c r="LS41" s="30" t="str">
        <f t="shared" si="235"/>
        <v>DPV_REGISTER_NO_ERROR_E</v>
      </c>
      <c r="LT41" s="30" t="str">
        <f t="shared" si="235"/>
        <v>DPV_REGISTER_NO_ERROR_E</v>
      </c>
      <c r="LU41" s="30" t="str">
        <f t="shared" si="235"/>
        <v>DPV_REGISTER_NO_ERROR_E</v>
      </c>
      <c r="LV41" s="30" t="str">
        <f t="shared" si="235"/>
        <v>DPV_REGISTER_NO_ERROR_E</v>
      </c>
      <c r="LW41" s="30" t="str">
        <f t="shared" si="235"/>
        <v>DPV_REGISTER_NO_ERROR_E</v>
      </c>
      <c r="LX41" s="30" t="str">
        <f t="shared" si="235"/>
        <v>DPV_REGISTER_NO_ERROR_E</v>
      </c>
      <c r="LY41" s="30" t="str">
        <f t="shared" si="235"/>
        <v>DPV_REGISTER_NO_ERROR_E</v>
      </c>
      <c r="LZ41" s="30" t="str">
        <f t="shared" si="235"/>
        <v>DPV_REGISTER_NO_ERROR_E</v>
      </c>
      <c r="MA41" s="30" t="str">
        <f t="shared" si="235"/>
        <v>DPV_REGISTER_NO_ERROR_E</v>
      </c>
      <c r="MB41" s="30" t="str">
        <f t="shared" si="235"/>
        <v>DPV_REGISTER_NO_ERROR_E</v>
      </c>
      <c r="MC41" s="12" t="str">
        <f t="shared" si="235"/>
        <v>DPV_REGISTER_NO_ERROR_E</v>
      </c>
      <c r="MD41" s="12" t="str">
        <f t="shared" si="235"/>
        <v>DPV_REGISTER_NO_ERROR_E</v>
      </c>
      <c r="ME41" s="12" t="str">
        <f t="shared" si="235"/>
        <v>DPV_REGISTER_NO_ERROR_E</v>
      </c>
      <c r="MF41" s="12" t="str">
        <f t="shared" si="235"/>
        <v>DPV_REGISTER_NO_ERROR_E</v>
      </c>
      <c r="MG41" s="12" t="str">
        <f t="shared" si="235"/>
        <v>DPV_REGISTER_NO_ERROR_E</v>
      </c>
      <c r="MH41" s="12" t="str">
        <f t="shared" si="235"/>
        <v>DPV_REGISTER_NO_ERROR_E</v>
      </c>
      <c r="MI41" s="12" t="str">
        <f t="shared" si="235"/>
        <v>DPV_REGISTER_NO_ERROR_E</v>
      </c>
      <c r="MJ41" s="12" t="str">
        <f t="shared" si="235"/>
        <v>DPV_REGISTER_NO_ERROR_E</v>
      </c>
      <c r="MK41" s="12" t="str">
        <f t="shared" si="235"/>
        <v>DPV_REGISTER_NO_ERROR_E</v>
      </c>
      <c r="ML41" s="12" t="str">
        <f t="shared" si="235"/>
        <v>DPV_REGISTER_NO_ERROR_E</v>
      </c>
      <c r="MM41" s="12"/>
      <c r="MN41" s="12"/>
    </row>
    <row r="42" spans="1:352" ht="23.25" customHeight="1" x14ac:dyDescent="0.25">
      <c r="A42" s="3" t="s">
        <v>3</v>
      </c>
      <c r="B42" s="3" t="s">
        <v>50</v>
      </c>
      <c r="C42" s="3"/>
      <c r="D42" s="3">
        <v>0</v>
      </c>
      <c r="E42" s="3">
        <v>0</v>
      </c>
      <c r="F42" s="3">
        <v>0</v>
      </c>
      <c r="G42" s="3">
        <v>0</v>
      </c>
      <c r="H42" s="3">
        <v>0</v>
      </c>
      <c r="I42" s="3">
        <v>0</v>
      </c>
      <c r="J42" s="3">
        <v>0</v>
      </c>
      <c r="K42" s="3">
        <v>0</v>
      </c>
      <c r="L42" s="3">
        <v>0</v>
      </c>
      <c r="M42" s="3">
        <v>0</v>
      </c>
      <c r="N42" s="3">
        <v>0</v>
      </c>
      <c r="O42" s="3">
        <v>0</v>
      </c>
      <c r="P42" s="3">
        <v>0</v>
      </c>
      <c r="Q42" s="3">
        <v>0</v>
      </c>
      <c r="R42" s="3">
        <v>0</v>
      </c>
      <c r="S42" s="3">
        <v>0</v>
      </c>
      <c r="T42" s="3">
        <v>0</v>
      </c>
      <c r="U42" s="3">
        <v>0</v>
      </c>
      <c r="V42" s="3">
        <v>0</v>
      </c>
      <c r="W42" s="3">
        <v>0</v>
      </c>
      <c r="X42" s="3">
        <v>0</v>
      </c>
      <c r="Y42" s="3">
        <v>0</v>
      </c>
      <c r="Z42" s="3">
        <v>0</v>
      </c>
      <c r="AA42" s="3">
        <v>0</v>
      </c>
      <c r="AB42" s="3">
        <v>0</v>
      </c>
      <c r="AC42" s="3">
        <v>0</v>
      </c>
      <c r="AD42" s="3">
        <v>0</v>
      </c>
      <c r="AE42" s="3">
        <v>0</v>
      </c>
      <c r="AF42" s="3">
        <v>0</v>
      </c>
      <c r="AG42" s="3">
        <v>0</v>
      </c>
      <c r="AH42" s="3">
        <v>0</v>
      </c>
      <c r="AI42" s="3">
        <v>0</v>
      </c>
      <c r="AJ42" s="3">
        <v>0</v>
      </c>
      <c r="AK42" s="3">
        <v>0</v>
      </c>
      <c r="AL42" s="3">
        <v>0</v>
      </c>
      <c r="AM42" s="3">
        <v>0</v>
      </c>
      <c r="AN42" s="3">
        <v>0</v>
      </c>
      <c r="AO42" s="3">
        <v>0</v>
      </c>
      <c r="AP42" s="3">
        <v>0</v>
      </c>
      <c r="AQ42" s="3">
        <v>0</v>
      </c>
      <c r="AR42" s="3">
        <v>0</v>
      </c>
      <c r="AS42" s="3">
        <v>0</v>
      </c>
      <c r="AT42" s="3">
        <v>0</v>
      </c>
      <c r="AU42" s="3">
        <v>0</v>
      </c>
      <c r="AV42" s="3">
        <v>0</v>
      </c>
      <c r="AW42" s="3">
        <v>0</v>
      </c>
      <c r="AX42" s="3">
        <v>0</v>
      </c>
      <c r="AY42" s="3">
        <v>0</v>
      </c>
      <c r="AZ42" s="3">
        <v>0</v>
      </c>
      <c r="BA42" s="3">
        <v>0</v>
      </c>
      <c r="BB42" s="3">
        <v>0</v>
      </c>
      <c r="BC42" s="3">
        <v>0</v>
      </c>
      <c r="BD42" s="3">
        <v>0</v>
      </c>
      <c r="BE42" s="3">
        <v>0</v>
      </c>
      <c r="BF42" s="3">
        <v>0</v>
      </c>
      <c r="BG42" s="3">
        <v>0</v>
      </c>
      <c r="BH42" s="3">
        <v>0</v>
      </c>
      <c r="BI42" s="3">
        <v>0</v>
      </c>
      <c r="BJ42" s="3">
        <v>0</v>
      </c>
      <c r="BK42" s="3">
        <v>0</v>
      </c>
      <c r="BL42" s="3">
        <v>0</v>
      </c>
      <c r="BM42" s="3">
        <v>0</v>
      </c>
      <c r="BN42" s="3">
        <v>0</v>
      </c>
      <c r="BO42" s="3">
        <v>0</v>
      </c>
      <c r="BP42" s="3">
        <v>0</v>
      </c>
      <c r="BQ42" s="3">
        <v>0</v>
      </c>
      <c r="BR42" s="3">
        <v>0</v>
      </c>
      <c r="BS42" s="3">
        <v>0</v>
      </c>
      <c r="BT42" s="3">
        <v>0</v>
      </c>
      <c r="BU42" s="3">
        <v>0</v>
      </c>
      <c r="BV42" s="3">
        <v>0</v>
      </c>
      <c r="BW42" s="35">
        <v>0</v>
      </c>
      <c r="BX42" s="3">
        <v>0</v>
      </c>
      <c r="BY42" s="3">
        <v>0</v>
      </c>
      <c r="BZ42" s="3">
        <v>0</v>
      </c>
      <c r="CA42" s="3">
        <v>0</v>
      </c>
      <c r="CB42" s="3">
        <v>0</v>
      </c>
      <c r="CC42" s="3">
        <v>0</v>
      </c>
      <c r="CD42" s="3">
        <v>0</v>
      </c>
      <c r="CE42" s="3">
        <v>0</v>
      </c>
      <c r="CF42" s="54">
        <v>0</v>
      </c>
      <c r="CG42" s="54">
        <v>0</v>
      </c>
      <c r="CH42" s="54">
        <v>0</v>
      </c>
      <c r="CI42" s="54">
        <v>0</v>
      </c>
      <c r="CJ42" s="54">
        <v>0</v>
      </c>
      <c r="CK42" s="54">
        <v>0</v>
      </c>
      <c r="CL42" s="54">
        <v>0</v>
      </c>
      <c r="CM42" s="54">
        <v>0</v>
      </c>
      <c r="CN42" s="54">
        <v>0</v>
      </c>
      <c r="CO42" s="54">
        <v>0</v>
      </c>
      <c r="CP42" s="54">
        <v>0</v>
      </c>
      <c r="CQ42" s="54">
        <v>0</v>
      </c>
      <c r="CR42" s="54">
        <v>0</v>
      </c>
      <c r="CS42" s="54">
        <v>0</v>
      </c>
      <c r="CT42" s="54">
        <v>0</v>
      </c>
      <c r="CU42" s="54">
        <v>0</v>
      </c>
      <c r="CV42" s="54">
        <v>0</v>
      </c>
      <c r="CW42" s="54">
        <v>0</v>
      </c>
      <c r="CX42" s="54">
        <v>0</v>
      </c>
      <c r="CY42" s="54">
        <v>0</v>
      </c>
      <c r="CZ42" s="54">
        <v>0</v>
      </c>
      <c r="DA42" s="54">
        <v>0</v>
      </c>
      <c r="DB42" s="54">
        <v>0</v>
      </c>
      <c r="DC42" s="54">
        <v>0</v>
      </c>
      <c r="DD42" s="54">
        <v>0</v>
      </c>
      <c r="DE42" s="54">
        <v>0</v>
      </c>
      <c r="DF42" s="54">
        <v>0</v>
      </c>
      <c r="DG42" s="54">
        <v>0</v>
      </c>
      <c r="DH42" s="54">
        <v>0</v>
      </c>
      <c r="DI42" s="54">
        <v>0</v>
      </c>
      <c r="DJ42" s="54">
        <v>0</v>
      </c>
      <c r="DK42" s="54">
        <v>0</v>
      </c>
      <c r="DL42" s="54">
        <v>0</v>
      </c>
      <c r="DM42" s="54">
        <v>0</v>
      </c>
      <c r="DN42" s="54">
        <v>0</v>
      </c>
      <c r="DO42" s="54">
        <v>0</v>
      </c>
      <c r="DP42" s="54">
        <v>0</v>
      </c>
      <c r="DQ42" s="54">
        <v>0</v>
      </c>
      <c r="DR42" s="54">
        <v>0</v>
      </c>
      <c r="DS42" s="54">
        <v>0</v>
      </c>
      <c r="DT42" s="54">
        <v>0</v>
      </c>
      <c r="DU42" s="54">
        <v>0</v>
      </c>
      <c r="DV42" s="54">
        <v>0</v>
      </c>
      <c r="DW42" s="54">
        <v>0</v>
      </c>
      <c r="DX42" s="54">
        <v>0</v>
      </c>
      <c r="DY42" s="54">
        <v>0</v>
      </c>
      <c r="DZ42" s="54">
        <v>1</v>
      </c>
      <c r="EA42" s="54">
        <v>0</v>
      </c>
      <c r="EB42" s="54">
        <v>0</v>
      </c>
      <c r="EC42" s="54">
        <v>0</v>
      </c>
      <c r="ED42" s="54">
        <v>0</v>
      </c>
      <c r="EE42" s="54">
        <v>0</v>
      </c>
      <c r="EF42" s="54">
        <v>0</v>
      </c>
      <c r="EG42" s="54">
        <v>0</v>
      </c>
      <c r="EH42" s="54">
        <v>0</v>
      </c>
      <c r="EI42" s="54">
        <v>0</v>
      </c>
      <c r="EJ42" s="54">
        <v>0</v>
      </c>
      <c r="EK42" s="54">
        <v>0</v>
      </c>
      <c r="EL42" s="54">
        <v>0</v>
      </c>
      <c r="EM42" s="54">
        <v>0</v>
      </c>
      <c r="EN42" s="54">
        <v>0</v>
      </c>
      <c r="EO42" s="54">
        <v>0</v>
      </c>
      <c r="EP42" s="54">
        <v>0</v>
      </c>
      <c r="EQ42" s="54">
        <v>0</v>
      </c>
      <c r="ER42" s="54">
        <v>0</v>
      </c>
      <c r="ES42" s="54">
        <v>0</v>
      </c>
      <c r="ET42" s="54">
        <v>0</v>
      </c>
      <c r="EU42" s="54">
        <v>0</v>
      </c>
      <c r="EV42" s="54">
        <v>0</v>
      </c>
      <c r="EW42" s="54">
        <v>0</v>
      </c>
      <c r="EX42" s="54">
        <v>0</v>
      </c>
      <c r="EY42" s="54">
        <v>0</v>
      </c>
      <c r="EZ42" s="54">
        <v>0</v>
      </c>
      <c r="FA42" s="54">
        <v>0</v>
      </c>
      <c r="FB42" s="54">
        <v>0</v>
      </c>
      <c r="FC42" s="54">
        <v>0</v>
      </c>
      <c r="FD42" s="54">
        <v>0</v>
      </c>
      <c r="FE42" s="54">
        <v>0</v>
      </c>
      <c r="FF42" s="54">
        <v>0</v>
      </c>
      <c r="FG42" s="54">
        <v>0</v>
      </c>
      <c r="FH42" s="54">
        <v>0</v>
      </c>
      <c r="FI42" s="54">
        <v>0</v>
      </c>
      <c r="FJ42" s="54">
        <v>0</v>
      </c>
      <c r="FK42" s="54">
        <v>0</v>
      </c>
      <c r="FL42" s="54">
        <v>0</v>
      </c>
      <c r="FM42" s="54">
        <v>1</v>
      </c>
      <c r="FN42" s="54">
        <v>1</v>
      </c>
      <c r="FO42" s="54">
        <v>1</v>
      </c>
      <c r="FP42" s="10"/>
      <c r="FQ42" s="10">
        <v>0</v>
      </c>
      <c r="FR42" s="10">
        <v>0</v>
      </c>
      <c r="FS42" s="10">
        <v>0</v>
      </c>
      <c r="FT42" s="10">
        <v>0</v>
      </c>
      <c r="FU42" s="10">
        <v>0</v>
      </c>
      <c r="FV42" s="10">
        <v>0</v>
      </c>
      <c r="FW42" s="10">
        <v>0</v>
      </c>
      <c r="FX42" s="10">
        <v>0</v>
      </c>
      <c r="FY42" s="10">
        <v>0</v>
      </c>
      <c r="FZ42" s="10">
        <v>0</v>
      </c>
      <c r="GA42" s="10">
        <v>0</v>
      </c>
      <c r="GB42" s="10">
        <v>0</v>
      </c>
      <c r="GC42" s="10">
        <v>0</v>
      </c>
      <c r="GD42" s="10">
        <v>0</v>
      </c>
      <c r="GE42" s="10">
        <v>0</v>
      </c>
      <c r="GF42" s="10">
        <v>0</v>
      </c>
      <c r="GG42" s="10">
        <v>0</v>
      </c>
      <c r="GH42" s="10">
        <v>0</v>
      </c>
      <c r="GI42" s="10">
        <v>0</v>
      </c>
      <c r="GJ42" s="10">
        <v>0</v>
      </c>
      <c r="GK42" s="10">
        <v>0</v>
      </c>
      <c r="GL42" s="10">
        <v>0</v>
      </c>
      <c r="GM42" s="10">
        <v>0</v>
      </c>
      <c r="GN42" s="10">
        <v>0</v>
      </c>
      <c r="GO42" s="10">
        <v>0</v>
      </c>
      <c r="GP42" s="10">
        <v>0</v>
      </c>
      <c r="GQ42" s="10">
        <v>0</v>
      </c>
      <c r="GR42" s="10">
        <v>0</v>
      </c>
      <c r="GS42" s="10">
        <v>0</v>
      </c>
      <c r="GT42" s="10">
        <v>0</v>
      </c>
      <c r="GU42" s="10">
        <v>0</v>
      </c>
      <c r="GV42" s="10">
        <v>0</v>
      </c>
      <c r="GW42" s="10">
        <v>0</v>
      </c>
      <c r="GX42" s="10">
        <v>0</v>
      </c>
      <c r="GY42" s="10">
        <v>0</v>
      </c>
      <c r="GZ42" s="10">
        <v>0</v>
      </c>
      <c r="HA42" s="10">
        <v>0</v>
      </c>
      <c r="HB42" s="10">
        <v>0</v>
      </c>
      <c r="HC42" s="10">
        <v>0</v>
      </c>
      <c r="HD42" s="10">
        <v>0</v>
      </c>
      <c r="HE42" s="10">
        <v>0</v>
      </c>
      <c r="HF42" s="10">
        <v>0</v>
      </c>
      <c r="HG42" s="10">
        <v>0</v>
      </c>
      <c r="HH42" s="10">
        <v>0</v>
      </c>
      <c r="HI42" s="10">
        <v>0</v>
      </c>
      <c r="HJ42" s="10">
        <v>0</v>
      </c>
      <c r="HK42" s="10">
        <v>0</v>
      </c>
      <c r="HL42" s="10">
        <v>0</v>
      </c>
      <c r="HM42" s="10">
        <v>0</v>
      </c>
      <c r="HN42" s="10">
        <v>0</v>
      </c>
      <c r="HO42" s="10">
        <v>0</v>
      </c>
      <c r="HP42" s="10">
        <v>0</v>
      </c>
      <c r="HQ42" s="10">
        <v>0</v>
      </c>
      <c r="HR42" s="10">
        <v>0</v>
      </c>
      <c r="HS42" s="10">
        <v>0</v>
      </c>
      <c r="HT42" s="10">
        <v>0</v>
      </c>
      <c r="HU42" s="10">
        <v>0</v>
      </c>
      <c r="HV42" s="10">
        <v>0</v>
      </c>
      <c r="HW42" s="10">
        <v>0</v>
      </c>
      <c r="HX42" s="10">
        <v>0</v>
      </c>
      <c r="HY42" s="10">
        <v>0</v>
      </c>
      <c r="HZ42" s="10">
        <v>0</v>
      </c>
      <c r="IA42" s="10">
        <v>0</v>
      </c>
      <c r="IB42" s="10">
        <v>0</v>
      </c>
      <c r="IC42" s="10">
        <v>0</v>
      </c>
      <c r="ID42" s="10">
        <v>0</v>
      </c>
      <c r="IE42" s="10">
        <v>0</v>
      </c>
      <c r="IF42" s="10">
        <v>0</v>
      </c>
      <c r="IG42" s="10">
        <v>1</v>
      </c>
      <c r="IH42" s="10">
        <v>1</v>
      </c>
      <c r="II42" s="16"/>
      <c r="IJ42" s="10">
        <v>0</v>
      </c>
      <c r="IK42" s="10">
        <v>0</v>
      </c>
      <c r="IL42" s="10">
        <v>0</v>
      </c>
      <c r="IM42" s="35">
        <v>0</v>
      </c>
      <c r="IN42" s="35">
        <v>0</v>
      </c>
      <c r="IO42" s="35">
        <v>0</v>
      </c>
      <c r="IP42" s="10">
        <v>0</v>
      </c>
      <c r="IQ42" s="30">
        <v>0</v>
      </c>
      <c r="IR42" s="30">
        <v>0</v>
      </c>
      <c r="IS42" s="30">
        <v>0</v>
      </c>
      <c r="IT42" s="30">
        <v>0</v>
      </c>
      <c r="IU42" s="30">
        <v>0</v>
      </c>
      <c r="IV42" s="30">
        <v>0</v>
      </c>
      <c r="IW42" s="30">
        <v>0</v>
      </c>
      <c r="IX42" s="30">
        <v>0</v>
      </c>
      <c r="IY42" s="30">
        <v>0</v>
      </c>
      <c r="IZ42" s="30">
        <v>0</v>
      </c>
      <c r="JA42" s="30">
        <v>0</v>
      </c>
      <c r="JB42" s="30">
        <v>0</v>
      </c>
      <c r="JC42" s="30">
        <v>0</v>
      </c>
      <c r="JD42" s="30">
        <v>0</v>
      </c>
      <c r="JE42" s="30">
        <v>0</v>
      </c>
      <c r="JF42" s="30">
        <v>0</v>
      </c>
      <c r="JG42" s="30">
        <v>0</v>
      </c>
      <c r="JH42" s="30">
        <v>0</v>
      </c>
      <c r="JI42" s="30">
        <v>0</v>
      </c>
      <c r="JJ42" s="30">
        <v>0</v>
      </c>
      <c r="JK42" s="30">
        <v>0</v>
      </c>
      <c r="JL42" s="30">
        <v>0</v>
      </c>
      <c r="JM42" s="30">
        <v>0</v>
      </c>
      <c r="JN42" s="30">
        <v>0</v>
      </c>
      <c r="JO42" s="30">
        <v>0</v>
      </c>
      <c r="JP42" s="30">
        <v>0</v>
      </c>
      <c r="JQ42" s="30">
        <v>0</v>
      </c>
      <c r="JR42" s="30">
        <v>0</v>
      </c>
      <c r="JS42" s="30">
        <v>0</v>
      </c>
      <c r="JT42" s="30">
        <v>0</v>
      </c>
      <c r="JU42" s="30">
        <v>0</v>
      </c>
      <c r="JV42" s="30">
        <v>0</v>
      </c>
      <c r="JW42" s="30">
        <v>0</v>
      </c>
      <c r="JX42" s="30">
        <v>0</v>
      </c>
      <c r="JY42" s="30">
        <v>0</v>
      </c>
      <c r="JZ42" s="30">
        <v>0</v>
      </c>
      <c r="KA42" s="30">
        <v>0</v>
      </c>
      <c r="KB42" s="30">
        <v>0</v>
      </c>
      <c r="KC42" s="30">
        <v>0</v>
      </c>
      <c r="KD42" s="30">
        <v>0</v>
      </c>
      <c r="KE42" s="30">
        <v>0</v>
      </c>
      <c r="KF42" s="30">
        <v>0</v>
      </c>
      <c r="KG42" s="30">
        <v>0</v>
      </c>
      <c r="KH42" s="30">
        <v>0</v>
      </c>
      <c r="KI42" s="30">
        <v>0</v>
      </c>
      <c r="KJ42" s="30">
        <v>0</v>
      </c>
      <c r="KK42" s="30">
        <v>0</v>
      </c>
      <c r="KL42" s="30">
        <v>0</v>
      </c>
      <c r="KM42" s="30">
        <v>0</v>
      </c>
      <c r="KN42" s="30">
        <v>0</v>
      </c>
      <c r="KO42" s="30">
        <v>0</v>
      </c>
      <c r="KP42" s="30">
        <v>0</v>
      </c>
      <c r="KQ42" s="30">
        <v>0</v>
      </c>
      <c r="KR42" s="30">
        <v>0</v>
      </c>
      <c r="KS42" s="30">
        <v>0</v>
      </c>
      <c r="KT42" s="30">
        <v>0</v>
      </c>
      <c r="KU42" s="30">
        <v>0</v>
      </c>
      <c r="KV42" s="30">
        <v>0</v>
      </c>
      <c r="KW42" s="30">
        <v>0</v>
      </c>
      <c r="KX42" s="30">
        <v>0</v>
      </c>
      <c r="KY42" s="30">
        <v>0</v>
      </c>
      <c r="KZ42" s="30">
        <v>0</v>
      </c>
      <c r="LA42" s="30">
        <v>0</v>
      </c>
      <c r="LB42" s="30">
        <v>0</v>
      </c>
      <c r="LC42" s="30">
        <v>0</v>
      </c>
      <c r="LD42" s="30">
        <v>0</v>
      </c>
      <c r="LE42" s="30">
        <v>0</v>
      </c>
      <c r="LF42" s="30">
        <v>0</v>
      </c>
      <c r="LG42" s="30">
        <v>0</v>
      </c>
      <c r="LH42" s="30">
        <v>0</v>
      </c>
      <c r="LI42" s="30">
        <v>0</v>
      </c>
      <c r="LJ42" s="30">
        <v>0</v>
      </c>
      <c r="LK42" s="30">
        <v>0</v>
      </c>
      <c r="LL42" s="30">
        <v>0</v>
      </c>
      <c r="LM42" s="30">
        <v>0</v>
      </c>
      <c r="LN42" s="30">
        <v>0</v>
      </c>
      <c r="LO42" s="30">
        <v>0</v>
      </c>
      <c r="LP42" s="30">
        <v>0</v>
      </c>
      <c r="LQ42" s="30">
        <v>0</v>
      </c>
      <c r="LR42" s="30">
        <v>0</v>
      </c>
      <c r="LS42" s="30">
        <v>0</v>
      </c>
      <c r="LT42" s="30">
        <v>0</v>
      </c>
      <c r="LU42" s="30">
        <v>0</v>
      </c>
      <c r="LV42" s="30">
        <v>0</v>
      </c>
      <c r="LW42" s="30">
        <v>0</v>
      </c>
      <c r="LX42" s="30">
        <v>0</v>
      </c>
      <c r="LY42" s="30">
        <v>0</v>
      </c>
      <c r="LZ42" s="30">
        <v>0</v>
      </c>
      <c r="MA42" s="30">
        <v>0</v>
      </c>
      <c r="MB42" s="30">
        <v>0</v>
      </c>
      <c r="MC42" s="12">
        <v>0</v>
      </c>
      <c r="MD42" s="12">
        <v>0</v>
      </c>
      <c r="ME42" s="12">
        <v>0</v>
      </c>
      <c r="MF42" s="12">
        <v>0</v>
      </c>
      <c r="MG42" s="12">
        <v>0</v>
      </c>
      <c r="MH42" s="12">
        <v>0</v>
      </c>
      <c r="MI42" s="12">
        <v>0</v>
      </c>
      <c r="MJ42" s="12">
        <v>0</v>
      </c>
      <c r="MK42" s="12">
        <v>0</v>
      </c>
      <c r="ML42" s="16">
        <v>1</v>
      </c>
      <c r="MM42" s="16"/>
      <c r="MN42" s="16"/>
    </row>
    <row r="43" spans="1:352" ht="23.25" customHeight="1" x14ac:dyDescent="0.25">
      <c r="A43" s="3" t="s">
        <v>3</v>
      </c>
      <c r="B43" s="3" t="s">
        <v>51</v>
      </c>
      <c r="D43" s="20">
        <f t="shared" ref="D43:BP43" si="237">IF(D52=TRUE,1,0)</f>
        <v>0</v>
      </c>
      <c r="E43" s="20">
        <f t="shared" si="237"/>
        <v>0</v>
      </c>
      <c r="F43" s="20">
        <f t="shared" si="237"/>
        <v>0</v>
      </c>
      <c r="G43" s="20">
        <f t="shared" si="237"/>
        <v>0</v>
      </c>
      <c r="H43" s="20">
        <f t="shared" si="237"/>
        <v>0</v>
      </c>
      <c r="I43" s="20">
        <f t="shared" si="237"/>
        <v>0</v>
      </c>
      <c r="J43" s="20">
        <f t="shared" si="237"/>
        <v>0</v>
      </c>
      <c r="K43" s="20">
        <f t="shared" si="237"/>
        <v>0</v>
      </c>
      <c r="L43" s="20">
        <f t="shared" si="237"/>
        <v>1</v>
      </c>
      <c r="M43" s="20">
        <f t="shared" si="237"/>
        <v>1</v>
      </c>
      <c r="N43" s="20">
        <f t="shared" si="237"/>
        <v>1</v>
      </c>
      <c r="O43" s="20">
        <f t="shared" si="237"/>
        <v>0</v>
      </c>
      <c r="P43" s="20">
        <f t="shared" si="237"/>
        <v>0</v>
      </c>
      <c r="Q43" s="20">
        <f t="shared" si="237"/>
        <v>0</v>
      </c>
      <c r="R43" s="20">
        <f t="shared" si="237"/>
        <v>1</v>
      </c>
      <c r="S43" s="20">
        <f t="shared" si="237"/>
        <v>1</v>
      </c>
      <c r="T43" s="20">
        <f t="shared" si="237"/>
        <v>1</v>
      </c>
      <c r="U43" s="20">
        <f t="shared" si="237"/>
        <v>0</v>
      </c>
      <c r="V43" s="20">
        <f t="shared" si="237"/>
        <v>0</v>
      </c>
      <c r="W43" s="20">
        <f t="shared" si="237"/>
        <v>0</v>
      </c>
      <c r="X43" s="20">
        <f t="shared" si="237"/>
        <v>1</v>
      </c>
      <c r="Y43" s="20">
        <f t="shared" si="237"/>
        <v>1</v>
      </c>
      <c r="Z43" s="20">
        <f t="shared" si="237"/>
        <v>1</v>
      </c>
      <c r="AA43" s="20">
        <f t="shared" si="237"/>
        <v>0</v>
      </c>
      <c r="AB43" s="20">
        <f t="shared" si="237"/>
        <v>0</v>
      </c>
      <c r="AC43" s="20">
        <f t="shared" si="237"/>
        <v>0</v>
      </c>
      <c r="AD43" s="20">
        <f t="shared" si="237"/>
        <v>1</v>
      </c>
      <c r="AE43" s="20">
        <f t="shared" si="237"/>
        <v>1</v>
      </c>
      <c r="AF43" s="20">
        <f t="shared" si="237"/>
        <v>1</v>
      </c>
      <c r="AG43" s="20">
        <f t="shared" si="237"/>
        <v>0</v>
      </c>
      <c r="AH43" s="20">
        <f t="shared" si="237"/>
        <v>0</v>
      </c>
      <c r="AI43" s="20">
        <f t="shared" si="237"/>
        <v>0</v>
      </c>
      <c r="AJ43" s="20">
        <f t="shared" si="237"/>
        <v>1</v>
      </c>
      <c r="AK43" s="20">
        <f t="shared" si="237"/>
        <v>1</v>
      </c>
      <c r="AL43" s="20">
        <f t="shared" si="237"/>
        <v>1</v>
      </c>
      <c r="AM43" s="20">
        <f t="shared" si="237"/>
        <v>0</v>
      </c>
      <c r="AN43" s="20">
        <f t="shared" si="237"/>
        <v>0</v>
      </c>
      <c r="AO43" s="20">
        <f t="shared" si="237"/>
        <v>0</v>
      </c>
      <c r="AP43" s="20">
        <f t="shared" si="237"/>
        <v>1</v>
      </c>
      <c r="AQ43" s="20">
        <f t="shared" si="237"/>
        <v>1</v>
      </c>
      <c r="AR43" s="20">
        <f t="shared" si="237"/>
        <v>1</v>
      </c>
      <c r="AS43" s="20">
        <f t="shared" si="237"/>
        <v>0</v>
      </c>
      <c r="AT43" s="20">
        <f t="shared" si="237"/>
        <v>0</v>
      </c>
      <c r="AU43" s="20">
        <f t="shared" si="237"/>
        <v>0</v>
      </c>
      <c r="AV43" s="20">
        <f t="shared" si="237"/>
        <v>1</v>
      </c>
      <c r="AW43" s="20">
        <f t="shared" si="237"/>
        <v>1</v>
      </c>
      <c r="AX43" s="20">
        <f t="shared" si="237"/>
        <v>1</v>
      </c>
      <c r="AY43" s="20">
        <f t="shared" si="237"/>
        <v>0</v>
      </c>
      <c r="AZ43" s="20">
        <f t="shared" si="237"/>
        <v>0</v>
      </c>
      <c r="BA43" s="20">
        <f t="shared" si="237"/>
        <v>0</v>
      </c>
      <c r="BB43" s="20">
        <f t="shared" si="237"/>
        <v>1</v>
      </c>
      <c r="BC43" s="20">
        <f t="shared" si="237"/>
        <v>1</v>
      </c>
      <c r="BD43" s="20">
        <f t="shared" si="237"/>
        <v>1</v>
      </c>
      <c r="BE43" s="20">
        <f t="shared" si="237"/>
        <v>0</v>
      </c>
      <c r="BF43" s="20">
        <f t="shared" si="237"/>
        <v>0</v>
      </c>
      <c r="BG43" s="20">
        <f t="shared" si="237"/>
        <v>0</v>
      </c>
      <c r="BH43" s="20">
        <f t="shared" si="237"/>
        <v>1</v>
      </c>
      <c r="BI43" s="20">
        <f t="shared" si="237"/>
        <v>1</v>
      </c>
      <c r="BJ43" s="20">
        <f t="shared" si="237"/>
        <v>1</v>
      </c>
      <c r="BK43" s="20">
        <f t="shared" si="237"/>
        <v>0</v>
      </c>
      <c r="BL43" s="20">
        <f t="shared" si="237"/>
        <v>0</v>
      </c>
      <c r="BM43" s="20">
        <f t="shared" si="237"/>
        <v>0</v>
      </c>
      <c r="BN43" s="20">
        <f t="shared" si="237"/>
        <v>1</v>
      </c>
      <c r="BO43" s="20">
        <f t="shared" si="237"/>
        <v>1</v>
      </c>
      <c r="BP43" s="20">
        <f t="shared" si="237"/>
        <v>1</v>
      </c>
      <c r="BQ43" s="20">
        <v>1</v>
      </c>
      <c r="BR43" s="20">
        <v>1</v>
      </c>
      <c r="BS43" s="20">
        <v>1</v>
      </c>
      <c r="BT43" s="20">
        <f t="shared" ref="BT43:CM43" si="238">IF(BT52=TRUE,1,0)</f>
        <v>0</v>
      </c>
      <c r="BU43" s="20">
        <f t="shared" si="238"/>
        <v>0</v>
      </c>
      <c r="BV43" s="20">
        <f t="shared" si="238"/>
        <v>0</v>
      </c>
      <c r="BW43" s="40">
        <f t="shared" si="238"/>
        <v>0</v>
      </c>
      <c r="BX43" s="20">
        <f t="shared" si="238"/>
        <v>0</v>
      </c>
      <c r="BY43" s="20">
        <f t="shared" si="238"/>
        <v>0</v>
      </c>
      <c r="BZ43" s="20">
        <f t="shared" si="238"/>
        <v>0</v>
      </c>
      <c r="CA43" s="20">
        <f t="shared" si="238"/>
        <v>0</v>
      </c>
      <c r="CB43" s="20">
        <f t="shared" si="238"/>
        <v>0</v>
      </c>
      <c r="CC43" s="20">
        <f t="shared" si="238"/>
        <v>1</v>
      </c>
      <c r="CD43" s="20">
        <f t="shared" si="238"/>
        <v>1</v>
      </c>
      <c r="CE43" s="20">
        <f t="shared" si="238"/>
        <v>0</v>
      </c>
      <c r="CF43" s="52">
        <f t="shared" si="238"/>
        <v>0</v>
      </c>
      <c r="CG43" s="52">
        <f t="shared" si="238"/>
        <v>0</v>
      </c>
      <c r="CH43" s="52">
        <f t="shared" si="238"/>
        <v>0</v>
      </c>
      <c r="CI43" s="52">
        <f t="shared" si="238"/>
        <v>1</v>
      </c>
      <c r="CJ43" s="52">
        <f t="shared" si="238"/>
        <v>1</v>
      </c>
      <c r="CK43" s="52">
        <f t="shared" si="238"/>
        <v>1</v>
      </c>
      <c r="CL43" s="52">
        <f t="shared" si="238"/>
        <v>1</v>
      </c>
      <c r="CM43" s="52">
        <f t="shared" si="238"/>
        <v>1</v>
      </c>
      <c r="CN43" s="52">
        <v>1</v>
      </c>
      <c r="CO43" s="52">
        <v>1</v>
      </c>
      <c r="CP43" s="52">
        <v>1</v>
      </c>
      <c r="CQ43" s="52">
        <f>IF(CQ52=TRUE,1,0)</f>
        <v>1</v>
      </c>
      <c r="CR43" s="52">
        <f>IF(CR52=TRUE,1,0)</f>
        <v>1</v>
      </c>
      <c r="CS43" s="52">
        <f>IF(CS52=TRUE,1,0)</f>
        <v>1</v>
      </c>
      <c r="CT43" s="52">
        <f>IF(CT52=TRUE,1,0)</f>
        <v>1</v>
      </c>
      <c r="CU43" s="52">
        <f>IF(CU52=TRUE,1,0)</f>
        <v>1</v>
      </c>
      <c r="CV43" s="52">
        <v>1</v>
      </c>
      <c r="CW43" s="52">
        <v>1</v>
      </c>
      <c r="CX43" s="52">
        <v>1</v>
      </c>
      <c r="CY43" s="52">
        <f>IF(CY52=TRUE,1,0)</f>
        <v>1</v>
      </c>
      <c r="CZ43" s="52">
        <f>IF(CZ52=TRUE,1,0)</f>
        <v>1</v>
      </c>
      <c r="DA43" s="52">
        <f>IF(DA52=TRUE,1,0)</f>
        <v>1</v>
      </c>
      <c r="DB43" s="52">
        <f>IF(DB52=TRUE,1,0)</f>
        <v>1</v>
      </c>
      <c r="DC43" s="52">
        <f>IF(DC52=TRUE,1,0)</f>
        <v>1</v>
      </c>
      <c r="DD43" s="52">
        <v>1</v>
      </c>
      <c r="DE43" s="52">
        <v>1</v>
      </c>
      <c r="DF43" s="52">
        <v>1</v>
      </c>
      <c r="DG43" s="52">
        <f>IF(DG52=TRUE,1,0)</f>
        <v>1</v>
      </c>
      <c r="DH43" s="52">
        <f>IF(DH52=TRUE,1,0)</f>
        <v>1</v>
      </c>
      <c r="DI43" s="52">
        <f>IF(DI52=TRUE,1,0)</f>
        <v>1</v>
      </c>
      <c r="DJ43" s="52">
        <f>IF(DJ52=TRUE,1,0)</f>
        <v>1</v>
      </c>
      <c r="DK43" s="52">
        <f>IF(DK52=TRUE,1,0)</f>
        <v>1</v>
      </c>
      <c r="DL43" s="52">
        <v>1</v>
      </c>
      <c r="DM43" s="52">
        <v>1</v>
      </c>
      <c r="DN43" s="52">
        <v>1</v>
      </c>
      <c r="DO43" s="52">
        <f>IF(DO52=TRUE,1,0)</f>
        <v>1</v>
      </c>
      <c r="DP43" s="52">
        <f>IF(DP52=TRUE,1,0)</f>
        <v>1</v>
      </c>
      <c r="DQ43" s="52">
        <f>IF(DQ52=TRUE,1,0)</f>
        <v>1</v>
      </c>
      <c r="DR43" s="52">
        <f>IF(DR52=TRUE,1,0)</f>
        <v>1</v>
      </c>
      <c r="DS43" s="52">
        <f>IF(DS52=TRUE,1,0)</f>
        <v>1</v>
      </c>
      <c r="DT43" s="52">
        <v>1</v>
      </c>
      <c r="DU43" s="52">
        <v>1</v>
      </c>
      <c r="DV43" s="52">
        <v>1</v>
      </c>
      <c r="DW43" s="52">
        <f>IF(DW52=TRUE,1,0)</f>
        <v>1</v>
      </c>
      <c r="DX43" s="52">
        <f>IF(DX52=TRUE,1,0)</f>
        <v>1</v>
      </c>
      <c r="DY43" s="52">
        <f>IF(DY52=TRUE,1,0)</f>
        <v>1</v>
      </c>
      <c r="DZ43" s="52">
        <f>IF(DZ52=TRUE,1,0)</f>
        <v>1</v>
      </c>
      <c r="EA43" s="52">
        <f>IF(EA52=TRUE,1,0)</f>
        <v>1</v>
      </c>
      <c r="EB43" s="52">
        <v>1</v>
      </c>
      <c r="EC43" s="52">
        <v>1</v>
      </c>
      <c r="ED43" s="52">
        <v>1</v>
      </c>
      <c r="EE43" s="52">
        <f>IF(EE52=TRUE,1,0)</f>
        <v>1</v>
      </c>
      <c r="EF43" s="52">
        <f>IF(EF52=TRUE,1,0)</f>
        <v>1</v>
      </c>
      <c r="EG43" s="52">
        <f>IF(EG52=TRUE,1,0)</f>
        <v>1</v>
      </c>
      <c r="EH43" s="52">
        <f>IF(EH52=TRUE,1,0)</f>
        <v>1</v>
      </c>
      <c r="EI43" s="52">
        <f>IF(EI52=TRUE,1,0)</f>
        <v>1</v>
      </c>
      <c r="EJ43" s="52">
        <v>1</v>
      </c>
      <c r="EK43" s="52">
        <v>1</v>
      </c>
      <c r="EL43" s="52">
        <v>1</v>
      </c>
      <c r="EM43" s="52">
        <f>IF(EM52=TRUE,1,0)</f>
        <v>1</v>
      </c>
      <c r="EN43" s="52">
        <f>IF(EN52=TRUE,1,0)</f>
        <v>1</v>
      </c>
      <c r="EO43" s="52">
        <f>IF(EO52=TRUE,1,0)</f>
        <v>1</v>
      </c>
      <c r="EP43" s="52">
        <f>IF(EP52=TRUE,1,0)</f>
        <v>1</v>
      </c>
      <c r="EQ43" s="52">
        <f>IF(EQ52=TRUE,1,0)</f>
        <v>1</v>
      </c>
      <c r="ER43" s="52">
        <v>1</v>
      </c>
      <c r="ES43" s="52">
        <v>1</v>
      </c>
      <c r="ET43" s="52">
        <v>1</v>
      </c>
      <c r="EU43" s="52">
        <f>IF(EU52=TRUE,1,0)</f>
        <v>1</v>
      </c>
      <c r="EV43" s="52">
        <f>IF(EV52=TRUE,1,0)</f>
        <v>1</v>
      </c>
      <c r="EW43" s="52">
        <f>IF(EW52=TRUE,1,0)</f>
        <v>1</v>
      </c>
      <c r="EX43" s="52">
        <f>IF(EX52=TRUE,1,0)</f>
        <v>1</v>
      </c>
      <c r="EY43" s="52">
        <f>IF(EY52=TRUE,1,0)</f>
        <v>1</v>
      </c>
      <c r="EZ43" s="52">
        <v>1</v>
      </c>
      <c r="FA43" s="52">
        <v>1</v>
      </c>
      <c r="FB43" s="52">
        <v>1</v>
      </c>
      <c r="FC43" s="52">
        <f>IF(FC52=TRUE,1,0)</f>
        <v>1</v>
      </c>
      <c r="FD43" s="52">
        <f>IF(FD52=TRUE,1,0)</f>
        <v>1</v>
      </c>
      <c r="FE43" s="52">
        <f>IF(FE52=TRUE,1,0)</f>
        <v>1</v>
      </c>
      <c r="FF43" s="52">
        <f>IF(FF52=TRUE,1,0)</f>
        <v>1</v>
      </c>
      <c r="FG43" s="52">
        <f>IF(FG52=TRUE,1,0)</f>
        <v>1</v>
      </c>
      <c r="FH43" s="52">
        <v>1</v>
      </c>
      <c r="FI43" s="52">
        <v>1</v>
      </c>
      <c r="FJ43" s="52">
        <v>1</v>
      </c>
      <c r="FK43" s="52">
        <f>IF(FK52=TRUE,1,0)</f>
        <v>1</v>
      </c>
      <c r="FL43" s="52">
        <f>IF(FL52=TRUE,1,0)</f>
        <v>1</v>
      </c>
      <c r="FM43" s="52">
        <f>IF(FM52=TRUE,1,0)</f>
        <v>1</v>
      </c>
      <c r="FN43" s="52">
        <f>IF(FN52=TRUE,1,0)</f>
        <v>1</v>
      </c>
      <c r="FO43" s="52">
        <f>IF(FO52=TRUE,1,0)</f>
        <v>1</v>
      </c>
      <c r="FP43" s="20"/>
      <c r="FQ43" s="20">
        <f t="shared" ref="FQ43:IB43" si="239">IF(FQ52=TRUE,1,0)</f>
        <v>0</v>
      </c>
      <c r="FR43" s="20">
        <f t="shared" si="239"/>
        <v>0</v>
      </c>
      <c r="FS43" s="20">
        <f t="shared" si="239"/>
        <v>0</v>
      </c>
      <c r="FT43" s="20">
        <f t="shared" si="239"/>
        <v>1</v>
      </c>
      <c r="FU43" s="20">
        <f t="shared" si="239"/>
        <v>1</v>
      </c>
      <c r="FV43" s="20">
        <f t="shared" si="239"/>
        <v>1</v>
      </c>
      <c r="FW43" s="20">
        <f t="shared" si="239"/>
        <v>1</v>
      </c>
      <c r="FX43" s="20">
        <f t="shared" si="239"/>
        <v>1</v>
      </c>
      <c r="FY43" s="20">
        <f t="shared" si="239"/>
        <v>1</v>
      </c>
      <c r="FZ43" s="20">
        <f t="shared" si="239"/>
        <v>1</v>
      </c>
      <c r="GA43" s="20">
        <f t="shared" si="239"/>
        <v>1</v>
      </c>
      <c r="GB43" s="20">
        <f t="shared" si="239"/>
        <v>1</v>
      </c>
      <c r="GC43" s="20">
        <f t="shared" si="239"/>
        <v>1</v>
      </c>
      <c r="GD43" s="20">
        <f t="shared" si="239"/>
        <v>1</v>
      </c>
      <c r="GE43" s="20">
        <f t="shared" si="239"/>
        <v>1</v>
      </c>
      <c r="GF43" s="20">
        <f t="shared" si="239"/>
        <v>1</v>
      </c>
      <c r="GG43" s="20">
        <f t="shared" si="239"/>
        <v>1</v>
      </c>
      <c r="GH43" s="20">
        <f t="shared" si="239"/>
        <v>1</v>
      </c>
      <c r="GI43" s="20">
        <f t="shared" si="239"/>
        <v>1</v>
      </c>
      <c r="GJ43" s="20">
        <f t="shared" si="239"/>
        <v>1</v>
      </c>
      <c r="GK43" s="20">
        <f t="shared" si="239"/>
        <v>1</v>
      </c>
      <c r="GL43" s="20">
        <f t="shared" si="239"/>
        <v>1</v>
      </c>
      <c r="GM43" s="20">
        <f t="shared" si="239"/>
        <v>1</v>
      </c>
      <c r="GN43" s="20">
        <f t="shared" si="239"/>
        <v>1</v>
      </c>
      <c r="GO43" s="20">
        <f t="shared" si="239"/>
        <v>1</v>
      </c>
      <c r="GP43" s="20">
        <f t="shared" si="239"/>
        <v>1</v>
      </c>
      <c r="GQ43" s="20">
        <f t="shared" si="239"/>
        <v>1</v>
      </c>
      <c r="GR43" s="20">
        <f t="shared" si="239"/>
        <v>1</v>
      </c>
      <c r="GS43" s="20">
        <f t="shared" si="239"/>
        <v>1</v>
      </c>
      <c r="GT43" s="20">
        <f t="shared" si="239"/>
        <v>1</v>
      </c>
      <c r="GU43" s="20">
        <f t="shared" si="239"/>
        <v>1</v>
      </c>
      <c r="GV43" s="20">
        <f t="shared" si="239"/>
        <v>1</v>
      </c>
      <c r="GW43" s="20">
        <f t="shared" si="239"/>
        <v>1</v>
      </c>
      <c r="GX43" s="20">
        <f t="shared" si="239"/>
        <v>1</v>
      </c>
      <c r="GY43" s="20">
        <f t="shared" si="239"/>
        <v>1</v>
      </c>
      <c r="GZ43" s="20">
        <f t="shared" si="239"/>
        <v>1</v>
      </c>
      <c r="HA43" s="20">
        <f t="shared" si="239"/>
        <v>1</v>
      </c>
      <c r="HB43" s="20">
        <f t="shared" si="239"/>
        <v>1</v>
      </c>
      <c r="HC43" s="20">
        <f t="shared" si="239"/>
        <v>1</v>
      </c>
      <c r="HD43" s="20">
        <f t="shared" si="239"/>
        <v>1</v>
      </c>
      <c r="HE43" s="20">
        <f t="shared" si="239"/>
        <v>1</v>
      </c>
      <c r="HF43" s="20">
        <f t="shared" si="239"/>
        <v>1</v>
      </c>
      <c r="HG43" s="20">
        <f t="shared" si="239"/>
        <v>1</v>
      </c>
      <c r="HH43" s="20">
        <f t="shared" si="239"/>
        <v>1</v>
      </c>
      <c r="HI43" s="20">
        <f t="shared" si="239"/>
        <v>1</v>
      </c>
      <c r="HJ43" s="20">
        <f t="shared" si="239"/>
        <v>1</v>
      </c>
      <c r="HK43" s="20">
        <f t="shared" si="239"/>
        <v>1</v>
      </c>
      <c r="HL43" s="20">
        <f t="shared" si="239"/>
        <v>1</v>
      </c>
      <c r="HM43" s="20">
        <f t="shared" si="239"/>
        <v>1</v>
      </c>
      <c r="HN43" s="20">
        <f t="shared" si="239"/>
        <v>1</v>
      </c>
      <c r="HO43" s="20">
        <f t="shared" si="239"/>
        <v>1</v>
      </c>
      <c r="HP43" s="20">
        <f t="shared" si="239"/>
        <v>1</v>
      </c>
      <c r="HQ43" s="20">
        <f t="shared" si="239"/>
        <v>1</v>
      </c>
      <c r="HR43" s="20">
        <f t="shared" si="239"/>
        <v>1</v>
      </c>
      <c r="HS43" s="20">
        <f t="shared" si="239"/>
        <v>1</v>
      </c>
      <c r="HT43" s="20">
        <f t="shared" si="239"/>
        <v>1</v>
      </c>
      <c r="HU43" s="20">
        <f t="shared" si="239"/>
        <v>1</v>
      </c>
      <c r="HV43" s="20">
        <f t="shared" si="239"/>
        <v>1</v>
      </c>
      <c r="HW43" s="20">
        <f t="shared" si="239"/>
        <v>1</v>
      </c>
      <c r="HX43" s="20">
        <f t="shared" si="239"/>
        <v>1</v>
      </c>
      <c r="HY43" s="20">
        <f t="shared" si="239"/>
        <v>1</v>
      </c>
      <c r="HZ43" s="20">
        <f t="shared" si="239"/>
        <v>1</v>
      </c>
      <c r="IA43" s="20">
        <f t="shared" si="239"/>
        <v>1</v>
      </c>
      <c r="IB43" s="20">
        <f t="shared" si="239"/>
        <v>1</v>
      </c>
      <c r="IC43" s="20">
        <f t="shared" ref="IC43:IH43" si="240">IF(IC52=TRUE,1,0)</f>
        <v>1</v>
      </c>
      <c r="ID43" s="20">
        <f t="shared" si="240"/>
        <v>1</v>
      </c>
      <c r="IE43" s="20">
        <f t="shared" si="240"/>
        <v>1</v>
      </c>
      <c r="IF43" s="20">
        <f t="shared" si="240"/>
        <v>1</v>
      </c>
      <c r="IG43" s="20">
        <f t="shared" si="240"/>
        <v>1</v>
      </c>
      <c r="IH43" s="20">
        <f t="shared" si="240"/>
        <v>1</v>
      </c>
      <c r="II43" s="20"/>
      <c r="IJ43" s="20">
        <f t="shared" ref="IJ43:KK43" si="241">IF(IJ52=TRUE,1,0)</f>
        <v>0</v>
      </c>
      <c r="IK43" s="20">
        <f t="shared" si="241"/>
        <v>0</v>
      </c>
      <c r="IL43" s="20">
        <f t="shared" si="241"/>
        <v>1</v>
      </c>
      <c r="IM43" s="40">
        <f t="shared" si="241"/>
        <v>1</v>
      </c>
      <c r="IN43" s="40">
        <f t="shared" si="241"/>
        <v>0</v>
      </c>
      <c r="IO43" s="40">
        <f t="shared" si="241"/>
        <v>0</v>
      </c>
      <c r="IP43" s="20">
        <f t="shared" si="241"/>
        <v>0</v>
      </c>
      <c r="IQ43" s="20">
        <f t="shared" si="241"/>
        <v>0</v>
      </c>
      <c r="IR43" s="20">
        <f t="shared" si="241"/>
        <v>0</v>
      </c>
      <c r="IS43" s="20">
        <f t="shared" si="241"/>
        <v>0</v>
      </c>
      <c r="IT43" s="20">
        <f t="shared" si="241"/>
        <v>0</v>
      </c>
      <c r="IU43" s="20">
        <f t="shared" si="241"/>
        <v>0</v>
      </c>
      <c r="IV43" s="20">
        <f t="shared" si="241"/>
        <v>0</v>
      </c>
      <c r="IW43" s="20">
        <f t="shared" si="241"/>
        <v>0</v>
      </c>
      <c r="IX43" s="20">
        <f t="shared" si="241"/>
        <v>0</v>
      </c>
      <c r="IY43" s="20">
        <f t="shared" si="241"/>
        <v>1</v>
      </c>
      <c r="IZ43" s="20">
        <f t="shared" si="241"/>
        <v>1</v>
      </c>
      <c r="JA43" s="20">
        <f t="shared" si="241"/>
        <v>1</v>
      </c>
      <c r="JB43" s="20">
        <f t="shared" si="241"/>
        <v>1</v>
      </c>
      <c r="JC43" s="20">
        <f t="shared" si="241"/>
        <v>1</v>
      </c>
      <c r="JD43" s="20">
        <f t="shared" si="241"/>
        <v>1</v>
      </c>
      <c r="JE43" s="20">
        <f t="shared" si="241"/>
        <v>1</v>
      </c>
      <c r="JF43" s="20">
        <f t="shared" si="241"/>
        <v>1</v>
      </c>
      <c r="JG43" s="20">
        <f t="shared" si="241"/>
        <v>1</v>
      </c>
      <c r="JH43" s="20">
        <f t="shared" si="241"/>
        <v>1</v>
      </c>
      <c r="JI43" s="20">
        <f t="shared" si="241"/>
        <v>1</v>
      </c>
      <c r="JJ43" s="20">
        <f t="shared" si="241"/>
        <v>1</v>
      </c>
      <c r="JK43" s="20">
        <f t="shared" si="241"/>
        <v>1</v>
      </c>
      <c r="JL43" s="20">
        <f t="shared" si="241"/>
        <v>1</v>
      </c>
      <c r="JM43" s="20">
        <f t="shared" si="241"/>
        <v>1</v>
      </c>
      <c r="JN43" s="20">
        <f t="shared" si="241"/>
        <v>1</v>
      </c>
      <c r="JO43" s="20">
        <f t="shared" si="241"/>
        <v>1</v>
      </c>
      <c r="JP43" s="20">
        <f t="shared" si="241"/>
        <v>1</v>
      </c>
      <c r="JQ43" s="20">
        <f t="shared" si="241"/>
        <v>1</v>
      </c>
      <c r="JR43" s="20">
        <f t="shared" si="241"/>
        <v>1</v>
      </c>
      <c r="JS43" s="20">
        <f t="shared" si="241"/>
        <v>1</v>
      </c>
      <c r="JT43" s="20">
        <f t="shared" si="241"/>
        <v>1</v>
      </c>
      <c r="JU43" s="20">
        <f t="shared" si="241"/>
        <v>1</v>
      </c>
      <c r="JV43" s="20">
        <f t="shared" si="241"/>
        <v>1</v>
      </c>
      <c r="JW43" s="20">
        <f t="shared" si="241"/>
        <v>1</v>
      </c>
      <c r="JX43" s="20">
        <f t="shared" si="241"/>
        <v>1</v>
      </c>
      <c r="JY43" s="20">
        <f t="shared" si="241"/>
        <v>1</v>
      </c>
      <c r="JZ43" s="20">
        <f t="shared" si="241"/>
        <v>1</v>
      </c>
      <c r="KA43" s="20">
        <f t="shared" si="241"/>
        <v>1</v>
      </c>
      <c r="KB43" s="20">
        <f t="shared" si="241"/>
        <v>1</v>
      </c>
      <c r="KC43" s="20">
        <f t="shared" si="241"/>
        <v>1</v>
      </c>
      <c r="KD43" s="20">
        <f t="shared" si="241"/>
        <v>1</v>
      </c>
      <c r="KE43" s="20">
        <f t="shared" si="241"/>
        <v>1</v>
      </c>
      <c r="KF43" s="20">
        <f t="shared" si="241"/>
        <v>1</v>
      </c>
      <c r="KG43" s="20">
        <f t="shared" si="241"/>
        <v>1</v>
      </c>
      <c r="KH43" s="20">
        <f t="shared" si="241"/>
        <v>1</v>
      </c>
      <c r="KI43" s="20">
        <f t="shared" si="241"/>
        <v>1</v>
      </c>
      <c r="KJ43" s="20">
        <f t="shared" si="241"/>
        <v>1</v>
      </c>
      <c r="KK43" s="20">
        <f t="shared" si="241"/>
        <v>1</v>
      </c>
      <c r="KL43" s="20">
        <f t="shared" ref="KL43:ML43" si="242">IF(KL52=TRUE,1,0)</f>
        <v>1</v>
      </c>
      <c r="KM43" s="20">
        <f t="shared" si="242"/>
        <v>1</v>
      </c>
      <c r="KN43" s="20">
        <f t="shared" si="242"/>
        <v>1</v>
      </c>
      <c r="KO43" s="20">
        <f t="shared" si="242"/>
        <v>1</v>
      </c>
      <c r="KP43" s="20">
        <f t="shared" si="242"/>
        <v>1</v>
      </c>
      <c r="KQ43" s="20">
        <f t="shared" si="242"/>
        <v>1</v>
      </c>
      <c r="KR43" s="20">
        <f t="shared" si="242"/>
        <v>1</v>
      </c>
      <c r="KS43" s="20">
        <f t="shared" si="242"/>
        <v>1</v>
      </c>
      <c r="KT43" s="20">
        <f t="shared" si="242"/>
        <v>1</v>
      </c>
      <c r="KU43" s="20">
        <f t="shared" si="242"/>
        <v>1</v>
      </c>
      <c r="KV43" s="20">
        <f t="shared" si="242"/>
        <v>1</v>
      </c>
      <c r="KW43" s="20">
        <f t="shared" si="242"/>
        <v>1</v>
      </c>
      <c r="KX43" s="20">
        <f t="shared" si="242"/>
        <v>1</v>
      </c>
      <c r="KY43" s="20">
        <f t="shared" si="242"/>
        <v>1</v>
      </c>
      <c r="KZ43" s="20">
        <f t="shared" si="242"/>
        <v>1</v>
      </c>
      <c r="LA43" s="20">
        <f t="shared" si="242"/>
        <v>1</v>
      </c>
      <c r="LB43" s="20">
        <f t="shared" si="242"/>
        <v>1</v>
      </c>
      <c r="LC43" s="20">
        <f t="shared" si="242"/>
        <v>1</v>
      </c>
      <c r="LD43" s="20">
        <f t="shared" si="242"/>
        <v>1</v>
      </c>
      <c r="LE43" s="20">
        <f t="shared" si="242"/>
        <v>1</v>
      </c>
      <c r="LF43" s="20">
        <f t="shared" si="242"/>
        <v>1</v>
      </c>
      <c r="LG43" s="20">
        <f t="shared" si="242"/>
        <v>1</v>
      </c>
      <c r="LH43" s="20">
        <f t="shared" si="242"/>
        <v>1</v>
      </c>
      <c r="LI43" s="20">
        <f t="shared" si="242"/>
        <v>1</v>
      </c>
      <c r="LJ43" s="20">
        <f t="shared" si="242"/>
        <v>1</v>
      </c>
      <c r="LK43" s="20">
        <f t="shared" si="242"/>
        <v>1</v>
      </c>
      <c r="LL43" s="20">
        <f t="shared" si="242"/>
        <v>1</v>
      </c>
      <c r="LM43" s="20">
        <f t="shared" si="242"/>
        <v>1</v>
      </c>
      <c r="LN43" s="20">
        <f t="shared" si="242"/>
        <v>1</v>
      </c>
      <c r="LO43" s="20">
        <f t="shared" si="242"/>
        <v>1</v>
      </c>
      <c r="LP43" s="20">
        <f t="shared" si="242"/>
        <v>1</v>
      </c>
      <c r="LQ43" s="20">
        <f t="shared" si="242"/>
        <v>1</v>
      </c>
      <c r="LR43" s="20">
        <f t="shared" si="242"/>
        <v>1</v>
      </c>
      <c r="LS43" s="20">
        <f t="shared" si="242"/>
        <v>1</v>
      </c>
      <c r="LT43" s="20">
        <f t="shared" si="242"/>
        <v>1</v>
      </c>
      <c r="LU43" s="20">
        <f t="shared" si="242"/>
        <v>1</v>
      </c>
      <c r="LV43" s="20">
        <f t="shared" si="242"/>
        <v>1</v>
      </c>
      <c r="LW43" s="20">
        <f t="shared" si="242"/>
        <v>1</v>
      </c>
      <c r="LX43" s="20">
        <f t="shared" si="242"/>
        <v>1</v>
      </c>
      <c r="LY43" s="20">
        <f t="shared" si="242"/>
        <v>1</v>
      </c>
      <c r="LZ43" s="20">
        <f t="shared" si="242"/>
        <v>1</v>
      </c>
      <c r="MA43" s="20">
        <f t="shared" si="242"/>
        <v>1</v>
      </c>
      <c r="MB43" s="20">
        <f t="shared" si="242"/>
        <v>1</v>
      </c>
      <c r="MC43" s="20">
        <f t="shared" si="242"/>
        <v>1</v>
      </c>
      <c r="MD43" s="20">
        <f t="shared" si="242"/>
        <v>1</v>
      </c>
      <c r="ME43" s="20">
        <f t="shared" si="242"/>
        <v>1</v>
      </c>
      <c r="MF43" s="20">
        <f t="shared" si="242"/>
        <v>1</v>
      </c>
      <c r="MG43" s="20">
        <f t="shared" si="242"/>
        <v>1</v>
      </c>
      <c r="MH43" s="20">
        <f t="shared" si="242"/>
        <v>1</v>
      </c>
      <c r="MI43" s="20">
        <f t="shared" si="242"/>
        <v>1</v>
      </c>
      <c r="MJ43" s="20">
        <f t="shared" si="242"/>
        <v>1</v>
      </c>
      <c r="MK43" s="20">
        <f t="shared" si="242"/>
        <v>1</v>
      </c>
      <c r="ML43" s="20">
        <f t="shared" si="242"/>
        <v>1</v>
      </c>
      <c r="MM43" s="20"/>
      <c r="MN43" s="20"/>
    </row>
    <row r="44" spans="1:352" ht="23.25" customHeight="1" x14ac:dyDescent="0.25">
      <c r="A44" s="3" t="s">
        <v>3</v>
      </c>
      <c r="B44" s="3" t="s">
        <v>52</v>
      </c>
      <c r="C44" s="3"/>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c r="AF44" s="3">
        <v>0</v>
      </c>
      <c r="AG44" s="3">
        <v>0</v>
      </c>
      <c r="AH44" s="3">
        <v>0</v>
      </c>
      <c r="AI44" s="3">
        <v>0</v>
      </c>
      <c r="AJ44" s="3">
        <v>0</v>
      </c>
      <c r="AK44" s="3">
        <v>0</v>
      </c>
      <c r="AL44" s="3">
        <v>0</v>
      </c>
      <c r="AM44" s="3">
        <v>0</v>
      </c>
      <c r="AN44" s="3">
        <v>0</v>
      </c>
      <c r="AO44" s="3">
        <v>0</v>
      </c>
      <c r="AP44" s="3">
        <v>0</v>
      </c>
      <c r="AQ44" s="3">
        <v>0</v>
      </c>
      <c r="AR44" s="3">
        <v>0</v>
      </c>
      <c r="AS44" s="3">
        <v>0</v>
      </c>
      <c r="AT44" s="3">
        <v>0</v>
      </c>
      <c r="AU44" s="3">
        <v>0</v>
      </c>
      <c r="AV44" s="3">
        <v>0</v>
      </c>
      <c r="AW44" s="3">
        <v>0</v>
      </c>
      <c r="AX44" s="3">
        <v>0</v>
      </c>
      <c r="AY44" s="3">
        <v>0</v>
      </c>
      <c r="AZ44" s="3">
        <v>0</v>
      </c>
      <c r="BA44" s="3">
        <v>0</v>
      </c>
      <c r="BB44" s="3">
        <v>0</v>
      </c>
      <c r="BC44" s="3">
        <v>0</v>
      </c>
      <c r="BD44" s="3">
        <v>0</v>
      </c>
      <c r="BE44" s="3">
        <v>0</v>
      </c>
      <c r="BF44" s="3">
        <v>0</v>
      </c>
      <c r="BG44" s="3">
        <v>0</v>
      </c>
      <c r="BH44" s="3">
        <v>0</v>
      </c>
      <c r="BI44" s="3">
        <v>0</v>
      </c>
      <c r="BJ44" s="3">
        <v>0</v>
      </c>
      <c r="BK44" s="3">
        <v>0</v>
      </c>
      <c r="BL44" s="3">
        <v>0</v>
      </c>
      <c r="BM44" s="3">
        <v>0</v>
      </c>
      <c r="BN44" s="3">
        <v>0</v>
      </c>
      <c r="BO44" s="3">
        <v>0</v>
      </c>
      <c r="BP44" s="3">
        <v>1</v>
      </c>
      <c r="BQ44" s="3">
        <v>4</v>
      </c>
      <c r="BR44" s="3">
        <v>2</v>
      </c>
      <c r="BS44" s="3">
        <v>0</v>
      </c>
      <c r="BT44" s="3">
        <v>0</v>
      </c>
      <c r="BU44" s="3">
        <v>0</v>
      </c>
      <c r="BV44" s="3">
        <v>0</v>
      </c>
      <c r="BW44" s="3">
        <v>0</v>
      </c>
      <c r="BX44" s="3">
        <v>0</v>
      </c>
      <c r="BY44" s="3">
        <v>0</v>
      </c>
      <c r="BZ44" s="3">
        <v>0</v>
      </c>
      <c r="CA44" s="3">
        <v>0</v>
      </c>
      <c r="CB44" s="3">
        <v>0</v>
      </c>
      <c r="CC44" s="3">
        <v>0</v>
      </c>
      <c r="CD44" s="3">
        <v>0</v>
      </c>
      <c r="CE44" s="3">
        <v>1</v>
      </c>
      <c r="CF44" s="55">
        <v>4</v>
      </c>
      <c r="CG44" s="55">
        <v>2</v>
      </c>
      <c r="CH44" s="55">
        <v>0</v>
      </c>
      <c r="CI44" s="55">
        <v>3</v>
      </c>
      <c r="CJ44" s="55">
        <v>0</v>
      </c>
      <c r="CK44" s="61" t="s">
        <v>132</v>
      </c>
      <c r="CL44" s="55" t="s">
        <v>131</v>
      </c>
      <c r="CM44" s="55" t="s">
        <v>131</v>
      </c>
      <c r="CN44" s="55" t="s">
        <v>128</v>
      </c>
      <c r="CO44" s="55" t="s">
        <v>129</v>
      </c>
      <c r="CP44" s="55" t="s">
        <v>130</v>
      </c>
      <c r="CQ44" s="55" t="s">
        <v>131</v>
      </c>
      <c r="CR44" s="55" t="s">
        <v>131</v>
      </c>
      <c r="CS44" s="55" t="s">
        <v>131</v>
      </c>
      <c r="CT44" s="61" t="s">
        <v>132</v>
      </c>
      <c r="CU44" s="55" t="s">
        <v>131</v>
      </c>
      <c r="CV44" s="55" t="s">
        <v>128</v>
      </c>
      <c r="CW44" s="55" t="s">
        <v>129</v>
      </c>
      <c r="CX44" s="55" t="s">
        <v>130</v>
      </c>
      <c r="CY44" s="55" t="s">
        <v>131</v>
      </c>
      <c r="CZ44" s="55" t="s">
        <v>131</v>
      </c>
      <c r="DA44" s="55" t="s">
        <v>131</v>
      </c>
      <c r="DB44" s="61" t="s">
        <v>132</v>
      </c>
      <c r="DC44" s="55" t="s">
        <v>131</v>
      </c>
      <c r="DD44" s="55" t="s">
        <v>128</v>
      </c>
      <c r="DE44" s="55" t="s">
        <v>129</v>
      </c>
      <c r="DF44" s="55" t="s">
        <v>130</v>
      </c>
      <c r="DG44" s="55" t="s">
        <v>131</v>
      </c>
      <c r="DH44" s="55" t="s">
        <v>131</v>
      </c>
      <c r="DI44" s="55" t="s">
        <v>131</v>
      </c>
      <c r="DJ44" s="61" t="s">
        <v>132</v>
      </c>
      <c r="DK44" s="55" t="s">
        <v>131</v>
      </c>
      <c r="DL44" s="55" t="s">
        <v>128</v>
      </c>
      <c r="DM44" s="55" t="s">
        <v>129</v>
      </c>
      <c r="DN44" s="55" t="s">
        <v>130</v>
      </c>
      <c r="DO44" s="55" t="s">
        <v>131</v>
      </c>
      <c r="DP44" s="55" t="s">
        <v>131</v>
      </c>
      <c r="DQ44" s="55" t="s">
        <v>131</v>
      </c>
      <c r="DR44" s="61" t="s">
        <v>132</v>
      </c>
      <c r="DS44" s="55" t="s">
        <v>131</v>
      </c>
      <c r="DT44" s="55" t="s">
        <v>128</v>
      </c>
      <c r="DU44" s="55" t="s">
        <v>129</v>
      </c>
      <c r="DV44" s="55" t="s">
        <v>130</v>
      </c>
      <c r="DW44" s="55" t="s">
        <v>131</v>
      </c>
      <c r="DX44" s="55" t="s">
        <v>131</v>
      </c>
      <c r="DY44" s="55" t="s">
        <v>131</v>
      </c>
      <c r="DZ44" s="61" t="s">
        <v>132</v>
      </c>
      <c r="EA44" s="55" t="s">
        <v>131</v>
      </c>
      <c r="EB44" s="55" t="s">
        <v>128</v>
      </c>
      <c r="EC44" s="55" t="s">
        <v>129</v>
      </c>
      <c r="ED44" s="55" t="s">
        <v>130</v>
      </c>
      <c r="EE44" s="55" t="s">
        <v>131</v>
      </c>
      <c r="EF44" s="55" t="s">
        <v>131</v>
      </c>
      <c r="EG44" s="55" t="s">
        <v>131</v>
      </c>
      <c r="EH44" s="61" t="s">
        <v>132</v>
      </c>
      <c r="EI44" s="55" t="s">
        <v>131</v>
      </c>
      <c r="EJ44" s="55" t="s">
        <v>128</v>
      </c>
      <c r="EK44" s="55" t="s">
        <v>129</v>
      </c>
      <c r="EL44" s="55" t="s">
        <v>130</v>
      </c>
      <c r="EM44" s="55" t="s">
        <v>131</v>
      </c>
      <c r="EN44" s="55" t="s">
        <v>131</v>
      </c>
      <c r="EO44" s="55" t="s">
        <v>131</v>
      </c>
      <c r="EP44" s="61" t="s">
        <v>132</v>
      </c>
      <c r="EQ44" s="55" t="s">
        <v>131</v>
      </c>
      <c r="ER44" s="55" t="s">
        <v>128</v>
      </c>
      <c r="ES44" s="55" t="s">
        <v>129</v>
      </c>
      <c r="ET44" s="55" t="s">
        <v>130</v>
      </c>
      <c r="EU44" s="55" t="s">
        <v>131</v>
      </c>
      <c r="EV44" s="55" t="s">
        <v>131</v>
      </c>
      <c r="EW44" s="55" t="s">
        <v>131</v>
      </c>
      <c r="EX44" s="61" t="s">
        <v>132</v>
      </c>
      <c r="EY44" s="55" t="s">
        <v>131</v>
      </c>
      <c r="EZ44" s="55" t="s">
        <v>128</v>
      </c>
      <c r="FA44" s="55" t="s">
        <v>129</v>
      </c>
      <c r="FB44" s="55" t="s">
        <v>130</v>
      </c>
      <c r="FC44" s="55" t="s">
        <v>131</v>
      </c>
      <c r="FD44" s="55" t="s">
        <v>131</v>
      </c>
      <c r="FE44" s="55" t="s">
        <v>131</v>
      </c>
      <c r="FF44" s="61" t="s">
        <v>132</v>
      </c>
      <c r="FG44" s="55" t="s">
        <v>131</v>
      </c>
      <c r="FH44" s="55" t="s">
        <v>128</v>
      </c>
      <c r="FI44" s="55" t="s">
        <v>129</v>
      </c>
      <c r="FJ44" s="55" t="s">
        <v>130</v>
      </c>
      <c r="FK44" s="55" t="s">
        <v>131</v>
      </c>
      <c r="FL44" s="55" t="s">
        <v>131</v>
      </c>
      <c r="FM44" s="55" t="s">
        <v>131</v>
      </c>
      <c r="FN44" s="61" t="s">
        <v>132</v>
      </c>
      <c r="FO44" s="55" t="s">
        <v>131</v>
      </c>
      <c r="FP44" s="10"/>
      <c r="FQ44" s="10">
        <v>0</v>
      </c>
      <c r="FR44" s="10">
        <v>0</v>
      </c>
      <c r="FS44" s="10">
        <v>0</v>
      </c>
      <c r="FT44" s="10">
        <v>0</v>
      </c>
      <c r="FU44" s="7" t="s">
        <v>128</v>
      </c>
      <c r="FV44" s="7" t="s">
        <v>129</v>
      </c>
      <c r="FW44" s="7" t="s">
        <v>130</v>
      </c>
      <c r="FX44" s="7" t="s">
        <v>131</v>
      </c>
      <c r="FY44" s="16" t="s">
        <v>132</v>
      </c>
      <c r="FZ44" s="7" t="s">
        <v>131</v>
      </c>
      <c r="GA44" s="7" t="s">
        <v>128</v>
      </c>
      <c r="GB44" s="7" t="s">
        <v>129</v>
      </c>
      <c r="GC44" s="7" t="s">
        <v>130</v>
      </c>
      <c r="GD44" s="7" t="s">
        <v>131</v>
      </c>
      <c r="GE44" s="16" t="s">
        <v>132</v>
      </c>
      <c r="GF44" s="7" t="s">
        <v>131</v>
      </c>
      <c r="GG44" s="7" t="s">
        <v>128</v>
      </c>
      <c r="GH44" s="7" t="s">
        <v>129</v>
      </c>
      <c r="GI44" s="7" t="s">
        <v>130</v>
      </c>
      <c r="GJ44" s="7" t="s">
        <v>131</v>
      </c>
      <c r="GK44" s="16" t="s">
        <v>132</v>
      </c>
      <c r="GL44" s="7" t="s">
        <v>131</v>
      </c>
      <c r="GM44" s="7" t="s">
        <v>128</v>
      </c>
      <c r="GN44" s="7" t="s">
        <v>129</v>
      </c>
      <c r="GO44" s="7" t="s">
        <v>130</v>
      </c>
      <c r="GP44" s="7" t="s">
        <v>131</v>
      </c>
      <c r="GQ44" s="16" t="s">
        <v>132</v>
      </c>
      <c r="GR44" s="7" t="s">
        <v>131</v>
      </c>
      <c r="GS44" s="7" t="s">
        <v>128</v>
      </c>
      <c r="GT44" s="7" t="s">
        <v>129</v>
      </c>
      <c r="GU44" s="7" t="s">
        <v>130</v>
      </c>
      <c r="GV44" s="7" t="s">
        <v>131</v>
      </c>
      <c r="GW44" s="16" t="s">
        <v>132</v>
      </c>
      <c r="GX44" s="7" t="s">
        <v>131</v>
      </c>
      <c r="GY44" s="7" t="s">
        <v>128</v>
      </c>
      <c r="GZ44" s="7" t="s">
        <v>129</v>
      </c>
      <c r="HA44" s="7" t="s">
        <v>130</v>
      </c>
      <c r="HB44" s="7" t="s">
        <v>131</v>
      </c>
      <c r="HC44" s="16" t="s">
        <v>132</v>
      </c>
      <c r="HD44" s="7" t="s">
        <v>131</v>
      </c>
      <c r="HE44" s="7" t="s">
        <v>128</v>
      </c>
      <c r="HF44" s="7" t="s">
        <v>129</v>
      </c>
      <c r="HG44" s="7" t="s">
        <v>130</v>
      </c>
      <c r="HH44" s="7" t="s">
        <v>131</v>
      </c>
      <c r="HI44" s="16" t="s">
        <v>132</v>
      </c>
      <c r="HJ44" s="7" t="s">
        <v>131</v>
      </c>
      <c r="HK44" s="7" t="s">
        <v>128</v>
      </c>
      <c r="HL44" s="7" t="s">
        <v>129</v>
      </c>
      <c r="HM44" s="7" t="s">
        <v>130</v>
      </c>
      <c r="HN44" s="7" t="s">
        <v>131</v>
      </c>
      <c r="HO44" s="16" t="s">
        <v>132</v>
      </c>
      <c r="HP44" s="7" t="s">
        <v>131</v>
      </c>
      <c r="HQ44" s="7" t="s">
        <v>128</v>
      </c>
      <c r="HR44" s="7" t="s">
        <v>129</v>
      </c>
      <c r="HS44" s="7" t="s">
        <v>130</v>
      </c>
      <c r="HT44" s="7" t="s">
        <v>131</v>
      </c>
      <c r="HU44" s="16" t="s">
        <v>132</v>
      </c>
      <c r="HV44" s="7" t="s">
        <v>131</v>
      </c>
      <c r="HW44" s="7" t="s">
        <v>128</v>
      </c>
      <c r="HX44" s="7" t="s">
        <v>129</v>
      </c>
      <c r="HY44" s="7" t="s">
        <v>130</v>
      </c>
      <c r="HZ44" s="7" t="s">
        <v>131</v>
      </c>
      <c r="IA44" s="16" t="s">
        <v>132</v>
      </c>
      <c r="IB44" s="7" t="s">
        <v>131</v>
      </c>
      <c r="IC44" s="7" t="s">
        <v>128</v>
      </c>
      <c r="ID44" s="7" t="s">
        <v>129</v>
      </c>
      <c r="IE44" s="7" t="s">
        <v>130</v>
      </c>
      <c r="IF44" s="7" t="s">
        <v>131</v>
      </c>
      <c r="IG44" s="16" t="s">
        <v>132</v>
      </c>
      <c r="IH44" s="7" t="s">
        <v>131</v>
      </c>
      <c r="II44" s="10"/>
      <c r="IJ44" s="10">
        <v>0</v>
      </c>
      <c r="IK44" s="10">
        <v>0</v>
      </c>
      <c r="IL44" s="10">
        <v>0</v>
      </c>
      <c r="IM44" s="35">
        <v>0</v>
      </c>
      <c r="IN44" s="35">
        <v>0</v>
      </c>
      <c r="IO44" s="35">
        <v>0</v>
      </c>
      <c r="IP44" s="10">
        <v>0</v>
      </c>
      <c r="IQ44" s="30" t="s">
        <v>128</v>
      </c>
      <c r="IR44" s="30" t="s">
        <v>129</v>
      </c>
      <c r="IS44" s="30" t="s">
        <v>130</v>
      </c>
      <c r="IT44" s="30" t="s">
        <v>131</v>
      </c>
      <c r="IU44" s="30" t="s">
        <v>131</v>
      </c>
      <c r="IV44" s="30">
        <v>0</v>
      </c>
      <c r="IW44" s="30">
        <v>0</v>
      </c>
      <c r="IX44" s="30">
        <v>0</v>
      </c>
      <c r="IY44" s="30">
        <v>0</v>
      </c>
      <c r="IZ44" s="30">
        <v>0</v>
      </c>
      <c r="JA44" s="30">
        <v>0</v>
      </c>
      <c r="JB44" s="30">
        <v>0</v>
      </c>
      <c r="JC44" s="30">
        <v>0</v>
      </c>
      <c r="JD44" s="30">
        <v>0</v>
      </c>
      <c r="JE44" s="30" t="s">
        <v>128</v>
      </c>
      <c r="JF44" s="30" t="s">
        <v>129</v>
      </c>
      <c r="JG44" s="30" t="s">
        <v>130</v>
      </c>
      <c r="JH44" s="30" t="s">
        <v>131</v>
      </c>
      <c r="JI44" s="30" t="s">
        <v>131</v>
      </c>
      <c r="JJ44" s="30" t="s">
        <v>132</v>
      </c>
      <c r="JK44" s="30" t="s">
        <v>132</v>
      </c>
      <c r="JL44" s="30" t="s">
        <v>132</v>
      </c>
      <c r="JM44" s="30" t="s">
        <v>128</v>
      </c>
      <c r="JN44" s="30" t="s">
        <v>129</v>
      </c>
      <c r="JO44" s="30" t="s">
        <v>130</v>
      </c>
      <c r="JP44" s="30" t="s">
        <v>131</v>
      </c>
      <c r="JQ44" s="30" t="s">
        <v>131</v>
      </c>
      <c r="JR44" s="30" t="s">
        <v>132</v>
      </c>
      <c r="JS44" s="30" t="s">
        <v>132</v>
      </c>
      <c r="JT44" s="30" t="s">
        <v>132</v>
      </c>
      <c r="JU44" s="30" t="s">
        <v>128</v>
      </c>
      <c r="JV44" s="30" t="s">
        <v>129</v>
      </c>
      <c r="JW44" s="30" t="s">
        <v>130</v>
      </c>
      <c r="JX44" s="30" t="s">
        <v>131</v>
      </c>
      <c r="JY44" s="30" t="s">
        <v>131</v>
      </c>
      <c r="JZ44" s="30" t="s">
        <v>132</v>
      </c>
      <c r="KA44" s="30" t="s">
        <v>132</v>
      </c>
      <c r="KB44" s="30" t="s">
        <v>132</v>
      </c>
      <c r="KC44" s="30" t="s">
        <v>128</v>
      </c>
      <c r="KD44" s="30" t="s">
        <v>129</v>
      </c>
      <c r="KE44" s="30" t="s">
        <v>130</v>
      </c>
      <c r="KF44" s="30" t="s">
        <v>131</v>
      </c>
      <c r="KG44" s="30" t="s">
        <v>131</v>
      </c>
      <c r="KH44" s="30" t="s">
        <v>132</v>
      </c>
      <c r="KI44" s="30" t="s">
        <v>132</v>
      </c>
      <c r="KJ44" s="30" t="s">
        <v>132</v>
      </c>
      <c r="KK44" s="30" t="s">
        <v>128</v>
      </c>
      <c r="KL44" s="30" t="s">
        <v>129</v>
      </c>
      <c r="KM44" s="30" t="s">
        <v>130</v>
      </c>
      <c r="KN44" s="30" t="s">
        <v>131</v>
      </c>
      <c r="KO44" s="30" t="s">
        <v>131</v>
      </c>
      <c r="KP44" s="30" t="s">
        <v>132</v>
      </c>
      <c r="KQ44" s="30" t="s">
        <v>132</v>
      </c>
      <c r="KR44" s="30" t="s">
        <v>132</v>
      </c>
      <c r="KS44" s="30" t="s">
        <v>128</v>
      </c>
      <c r="KT44" s="30" t="s">
        <v>129</v>
      </c>
      <c r="KU44" s="30" t="s">
        <v>130</v>
      </c>
      <c r="KV44" s="30" t="s">
        <v>131</v>
      </c>
      <c r="KW44" s="30" t="s">
        <v>131</v>
      </c>
      <c r="KX44" s="30" t="s">
        <v>132</v>
      </c>
      <c r="KY44" s="30" t="s">
        <v>132</v>
      </c>
      <c r="KZ44" s="30" t="s">
        <v>132</v>
      </c>
      <c r="LA44" s="30" t="s">
        <v>128</v>
      </c>
      <c r="LB44" s="30" t="s">
        <v>129</v>
      </c>
      <c r="LC44" s="30" t="s">
        <v>130</v>
      </c>
      <c r="LD44" s="30" t="s">
        <v>131</v>
      </c>
      <c r="LE44" s="30" t="s">
        <v>131</v>
      </c>
      <c r="LF44" s="30" t="s">
        <v>132</v>
      </c>
      <c r="LG44" s="30" t="s">
        <v>132</v>
      </c>
      <c r="LH44" s="30" t="s">
        <v>132</v>
      </c>
      <c r="LI44" s="30" t="s">
        <v>128</v>
      </c>
      <c r="LJ44" s="30" t="s">
        <v>129</v>
      </c>
      <c r="LK44" s="30" t="s">
        <v>130</v>
      </c>
      <c r="LL44" s="30" t="s">
        <v>131</v>
      </c>
      <c r="LM44" s="30" t="s">
        <v>131</v>
      </c>
      <c r="LN44" s="30" t="s">
        <v>132</v>
      </c>
      <c r="LO44" s="30" t="s">
        <v>132</v>
      </c>
      <c r="LP44" s="30" t="s">
        <v>132</v>
      </c>
      <c r="LQ44" s="30" t="s">
        <v>128</v>
      </c>
      <c r="LR44" s="30" t="s">
        <v>129</v>
      </c>
      <c r="LS44" s="30" t="s">
        <v>130</v>
      </c>
      <c r="LT44" s="30" t="s">
        <v>131</v>
      </c>
      <c r="LU44" s="30" t="s">
        <v>131</v>
      </c>
      <c r="LV44" s="30" t="s">
        <v>132</v>
      </c>
      <c r="LW44" s="30" t="s">
        <v>132</v>
      </c>
      <c r="LX44" s="30" t="s">
        <v>132</v>
      </c>
      <c r="LY44" s="30" t="s">
        <v>128</v>
      </c>
      <c r="LZ44" s="30" t="s">
        <v>129</v>
      </c>
      <c r="MA44" s="30" t="s">
        <v>130</v>
      </c>
      <c r="MB44" s="30" t="s">
        <v>131</v>
      </c>
      <c r="MC44" s="3" t="s">
        <v>131</v>
      </c>
      <c r="MD44" s="3" t="s">
        <v>132</v>
      </c>
      <c r="ME44" s="3" t="s">
        <v>132</v>
      </c>
      <c r="MF44" s="3" t="s">
        <v>132</v>
      </c>
      <c r="MG44" s="3" t="s">
        <v>128</v>
      </c>
      <c r="MH44" s="3" t="s">
        <v>129</v>
      </c>
      <c r="MI44" s="3" t="s">
        <v>130</v>
      </c>
      <c r="MJ44" s="3" t="s">
        <v>131</v>
      </c>
      <c r="MK44" s="3" t="s">
        <v>131</v>
      </c>
      <c r="ML44" s="3" t="s">
        <v>132</v>
      </c>
      <c r="MM44" s="3"/>
      <c r="MN44" s="3"/>
    </row>
    <row r="48" spans="1:352" ht="23.25" customHeight="1" x14ac:dyDescent="0.25">
      <c r="C48" s="21"/>
      <c r="D48" s="21" t="b">
        <f>OR(D33:D39,NOT(D32))</f>
        <v>0</v>
      </c>
      <c r="E48" s="21" t="b">
        <f>OR(E33:E39,NOT(E32))</f>
        <v>0</v>
      </c>
      <c r="F48" s="21" t="b">
        <f t="shared" ref="F48:BP48" si="243">OR(F33:F39,NOT(F32))</f>
        <v>0</v>
      </c>
      <c r="G48" s="21" t="b">
        <f t="shared" si="243"/>
        <v>0</v>
      </c>
      <c r="H48" s="21" t="b">
        <f t="shared" si="243"/>
        <v>0</v>
      </c>
      <c r="I48" s="21" t="b">
        <f t="shared" si="243"/>
        <v>0</v>
      </c>
      <c r="J48" s="21" t="b">
        <f t="shared" si="243"/>
        <v>0</v>
      </c>
      <c r="K48" s="21" t="b">
        <f t="shared" si="243"/>
        <v>0</v>
      </c>
      <c r="L48" s="21" t="b">
        <f>OR(L33:L39,NOT(L32))</f>
        <v>0</v>
      </c>
      <c r="M48" s="21" t="b">
        <f t="shared" si="243"/>
        <v>0</v>
      </c>
      <c r="N48" s="21" t="b">
        <f t="shared" si="243"/>
        <v>0</v>
      </c>
      <c r="O48" s="21" t="b">
        <f t="shared" si="243"/>
        <v>0</v>
      </c>
      <c r="P48" s="21" t="b">
        <f>OR(P33:P39,NOT(P32))</f>
        <v>0</v>
      </c>
      <c r="Q48" s="21" t="b">
        <f t="shared" si="243"/>
        <v>0</v>
      </c>
      <c r="R48" s="21" t="b">
        <f>OR(R33:R39,NOT(R32))</f>
        <v>1</v>
      </c>
      <c r="S48" s="21" t="b">
        <f t="shared" ref="S48:W48" si="244">OR(S33:S39,NOT(S32))</f>
        <v>1</v>
      </c>
      <c r="T48" s="21" t="b">
        <f t="shared" si="244"/>
        <v>1</v>
      </c>
      <c r="U48" s="21" t="b">
        <f t="shared" si="244"/>
        <v>0</v>
      </c>
      <c r="V48" s="21" t="b">
        <f t="shared" si="244"/>
        <v>0</v>
      </c>
      <c r="W48" s="21" t="b">
        <f t="shared" si="244"/>
        <v>0</v>
      </c>
      <c r="X48" s="21" t="b">
        <f>OR(X33:X39,NOT(X32))</f>
        <v>1</v>
      </c>
      <c r="Y48" s="21" t="b">
        <f t="shared" ref="Y48:AA48" si="245">OR(Y33:Y39,NOT(Y32))</f>
        <v>1</v>
      </c>
      <c r="Z48" s="21" t="b">
        <f t="shared" si="245"/>
        <v>1</v>
      </c>
      <c r="AA48" s="21" t="b">
        <f t="shared" si="245"/>
        <v>0</v>
      </c>
      <c r="AB48" s="21" t="b">
        <f>OR(AB33:AB39,NOT(AB32))</f>
        <v>0</v>
      </c>
      <c r="AC48" s="21" t="b">
        <f t="shared" ref="AC48" si="246">OR(AC33:AC39,NOT(AC32))</f>
        <v>0</v>
      </c>
      <c r="AD48" s="21" t="b">
        <f>OR(AD33:AD39,NOT(AD32))</f>
        <v>1</v>
      </c>
      <c r="AE48" s="21" t="b">
        <f t="shared" ref="AE48:AI48" si="247">OR(AE33:AE39,NOT(AE32))</f>
        <v>1</v>
      </c>
      <c r="AF48" s="21" t="b">
        <f t="shared" si="247"/>
        <v>1</v>
      </c>
      <c r="AG48" s="21" t="b">
        <f t="shared" si="247"/>
        <v>0</v>
      </c>
      <c r="AH48" s="21" t="b">
        <f t="shared" si="247"/>
        <v>0</v>
      </c>
      <c r="AI48" s="21" t="b">
        <f t="shared" si="247"/>
        <v>0</v>
      </c>
      <c r="AJ48" s="21" t="b">
        <f>OR(AJ33:AJ39,NOT(AJ32))</f>
        <v>1</v>
      </c>
      <c r="AK48" s="21" t="b">
        <f t="shared" ref="AK48:AM48" si="248">OR(AK33:AK39,NOT(AK32))</f>
        <v>1</v>
      </c>
      <c r="AL48" s="21" t="b">
        <f t="shared" si="248"/>
        <v>1</v>
      </c>
      <c r="AM48" s="21" t="b">
        <f t="shared" si="248"/>
        <v>0</v>
      </c>
      <c r="AN48" s="21" t="b">
        <f>OR(AN33:AN39,NOT(AN32))</f>
        <v>0</v>
      </c>
      <c r="AO48" s="21" t="b">
        <f t="shared" ref="AO48" si="249">OR(AO33:AO39,NOT(AO32))</f>
        <v>0</v>
      </c>
      <c r="AP48" s="21" t="b">
        <f>OR(AP33:AP39,NOT(AP32))</f>
        <v>1</v>
      </c>
      <c r="AQ48" s="21" t="b">
        <f t="shared" ref="AQ48:AU48" si="250">OR(AQ33:AQ39,NOT(AQ32))</f>
        <v>1</v>
      </c>
      <c r="AR48" s="21" t="b">
        <f t="shared" si="250"/>
        <v>1</v>
      </c>
      <c r="AS48" s="21" t="b">
        <f t="shared" si="250"/>
        <v>0</v>
      </c>
      <c r="AT48" s="21" t="b">
        <f t="shared" si="250"/>
        <v>0</v>
      </c>
      <c r="AU48" s="21" t="b">
        <f t="shared" si="250"/>
        <v>0</v>
      </c>
      <c r="AV48" s="21" t="b">
        <f>OR(AV33:AV39,NOT(AV32))</f>
        <v>1</v>
      </c>
      <c r="AW48" s="21" t="b">
        <f t="shared" ref="AW48:AY48" si="251">OR(AW33:AW39,NOT(AW32))</f>
        <v>1</v>
      </c>
      <c r="AX48" s="21" t="b">
        <f t="shared" si="251"/>
        <v>1</v>
      </c>
      <c r="AY48" s="21" t="b">
        <f t="shared" si="251"/>
        <v>0</v>
      </c>
      <c r="AZ48" s="21" t="b">
        <f>OR(AZ33:AZ39,NOT(AZ32))</f>
        <v>0</v>
      </c>
      <c r="BA48" s="21" t="b">
        <f t="shared" ref="BA48" si="252">OR(BA33:BA39,NOT(BA32))</f>
        <v>0</v>
      </c>
      <c r="BB48" s="21" t="b">
        <f>OR(BB33:BB39,NOT(BB32))</f>
        <v>1</v>
      </c>
      <c r="BC48" s="21" t="b">
        <f t="shared" ref="BC48:BG48" si="253">OR(BC33:BC39,NOT(BC32))</f>
        <v>1</v>
      </c>
      <c r="BD48" s="21" t="b">
        <f t="shared" si="253"/>
        <v>1</v>
      </c>
      <c r="BE48" s="21" t="b">
        <f t="shared" si="253"/>
        <v>0</v>
      </c>
      <c r="BF48" s="21" t="b">
        <f t="shared" si="253"/>
        <v>0</v>
      </c>
      <c r="BG48" s="21" t="b">
        <f t="shared" si="253"/>
        <v>0</v>
      </c>
      <c r="BH48" s="21" t="b">
        <f>OR(BH33:BH39,NOT(BH32))</f>
        <v>1</v>
      </c>
      <c r="BI48" s="21" t="b">
        <f t="shared" ref="BI48:BK48" si="254">OR(BI33:BI39,NOT(BI32))</f>
        <v>1</v>
      </c>
      <c r="BJ48" s="21" t="b">
        <f t="shared" si="254"/>
        <v>1</v>
      </c>
      <c r="BK48" s="21" t="b">
        <f t="shared" si="254"/>
        <v>0</v>
      </c>
      <c r="BL48" s="21" t="b">
        <f>OR(BL33:BL39,NOT(BL32))</f>
        <v>0</v>
      </c>
      <c r="BM48" s="21" t="b">
        <f t="shared" ref="BM48" si="255">OR(BM33:BM39,NOT(BM32))</f>
        <v>0</v>
      </c>
      <c r="BN48" s="21" t="b">
        <f t="shared" si="243"/>
        <v>1</v>
      </c>
      <c r="BO48" s="21" t="b">
        <f t="shared" si="243"/>
        <v>1</v>
      </c>
      <c r="BP48" s="21" t="b">
        <f t="shared" si="243"/>
        <v>1</v>
      </c>
      <c r="BQ48" s="21" t="b">
        <v>1</v>
      </c>
      <c r="BR48" s="21" t="b">
        <v>1</v>
      </c>
      <c r="BS48" s="21" t="b">
        <v>1</v>
      </c>
      <c r="BT48" s="21" t="b">
        <f t="shared" ref="BT48:CM48" si="256">OR(BT33:BT39,NOT(BT32))</f>
        <v>0</v>
      </c>
      <c r="BU48" s="21" t="b">
        <f t="shared" si="256"/>
        <v>0</v>
      </c>
      <c r="BV48" s="21" t="b">
        <f t="shared" si="256"/>
        <v>0</v>
      </c>
      <c r="BW48" s="40" t="b">
        <f t="shared" si="256"/>
        <v>0</v>
      </c>
      <c r="BX48" s="21" t="b">
        <f t="shared" si="256"/>
        <v>0</v>
      </c>
      <c r="BY48" s="21" t="b">
        <f t="shared" si="256"/>
        <v>0</v>
      </c>
      <c r="BZ48" s="21" t="b">
        <f t="shared" si="256"/>
        <v>0</v>
      </c>
      <c r="CA48" s="21" t="b">
        <f t="shared" si="256"/>
        <v>0</v>
      </c>
      <c r="CB48" s="21" t="b">
        <f t="shared" si="256"/>
        <v>0</v>
      </c>
      <c r="CC48" s="21" t="b">
        <f t="shared" si="256"/>
        <v>0</v>
      </c>
      <c r="CD48" s="21" t="b">
        <f t="shared" si="256"/>
        <v>0</v>
      </c>
      <c r="CE48" s="21" t="b">
        <f t="shared" si="256"/>
        <v>0</v>
      </c>
      <c r="CF48" s="62" t="b">
        <f t="shared" si="256"/>
        <v>0</v>
      </c>
      <c r="CG48" s="62" t="b">
        <f t="shared" si="256"/>
        <v>0</v>
      </c>
      <c r="CH48" s="62" t="b">
        <f t="shared" si="256"/>
        <v>0</v>
      </c>
      <c r="CI48" s="62" t="b">
        <f t="shared" si="256"/>
        <v>1</v>
      </c>
      <c r="CJ48" s="62" t="b">
        <f t="shared" si="256"/>
        <v>1</v>
      </c>
      <c r="CK48" s="62" t="b">
        <f t="shared" si="256"/>
        <v>1</v>
      </c>
      <c r="CL48" s="62" t="b">
        <f t="shared" si="256"/>
        <v>1</v>
      </c>
      <c r="CM48" s="62" t="b">
        <f t="shared" si="256"/>
        <v>1</v>
      </c>
      <c r="CN48" s="62" t="b">
        <v>1</v>
      </c>
      <c r="CO48" s="62" t="b">
        <v>1</v>
      </c>
      <c r="CP48" s="62" t="b">
        <v>1</v>
      </c>
      <c r="CQ48" s="62" t="b">
        <f t="shared" ref="CQ48:FB48" si="257">OR(CQ33:CQ39,NOT(CQ32))</f>
        <v>0</v>
      </c>
      <c r="CR48" s="62" t="b">
        <f t="shared" si="257"/>
        <v>0</v>
      </c>
      <c r="CS48" s="62" t="b">
        <f t="shared" si="257"/>
        <v>1</v>
      </c>
      <c r="CT48" s="62" t="b">
        <f t="shared" si="257"/>
        <v>1</v>
      </c>
      <c r="CU48" s="62" t="b">
        <f t="shared" si="257"/>
        <v>1</v>
      </c>
      <c r="CV48" s="62" t="b">
        <f t="shared" si="257"/>
        <v>1</v>
      </c>
      <c r="CW48" s="62" t="b">
        <f t="shared" si="257"/>
        <v>1</v>
      </c>
      <c r="CX48" s="62" t="b">
        <f t="shared" si="257"/>
        <v>1</v>
      </c>
      <c r="CY48" s="62" t="b">
        <f t="shared" si="257"/>
        <v>1</v>
      </c>
      <c r="CZ48" s="62" t="b">
        <f t="shared" si="257"/>
        <v>1</v>
      </c>
      <c r="DA48" s="62" t="b">
        <f t="shared" si="257"/>
        <v>1</v>
      </c>
      <c r="DB48" s="62" t="b">
        <f t="shared" si="257"/>
        <v>1</v>
      </c>
      <c r="DC48" s="62" t="b">
        <f t="shared" si="257"/>
        <v>1</v>
      </c>
      <c r="DD48" s="62" t="b">
        <f t="shared" si="257"/>
        <v>1</v>
      </c>
      <c r="DE48" s="62" t="b">
        <f t="shared" si="257"/>
        <v>1</v>
      </c>
      <c r="DF48" s="62" t="b">
        <f t="shared" si="257"/>
        <v>1</v>
      </c>
      <c r="DG48" s="62" t="b">
        <f t="shared" si="257"/>
        <v>1</v>
      </c>
      <c r="DH48" s="62" t="b">
        <f t="shared" si="257"/>
        <v>1</v>
      </c>
      <c r="DI48" s="62" t="b">
        <f t="shared" si="257"/>
        <v>1</v>
      </c>
      <c r="DJ48" s="62" t="b">
        <f t="shared" si="257"/>
        <v>1</v>
      </c>
      <c r="DK48" s="62" t="b">
        <f t="shared" si="257"/>
        <v>1</v>
      </c>
      <c r="DL48" s="62" t="b">
        <f t="shared" si="257"/>
        <v>1</v>
      </c>
      <c r="DM48" s="62" t="b">
        <f t="shared" si="257"/>
        <v>1</v>
      </c>
      <c r="DN48" s="62" t="b">
        <f t="shared" si="257"/>
        <v>1</v>
      </c>
      <c r="DO48" s="62" t="b">
        <f t="shared" si="257"/>
        <v>1</v>
      </c>
      <c r="DP48" s="62" t="b">
        <f t="shared" si="257"/>
        <v>1</v>
      </c>
      <c r="DQ48" s="62" t="b">
        <f t="shared" si="257"/>
        <v>1</v>
      </c>
      <c r="DR48" s="62" t="b">
        <f t="shared" si="257"/>
        <v>1</v>
      </c>
      <c r="DS48" s="62" t="b">
        <f t="shared" si="257"/>
        <v>1</v>
      </c>
      <c r="DT48" s="62" t="b">
        <f t="shared" si="257"/>
        <v>1</v>
      </c>
      <c r="DU48" s="62" t="b">
        <f t="shared" si="257"/>
        <v>1</v>
      </c>
      <c r="DV48" s="62" t="b">
        <f t="shared" si="257"/>
        <v>1</v>
      </c>
      <c r="DW48" s="62" t="b">
        <f t="shared" si="257"/>
        <v>1</v>
      </c>
      <c r="DX48" s="62" t="b">
        <f t="shared" si="257"/>
        <v>1</v>
      </c>
      <c r="DY48" s="62" t="b">
        <f t="shared" si="257"/>
        <v>1</v>
      </c>
      <c r="DZ48" s="62" t="b">
        <f t="shared" si="257"/>
        <v>1</v>
      </c>
      <c r="EA48" s="62" t="b">
        <f t="shared" si="257"/>
        <v>1</v>
      </c>
      <c r="EB48" s="62" t="b">
        <f t="shared" si="257"/>
        <v>1</v>
      </c>
      <c r="EC48" s="62" t="b">
        <f t="shared" si="257"/>
        <v>1</v>
      </c>
      <c r="ED48" s="62" t="b">
        <f t="shared" si="257"/>
        <v>1</v>
      </c>
      <c r="EE48" s="62" t="b">
        <f t="shared" si="257"/>
        <v>1</v>
      </c>
      <c r="EF48" s="62" t="b">
        <f t="shared" si="257"/>
        <v>1</v>
      </c>
      <c r="EG48" s="62" t="b">
        <f t="shared" si="257"/>
        <v>1</v>
      </c>
      <c r="EH48" s="62" t="b">
        <f t="shared" si="257"/>
        <v>1</v>
      </c>
      <c r="EI48" s="62" t="b">
        <f t="shared" si="257"/>
        <v>1</v>
      </c>
      <c r="EJ48" s="62" t="b">
        <f t="shared" si="257"/>
        <v>1</v>
      </c>
      <c r="EK48" s="62" t="b">
        <f t="shared" si="257"/>
        <v>1</v>
      </c>
      <c r="EL48" s="62" t="b">
        <f t="shared" si="257"/>
        <v>1</v>
      </c>
      <c r="EM48" s="62" t="b">
        <f t="shared" si="257"/>
        <v>1</v>
      </c>
      <c r="EN48" s="62" t="b">
        <f t="shared" si="257"/>
        <v>1</v>
      </c>
      <c r="EO48" s="62" t="b">
        <f t="shared" si="257"/>
        <v>1</v>
      </c>
      <c r="EP48" s="62" t="b">
        <f t="shared" si="257"/>
        <v>1</v>
      </c>
      <c r="EQ48" s="62" t="b">
        <f t="shared" si="257"/>
        <v>1</v>
      </c>
      <c r="ER48" s="62" t="b">
        <f t="shared" si="257"/>
        <v>1</v>
      </c>
      <c r="ES48" s="62" t="b">
        <f t="shared" si="257"/>
        <v>1</v>
      </c>
      <c r="ET48" s="62" t="b">
        <f t="shared" si="257"/>
        <v>1</v>
      </c>
      <c r="EU48" s="62" t="b">
        <f t="shared" si="257"/>
        <v>1</v>
      </c>
      <c r="EV48" s="62" t="b">
        <f t="shared" si="257"/>
        <v>1</v>
      </c>
      <c r="EW48" s="62" t="b">
        <f t="shared" si="257"/>
        <v>1</v>
      </c>
      <c r="EX48" s="62" t="b">
        <f t="shared" si="257"/>
        <v>1</v>
      </c>
      <c r="EY48" s="62" t="b">
        <f t="shared" si="257"/>
        <v>1</v>
      </c>
      <c r="EZ48" s="62" t="b">
        <f t="shared" si="257"/>
        <v>1</v>
      </c>
      <c r="FA48" s="62" t="b">
        <f t="shared" si="257"/>
        <v>1</v>
      </c>
      <c r="FB48" s="62" t="b">
        <f t="shared" si="257"/>
        <v>1</v>
      </c>
      <c r="FC48" s="62" t="b">
        <f t="shared" ref="FC48:HN48" si="258">OR(FC33:FC39,NOT(FC32))</f>
        <v>1</v>
      </c>
      <c r="FD48" s="62" t="b">
        <f t="shared" si="258"/>
        <v>1</v>
      </c>
      <c r="FE48" s="62" t="b">
        <f t="shared" si="258"/>
        <v>1</v>
      </c>
      <c r="FF48" s="62" t="b">
        <f t="shared" si="258"/>
        <v>1</v>
      </c>
      <c r="FG48" s="62" t="b">
        <f t="shared" si="258"/>
        <v>1</v>
      </c>
      <c r="FH48" s="62" t="b">
        <f t="shared" si="258"/>
        <v>1</v>
      </c>
      <c r="FI48" s="62" t="b">
        <f t="shared" si="258"/>
        <v>1</v>
      </c>
      <c r="FJ48" s="62" t="b">
        <f t="shared" si="258"/>
        <v>1</v>
      </c>
      <c r="FK48" s="62" t="b">
        <f t="shared" si="258"/>
        <v>1</v>
      </c>
      <c r="FL48" s="62" t="b">
        <f t="shared" si="258"/>
        <v>1</v>
      </c>
      <c r="FM48" s="62" t="b">
        <f t="shared" si="258"/>
        <v>1</v>
      </c>
      <c r="FN48" s="62" t="b">
        <f t="shared" si="258"/>
        <v>1</v>
      </c>
      <c r="FO48" s="62" t="b">
        <f t="shared" si="258"/>
        <v>1</v>
      </c>
      <c r="FP48" s="21" t="b">
        <f t="shared" si="258"/>
        <v>1</v>
      </c>
      <c r="FQ48" s="21" t="b">
        <f t="shared" si="258"/>
        <v>0</v>
      </c>
      <c r="FR48" s="21" t="b">
        <f t="shared" si="258"/>
        <v>0</v>
      </c>
      <c r="FS48" s="21" t="b">
        <f t="shared" si="258"/>
        <v>0</v>
      </c>
      <c r="FT48" s="21" t="b">
        <f t="shared" si="258"/>
        <v>1</v>
      </c>
      <c r="FU48" s="21" t="b">
        <f t="shared" si="258"/>
        <v>1</v>
      </c>
      <c r="FV48" s="21" t="b">
        <f t="shared" si="258"/>
        <v>1</v>
      </c>
      <c r="FW48" s="21" t="b">
        <f t="shared" si="258"/>
        <v>1</v>
      </c>
      <c r="FX48" s="21" t="b">
        <f t="shared" si="258"/>
        <v>1</v>
      </c>
      <c r="FY48" s="21" t="b">
        <f t="shared" si="258"/>
        <v>1</v>
      </c>
      <c r="FZ48" s="21" t="b">
        <f t="shared" si="258"/>
        <v>1</v>
      </c>
      <c r="GA48" s="21" t="b">
        <f t="shared" si="258"/>
        <v>1</v>
      </c>
      <c r="GB48" s="21" t="b">
        <f t="shared" si="258"/>
        <v>1</v>
      </c>
      <c r="GC48" s="21" t="b">
        <f t="shared" si="258"/>
        <v>1</v>
      </c>
      <c r="GD48" s="21" t="b">
        <f t="shared" si="258"/>
        <v>1</v>
      </c>
      <c r="GE48" s="21" t="b">
        <f t="shared" si="258"/>
        <v>1</v>
      </c>
      <c r="GF48" s="21" t="b">
        <f t="shared" si="258"/>
        <v>1</v>
      </c>
      <c r="GG48" s="21" t="b">
        <f t="shared" si="258"/>
        <v>1</v>
      </c>
      <c r="GH48" s="21" t="b">
        <f t="shared" si="258"/>
        <v>1</v>
      </c>
      <c r="GI48" s="21" t="b">
        <f t="shared" si="258"/>
        <v>1</v>
      </c>
      <c r="GJ48" s="21" t="b">
        <f t="shared" si="258"/>
        <v>1</v>
      </c>
      <c r="GK48" s="21" t="b">
        <f t="shared" si="258"/>
        <v>1</v>
      </c>
      <c r="GL48" s="21" t="b">
        <f t="shared" si="258"/>
        <v>1</v>
      </c>
      <c r="GM48" s="21" t="b">
        <f t="shared" si="258"/>
        <v>1</v>
      </c>
      <c r="GN48" s="21" t="b">
        <f t="shared" si="258"/>
        <v>1</v>
      </c>
      <c r="GO48" s="21" t="b">
        <f t="shared" si="258"/>
        <v>1</v>
      </c>
      <c r="GP48" s="21" t="b">
        <f t="shared" si="258"/>
        <v>1</v>
      </c>
      <c r="GQ48" s="21" t="b">
        <f t="shared" si="258"/>
        <v>1</v>
      </c>
      <c r="GR48" s="21" t="b">
        <f t="shared" si="258"/>
        <v>1</v>
      </c>
      <c r="GS48" s="21" t="b">
        <f t="shared" si="258"/>
        <v>1</v>
      </c>
      <c r="GT48" s="21" t="b">
        <f t="shared" si="258"/>
        <v>1</v>
      </c>
      <c r="GU48" s="21" t="b">
        <f t="shared" si="258"/>
        <v>1</v>
      </c>
      <c r="GV48" s="21" t="b">
        <f t="shared" si="258"/>
        <v>1</v>
      </c>
      <c r="GW48" s="21" t="b">
        <f t="shared" si="258"/>
        <v>1</v>
      </c>
      <c r="GX48" s="21" t="b">
        <f t="shared" si="258"/>
        <v>1</v>
      </c>
      <c r="GY48" s="21" t="b">
        <f t="shared" si="258"/>
        <v>1</v>
      </c>
      <c r="GZ48" s="21" t="b">
        <f t="shared" si="258"/>
        <v>1</v>
      </c>
      <c r="HA48" s="21" t="b">
        <f t="shared" si="258"/>
        <v>1</v>
      </c>
      <c r="HB48" s="21" t="b">
        <f t="shared" si="258"/>
        <v>1</v>
      </c>
      <c r="HC48" s="21" t="b">
        <f t="shared" si="258"/>
        <v>1</v>
      </c>
      <c r="HD48" s="21" t="b">
        <f t="shared" si="258"/>
        <v>1</v>
      </c>
      <c r="HE48" s="21" t="b">
        <f t="shared" si="258"/>
        <v>1</v>
      </c>
      <c r="HF48" s="21" t="b">
        <f t="shared" si="258"/>
        <v>1</v>
      </c>
      <c r="HG48" s="21" t="b">
        <f t="shared" si="258"/>
        <v>1</v>
      </c>
      <c r="HH48" s="21" t="b">
        <f t="shared" si="258"/>
        <v>1</v>
      </c>
      <c r="HI48" s="21" t="b">
        <f t="shared" si="258"/>
        <v>1</v>
      </c>
      <c r="HJ48" s="21" t="b">
        <f t="shared" si="258"/>
        <v>1</v>
      </c>
      <c r="HK48" s="21" t="b">
        <f t="shared" si="258"/>
        <v>1</v>
      </c>
      <c r="HL48" s="21" t="b">
        <f t="shared" si="258"/>
        <v>1</v>
      </c>
      <c r="HM48" s="21" t="b">
        <f t="shared" si="258"/>
        <v>1</v>
      </c>
      <c r="HN48" s="21" t="b">
        <f t="shared" si="258"/>
        <v>1</v>
      </c>
      <c r="HO48" s="21" t="b">
        <f t="shared" ref="HO48:JP48" si="259">OR(HO33:HO39,NOT(HO32))</f>
        <v>1</v>
      </c>
      <c r="HP48" s="21" t="b">
        <f t="shared" si="259"/>
        <v>1</v>
      </c>
      <c r="HQ48" s="21" t="b">
        <f t="shared" si="259"/>
        <v>1</v>
      </c>
      <c r="HR48" s="21" t="b">
        <f t="shared" si="259"/>
        <v>1</v>
      </c>
      <c r="HS48" s="21" t="b">
        <f t="shared" si="259"/>
        <v>1</v>
      </c>
      <c r="HT48" s="21" t="b">
        <f t="shared" si="259"/>
        <v>1</v>
      </c>
      <c r="HU48" s="21" t="b">
        <f t="shared" si="259"/>
        <v>1</v>
      </c>
      <c r="HV48" s="21" t="b">
        <f t="shared" si="259"/>
        <v>1</v>
      </c>
      <c r="HW48" s="21" t="b">
        <f t="shared" si="259"/>
        <v>1</v>
      </c>
      <c r="HX48" s="21" t="b">
        <f t="shared" si="259"/>
        <v>1</v>
      </c>
      <c r="HY48" s="21" t="b">
        <f t="shared" si="259"/>
        <v>1</v>
      </c>
      <c r="HZ48" s="21" t="b">
        <f t="shared" si="259"/>
        <v>1</v>
      </c>
      <c r="IA48" s="21" t="b">
        <f t="shared" si="259"/>
        <v>1</v>
      </c>
      <c r="IB48" s="21" t="b">
        <f t="shared" si="259"/>
        <v>1</v>
      </c>
      <c r="IC48" s="21" t="b">
        <f t="shared" si="259"/>
        <v>1</v>
      </c>
      <c r="ID48" s="21" t="b">
        <f t="shared" si="259"/>
        <v>1</v>
      </c>
      <c r="IE48" s="21" t="b">
        <f t="shared" si="259"/>
        <v>1</v>
      </c>
      <c r="IF48" s="21" t="b">
        <f t="shared" si="259"/>
        <v>1</v>
      </c>
      <c r="IG48" s="21" t="b">
        <f t="shared" si="259"/>
        <v>1</v>
      </c>
      <c r="IH48" s="21" t="b">
        <f t="shared" si="259"/>
        <v>1</v>
      </c>
      <c r="II48" s="21" t="b">
        <f t="shared" si="259"/>
        <v>1</v>
      </c>
      <c r="IJ48" s="21" t="b">
        <f t="shared" si="259"/>
        <v>0</v>
      </c>
      <c r="IK48" s="21" t="b">
        <f t="shared" si="259"/>
        <v>0</v>
      </c>
      <c r="IL48" s="21" t="b">
        <f t="shared" si="259"/>
        <v>1</v>
      </c>
      <c r="IM48" s="40" t="b">
        <f t="shared" si="259"/>
        <v>1</v>
      </c>
      <c r="IN48" s="40" t="b">
        <f t="shared" si="259"/>
        <v>0</v>
      </c>
      <c r="IO48" s="40" t="b">
        <f t="shared" si="259"/>
        <v>0</v>
      </c>
      <c r="IP48" s="21" t="b">
        <f t="shared" si="259"/>
        <v>0</v>
      </c>
      <c r="IQ48" s="21" t="b">
        <f t="shared" ref="IQ48:IW48" si="260">OR(IQ33:IQ39,NOT(IQ32))</f>
        <v>0</v>
      </c>
      <c r="IR48" s="21" t="b">
        <f t="shared" si="260"/>
        <v>0</v>
      </c>
      <c r="IS48" s="21" t="b">
        <f t="shared" si="260"/>
        <v>0</v>
      </c>
      <c r="IT48" s="21" t="b">
        <f t="shared" si="260"/>
        <v>0</v>
      </c>
      <c r="IU48" s="21" t="b">
        <f t="shared" si="260"/>
        <v>0</v>
      </c>
      <c r="IV48" s="21" t="b">
        <f t="shared" si="260"/>
        <v>0</v>
      </c>
      <c r="IW48" s="21" t="b">
        <f t="shared" si="260"/>
        <v>0</v>
      </c>
      <c r="IX48" s="21" t="b">
        <f t="shared" si="259"/>
        <v>0</v>
      </c>
      <c r="IY48" s="21" t="b">
        <f t="shared" si="259"/>
        <v>1</v>
      </c>
      <c r="IZ48" s="21" t="b">
        <f t="shared" si="259"/>
        <v>1</v>
      </c>
      <c r="JA48" s="21" t="b">
        <f t="shared" si="259"/>
        <v>1</v>
      </c>
      <c r="JB48" s="21" t="b">
        <f t="shared" si="259"/>
        <v>1</v>
      </c>
      <c r="JC48" s="21" t="b">
        <f t="shared" si="259"/>
        <v>1</v>
      </c>
      <c r="JD48" s="21" t="b">
        <f t="shared" si="259"/>
        <v>1</v>
      </c>
      <c r="JE48" s="21" t="b">
        <f t="shared" si="259"/>
        <v>1</v>
      </c>
      <c r="JF48" s="21" t="b">
        <f t="shared" si="259"/>
        <v>1</v>
      </c>
      <c r="JG48" s="21" t="b">
        <f t="shared" si="259"/>
        <v>1</v>
      </c>
      <c r="JH48" s="21" t="b">
        <f t="shared" si="259"/>
        <v>1</v>
      </c>
      <c r="JI48" s="21" t="b">
        <f t="shared" si="259"/>
        <v>1</v>
      </c>
      <c r="JJ48" s="21" t="b">
        <f t="shared" si="259"/>
        <v>1</v>
      </c>
      <c r="JK48" s="21" t="b">
        <f t="shared" si="259"/>
        <v>1</v>
      </c>
      <c r="JL48" s="21" t="b">
        <f t="shared" si="259"/>
        <v>1</v>
      </c>
      <c r="JM48" s="21" t="b">
        <f t="shared" si="259"/>
        <v>1</v>
      </c>
      <c r="JN48" s="21" t="b">
        <f t="shared" si="259"/>
        <v>1</v>
      </c>
      <c r="JO48" s="21" t="b">
        <f t="shared" si="259"/>
        <v>1</v>
      </c>
      <c r="JP48" s="21" t="b">
        <f t="shared" si="259"/>
        <v>1</v>
      </c>
      <c r="JQ48" s="21" t="b">
        <f t="shared" ref="JQ48:MB48" si="261">OR(JQ33:JQ39,NOT(JQ32))</f>
        <v>1</v>
      </c>
      <c r="JR48" s="21" t="b">
        <f t="shared" si="261"/>
        <v>1</v>
      </c>
      <c r="JS48" s="21" t="b">
        <f t="shared" si="261"/>
        <v>1</v>
      </c>
      <c r="JT48" s="21" t="b">
        <f t="shared" si="261"/>
        <v>1</v>
      </c>
      <c r="JU48" s="21" t="b">
        <f t="shared" si="261"/>
        <v>1</v>
      </c>
      <c r="JV48" s="21" t="b">
        <f t="shared" si="261"/>
        <v>1</v>
      </c>
      <c r="JW48" s="21" t="b">
        <f t="shared" si="261"/>
        <v>1</v>
      </c>
      <c r="JX48" s="21" t="b">
        <f t="shared" si="261"/>
        <v>1</v>
      </c>
      <c r="JY48" s="21" t="b">
        <f t="shared" si="261"/>
        <v>1</v>
      </c>
      <c r="JZ48" s="21" t="b">
        <f t="shared" si="261"/>
        <v>1</v>
      </c>
      <c r="KA48" s="21" t="b">
        <f t="shared" si="261"/>
        <v>1</v>
      </c>
      <c r="KB48" s="21" t="b">
        <f t="shared" si="261"/>
        <v>1</v>
      </c>
      <c r="KC48" s="21" t="b">
        <f t="shared" si="261"/>
        <v>1</v>
      </c>
      <c r="KD48" s="21" t="b">
        <f t="shared" si="261"/>
        <v>1</v>
      </c>
      <c r="KE48" s="21" t="b">
        <f t="shared" si="261"/>
        <v>1</v>
      </c>
      <c r="KF48" s="21" t="b">
        <f t="shared" si="261"/>
        <v>1</v>
      </c>
      <c r="KG48" s="21" t="b">
        <f t="shared" si="261"/>
        <v>1</v>
      </c>
      <c r="KH48" s="21" t="b">
        <f t="shared" si="261"/>
        <v>1</v>
      </c>
      <c r="KI48" s="21" t="b">
        <f t="shared" si="261"/>
        <v>1</v>
      </c>
      <c r="KJ48" s="21" t="b">
        <f t="shared" si="261"/>
        <v>1</v>
      </c>
      <c r="KK48" s="21" t="b">
        <f t="shared" si="261"/>
        <v>1</v>
      </c>
      <c r="KL48" s="21" t="b">
        <f t="shared" si="261"/>
        <v>1</v>
      </c>
      <c r="KM48" s="21" t="b">
        <f t="shared" si="261"/>
        <v>1</v>
      </c>
      <c r="KN48" s="21" t="b">
        <f t="shared" si="261"/>
        <v>1</v>
      </c>
      <c r="KO48" s="21" t="b">
        <f t="shared" si="261"/>
        <v>1</v>
      </c>
      <c r="KP48" s="21" t="b">
        <f t="shared" si="261"/>
        <v>1</v>
      </c>
      <c r="KQ48" s="21" t="b">
        <f t="shared" si="261"/>
        <v>1</v>
      </c>
      <c r="KR48" s="21" t="b">
        <f t="shared" si="261"/>
        <v>1</v>
      </c>
      <c r="KS48" s="21" t="b">
        <f t="shared" si="261"/>
        <v>1</v>
      </c>
      <c r="KT48" s="21" t="b">
        <f t="shared" si="261"/>
        <v>1</v>
      </c>
      <c r="KU48" s="21" t="b">
        <f t="shared" si="261"/>
        <v>1</v>
      </c>
      <c r="KV48" s="21" t="b">
        <f t="shared" si="261"/>
        <v>1</v>
      </c>
      <c r="KW48" s="21" t="b">
        <f t="shared" si="261"/>
        <v>1</v>
      </c>
      <c r="KX48" s="21" t="b">
        <f t="shared" si="261"/>
        <v>1</v>
      </c>
      <c r="KY48" s="21" t="b">
        <f t="shared" si="261"/>
        <v>1</v>
      </c>
      <c r="KZ48" s="21" t="b">
        <f t="shared" si="261"/>
        <v>1</v>
      </c>
      <c r="LA48" s="21" t="b">
        <f t="shared" si="261"/>
        <v>1</v>
      </c>
      <c r="LB48" s="21" t="b">
        <f t="shared" si="261"/>
        <v>1</v>
      </c>
      <c r="LC48" s="21" t="b">
        <f t="shared" si="261"/>
        <v>1</v>
      </c>
      <c r="LD48" s="21" t="b">
        <f t="shared" si="261"/>
        <v>1</v>
      </c>
      <c r="LE48" s="21" t="b">
        <f t="shared" si="261"/>
        <v>1</v>
      </c>
      <c r="LF48" s="21" t="b">
        <f t="shared" si="261"/>
        <v>1</v>
      </c>
      <c r="LG48" s="21" t="b">
        <f t="shared" si="261"/>
        <v>1</v>
      </c>
      <c r="LH48" s="21" t="b">
        <f t="shared" si="261"/>
        <v>1</v>
      </c>
      <c r="LI48" s="21" t="b">
        <f t="shared" si="261"/>
        <v>1</v>
      </c>
      <c r="LJ48" s="21" t="b">
        <f t="shared" si="261"/>
        <v>1</v>
      </c>
      <c r="LK48" s="21" t="b">
        <f t="shared" si="261"/>
        <v>1</v>
      </c>
      <c r="LL48" s="21" t="b">
        <f t="shared" si="261"/>
        <v>1</v>
      </c>
      <c r="LM48" s="21" t="b">
        <f t="shared" si="261"/>
        <v>1</v>
      </c>
      <c r="LN48" s="21" t="b">
        <f t="shared" si="261"/>
        <v>1</v>
      </c>
      <c r="LO48" s="21" t="b">
        <f t="shared" si="261"/>
        <v>1</v>
      </c>
      <c r="LP48" s="21" t="b">
        <f t="shared" si="261"/>
        <v>1</v>
      </c>
      <c r="LQ48" s="21" t="b">
        <f t="shared" si="261"/>
        <v>1</v>
      </c>
      <c r="LR48" s="21" t="b">
        <f t="shared" si="261"/>
        <v>1</v>
      </c>
      <c r="LS48" s="21" t="b">
        <f t="shared" si="261"/>
        <v>1</v>
      </c>
      <c r="LT48" s="21" t="b">
        <f t="shared" si="261"/>
        <v>1</v>
      </c>
      <c r="LU48" s="21" t="b">
        <f t="shared" si="261"/>
        <v>1</v>
      </c>
      <c r="LV48" s="21" t="b">
        <f t="shared" si="261"/>
        <v>1</v>
      </c>
      <c r="LW48" s="21" t="b">
        <f t="shared" si="261"/>
        <v>1</v>
      </c>
      <c r="LX48" s="21" t="b">
        <f t="shared" si="261"/>
        <v>1</v>
      </c>
      <c r="LY48" s="21" t="b">
        <f t="shared" si="261"/>
        <v>1</v>
      </c>
      <c r="LZ48" s="21" t="b">
        <f t="shared" si="261"/>
        <v>1</v>
      </c>
      <c r="MA48" s="21" t="b">
        <f t="shared" si="261"/>
        <v>1</v>
      </c>
      <c r="MB48" s="21" t="b">
        <f t="shared" si="261"/>
        <v>1</v>
      </c>
      <c r="MC48" s="1" t="b">
        <f t="shared" ref="MC48:ML48" si="262">OR(MC33:MC39,NOT(MC32))</f>
        <v>1</v>
      </c>
      <c r="MD48" s="1" t="b">
        <f t="shared" si="262"/>
        <v>1</v>
      </c>
      <c r="ME48" s="1" t="b">
        <f t="shared" si="262"/>
        <v>1</v>
      </c>
      <c r="MF48" s="1" t="b">
        <f t="shared" si="262"/>
        <v>1</v>
      </c>
      <c r="MG48" s="1" t="b">
        <f t="shared" si="262"/>
        <v>1</v>
      </c>
      <c r="MH48" s="1" t="b">
        <f t="shared" si="262"/>
        <v>1</v>
      </c>
      <c r="MI48" s="1" t="b">
        <f t="shared" si="262"/>
        <v>1</v>
      </c>
      <c r="MJ48" s="1" t="b">
        <f t="shared" si="262"/>
        <v>1</v>
      </c>
      <c r="MK48" s="1" t="b">
        <f t="shared" si="262"/>
        <v>1</v>
      </c>
      <c r="ML48" s="1" t="b">
        <f t="shared" si="262"/>
        <v>1</v>
      </c>
      <c r="MM48" s="1"/>
      <c r="MN48" s="1"/>
    </row>
    <row r="49" spans="2:352" ht="23.25" customHeight="1" x14ac:dyDescent="0.25">
      <c r="C49" s="21"/>
      <c r="D49" s="21" t="b">
        <f t="shared" ref="D49:DG49" si="263">AND(D40="DPV_ERROR_RESET_OR_NO_ERROR_E",D41="DPV_REGISTER_NO_ERROR_E")</f>
        <v>1</v>
      </c>
      <c r="E49" s="21" t="b">
        <f t="shared" si="263"/>
        <v>1</v>
      </c>
      <c r="F49" s="21" t="b">
        <f t="shared" si="263"/>
        <v>1</v>
      </c>
      <c r="G49" s="21" t="b">
        <f t="shared" si="263"/>
        <v>1</v>
      </c>
      <c r="H49" s="21" t="b">
        <f t="shared" si="263"/>
        <v>1</v>
      </c>
      <c r="I49" s="21" t="b">
        <f t="shared" si="263"/>
        <v>1</v>
      </c>
      <c r="J49" s="21" t="b">
        <f t="shared" si="263"/>
        <v>1</v>
      </c>
      <c r="K49" s="21" t="b">
        <f t="shared" si="263"/>
        <v>1</v>
      </c>
      <c r="L49" s="21" t="b">
        <f>AND(L40="DPV_ERROR_RESET_OR_NO_ERROR_E",L41="DPV_REGISTER_NO_ERROR_E")</f>
        <v>0</v>
      </c>
      <c r="M49" s="21" t="b">
        <f t="shared" si="263"/>
        <v>0</v>
      </c>
      <c r="N49" s="21" t="b">
        <f t="shared" si="263"/>
        <v>0</v>
      </c>
      <c r="O49" s="21" t="b">
        <f t="shared" si="263"/>
        <v>1</v>
      </c>
      <c r="P49" s="21" t="b">
        <f>AND(P40="DPV_ERROR_RESET_OR_NO_ERROR_E",P41="DPV_REGISTER_NO_ERROR_E")</f>
        <v>1</v>
      </c>
      <c r="Q49" s="21" t="b">
        <f t="shared" si="263"/>
        <v>1</v>
      </c>
      <c r="R49" s="21" t="b">
        <f t="shared" ref="R49:W49" si="264">AND(R40="DPV_ERROR_RESET_OR_NO_ERROR_E",R41="DPV_REGISTER_NO_ERROR_E")</f>
        <v>1</v>
      </c>
      <c r="S49" s="21" t="b">
        <f t="shared" si="264"/>
        <v>1</v>
      </c>
      <c r="T49" s="21" t="b">
        <f t="shared" si="264"/>
        <v>1</v>
      </c>
      <c r="U49" s="21" t="b">
        <f t="shared" si="264"/>
        <v>1</v>
      </c>
      <c r="V49" s="21" t="b">
        <f t="shared" si="264"/>
        <v>1</v>
      </c>
      <c r="W49" s="21" t="b">
        <f t="shared" si="264"/>
        <v>1</v>
      </c>
      <c r="X49" s="21" t="b">
        <f>AND(X40="DPV_ERROR_RESET_OR_NO_ERROR_E",X41="DPV_REGISTER_NO_ERROR_E")</f>
        <v>1</v>
      </c>
      <c r="Y49" s="21" t="b">
        <f t="shared" ref="Y49:AA49" si="265">AND(Y40="DPV_ERROR_RESET_OR_NO_ERROR_E",Y41="DPV_REGISTER_NO_ERROR_E")</f>
        <v>1</v>
      </c>
      <c r="Z49" s="21" t="b">
        <f t="shared" si="265"/>
        <v>1</v>
      </c>
      <c r="AA49" s="21" t="b">
        <f t="shared" si="265"/>
        <v>1</v>
      </c>
      <c r="AB49" s="21" t="b">
        <f>AND(AB40="DPV_ERROR_RESET_OR_NO_ERROR_E",AB41="DPV_REGISTER_NO_ERROR_E")</f>
        <v>1</v>
      </c>
      <c r="AC49" s="21" t="b">
        <f t="shared" ref="AC49:AI49" si="266">AND(AC40="DPV_ERROR_RESET_OR_NO_ERROR_E",AC41="DPV_REGISTER_NO_ERROR_E")</f>
        <v>1</v>
      </c>
      <c r="AD49" s="21" t="b">
        <f t="shared" si="266"/>
        <v>1</v>
      </c>
      <c r="AE49" s="21" t="b">
        <f t="shared" si="266"/>
        <v>1</v>
      </c>
      <c r="AF49" s="21" t="b">
        <f t="shared" si="266"/>
        <v>1</v>
      </c>
      <c r="AG49" s="21" t="b">
        <f t="shared" si="266"/>
        <v>1</v>
      </c>
      <c r="AH49" s="21" t="b">
        <f t="shared" si="266"/>
        <v>1</v>
      </c>
      <c r="AI49" s="21" t="b">
        <f t="shared" si="266"/>
        <v>1</v>
      </c>
      <c r="AJ49" s="21" t="b">
        <f>AND(AJ40="DPV_ERROR_RESET_OR_NO_ERROR_E",AJ41="DPV_REGISTER_NO_ERROR_E")</f>
        <v>1</v>
      </c>
      <c r="AK49" s="21" t="b">
        <f t="shared" ref="AK49:AM49" si="267">AND(AK40="DPV_ERROR_RESET_OR_NO_ERROR_E",AK41="DPV_REGISTER_NO_ERROR_E")</f>
        <v>1</v>
      </c>
      <c r="AL49" s="21" t="b">
        <f t="shared" si="267"/>
        <v>1</v>
      </c>
      <c r="AM49" s="21" t="b">
        <f t="shared" si="267"/>
        <v>1</v>
      </c>
      <c r="AN49" s="21" t="b">
        <f>AND(AN40="DPV_ERROR_RESET_OR_NO_ERROR_E",AN41="DPV_REGISTER_NO_ERROR_E")</f>
        <v>1</v>
      </c>
      <c r="AO49" s="21" t="b">
        <f t="shared" ref="AO49:AU49" si="268">AND(AO40="DPV_ERROR_RESET_OR_NO_ERROR_E",AO41="DPV_REGISTER_NO_ERROR_E")</f>
        <v>1</v>
      </c>
      <c r="AP49" s="21" t="b">
        <f t="shared" si="268"/>
        <v>1</v>
      </c>
      <c r="AQ49" s="21" t="b">
        <f t="shared" si="268"/>
        <v>1</v>
      </c>
      <c r="AR49" s="21" t="b">
        <f t="shared" si="268"/>
        <v>1</v>
      </c>
      <c r="AS49" s="21" t="b">
        <f t="shared" si="268"/>
        <v>1</v>
      </c>
      <c r="AT49" s="21" t="b">
        <f t="shared" si="268"/>
        <v>1</v>
      </c>
      <c r="AU49" s="21" t="b">
        <f t="shared" si="268"/>
        <v>1</v>
      </c>
      <c r="AV49" s="21" t="b">
        <f>AND(AV40="DPV_ERROR_RESET_OR_NO_ERROR_E",AV41="DPV_REGISTER_NO_ERROR_E")</f>
        <v>1</v>
      </c>
      <c r="AW49" s="21" t="b">
        <f t="shared" ref="AW49:AY49" si="269">AND(AW40="DPV_ERROR_RESET_OR_NO_ERROR_E",AW41="DPV_REGISTER_NO_ERROR_E")</f>
        <v>1</v>
      </c>
      <c r="AX49" s="21" t="b">
        <f t="shared" si="269"/>
        <v>1</v>
      </c>
      <c r="AY49" s="21" t="b">
        <f t="shared" si="269"/>
        <v>1</v>
      </c>
      <c r="AZ49" s="21" t="b">
        <f>AND(AZ40="DPV_ERROR_RESET_OR_NO_ERROR_E",AZ41="DPV_REGISTER_NO_ERROR_E")</f>
        <v>1</v>
      </c>
      <c r="BA49" s="21" t="b">
        <f t="shared" ref="BA49:BG49" si="270">AND(BA40="DPV_ERROR_RESET_OR_NO_ERROR_E",BA41="DPV_REGISTER_NO_ERROR_E")</f>
        <v>1</v>
      </c>
      <c r="BB49" s="21" t="b">
        <f t="shared" si="270"/>
        <v>1</v>
      </c>
      <c r="BC49" s="21" t="b">
        <f t="shared" si="270"/>
        <v>1</v>
      </c>
      <c r="BD49" s="21" t="b">
        <f t="shared" si="270"/>
        <v>1</v>
      </c>
      <c r="BE49" s="21" t="b">
        <f t="shared" si="270"/>
        <v>1</v>
      </c>
      <c r="BF49" s="21" t="b">
        <f t="shared" si="270"/>
        <v>1</v>
      </c>
      <c r="BG49" s="21" t="b">
        <f t="shared" si="270"/>
        <v>1</v>
      </c>
      <c r="BH49" s="21" t="b">
        <f>AND(BH40="DPV_ERROR_RESET_OR_NO_ERROR_E",BH41="DPV_REGISTER_NO_ERROR_E")</f>
        <v>1</v>
      </c>
      <c r="BI49" s="21" t="b">
        <f t="shared" ref="BI49:BK49" si="271">AND(BI40="DPV_ERROR_RESET_OR_NO_ERROR_E",BI41="DPV_REGISTER_NO_ERROR_E")</f>
        <v>1</v>
      </c>
      <c r="BJ49" s="21" t="b">
        <f t="shared" si="271"/>
        <v>1</v>
      </c>
      <c r="BK49" s="21" t="b">
        <f t="shared" si="271"/>
        <v>1</v>
      </c>
      <c r="BL49" s="21" t="b">
        <f>AND(BL40="DPV_ERROR_RESET_OR_NO_ERROR_E",BL41="DPV_REGISTER_NO_ERROR_E")</f>
        <v>1</v>
      </c>
      <c r="BM49" s="21" t="b">
        <f t="shared" ref="BM49" si="272">AND(BM40="DPV_ERROR_RESET_OR_NO_ERROR_E",BM41="DPV_REGISTER_NO_ERROR_E")</f>
        <v>1</v>
      </c>
      <c r="BN49" s="21" t="b">
        <f t="shared" si="263"/>
        <v>1</v>
      </c>
      <c r="BO49" s="21" t="b">
        <f t="shared" si="263"/>
        <v>1</v>
      </c>
      <c r="BP49" s="21" t="b">
        <f t="shared" si="263"/>
        <v>1</v>
      </c>
      <c r="BQ49" s="21" t="b">
        <f t="shared" si="263"/>
        <v>1</v>
      </c>
      <c r="BR49" s="21" t="b">
        <f t="shared" si="263"/>
        <v>1</v>
      </c>
      <c r="BS49" s="21" t="b">
        <f t="shared" si="263"/>
        <v>1</v>
      </c>
      <c r="BT49" s="21" t="b">
        <f t="shared" si="263"/>
        <v>1</v>
      </c>
      <c r="BU49" s="21" t="b">
        <f t="shared" si="263"/>
        <v>1</v>
      </c>
      <c r="BV49" s="21" t="b">
        <f t="shared" si="263"/>
        <v>1</v>
      </c>
      <c r="BW49" s="40" t="b">
        <f t="shared" si="263"/>
        <v>1</v>
      </c>
      <c r="BX49" s="21" t="b">
        <f t="shared" si="263"/>
        <v>1</v>
      </c>
      <c r="BY49" s="21" t="b">
        <f t="shared" si="263"/>
        <v>1</v>
      </c>
      <c r="BZ49" s="21" t="b">
        <f t="shared" si="263"/>
        <v>1</v>
      </c>
      <c r="CA49" s="21" t="b">
        <f t="shared" si="263"/>
        <v>1</v>
      </c>
      <c r="CB49" s="21" t="b">
        <f t="shared" si="263"/>
        <v>1</v>
      </c>
      <c r="CC49" s="21" t="b">
        <f t="shared" si="263"/>
        <v>0</v>
      </c>
      <c r="CD49" s="21" t="b">
        <f t="shared" si="263"/>
        <v>0</v>
      </c>
      <c r="CE49" s="21" t="b">
        <f t="shared" si="263"/>
        <v>1</v>
      </c>
      <c r="CF49" s="62" t="b">
        <f t="shared" si="263"/>
        <v>1</v>
      </c>
      <c r="CG49" s="62" t="b">
        <f t="shared" si="263"/>
        <v>1</v>
      </c>
      <c r="CH49" s="62" t="b">
        <f t="shared" si="263"/>
        <v>1</v>
      </c>
      <c r="CI49" s="62" t="b">
        <f t="shared" si="263"/>
        <v>1</v>
      </c>
      <c r="CJ49" s="62" t="b">
        <f t="shared" si="263"/>
        <v>1</v>
      </c>
      <c r="CK49" s="62" t="b">
        <f t="shared" si="263"/>
        <v>1</v>
      </c>
      <c r="CL49" s="62" t="b">
        <f t="shared" si="263"/>
        <v>1</v>
      </c>
      <c r="CM49" s="62" t="b">
        <f t="shared" si="263"/>
        <v>1</v>
      </c>
      <c r="CN49" s="62" t="b">
        <f t="shared" si="263"/>
        <v>1</v>
      </c>
      <c r="CO49" s="62" t="b">
        <f t="shared" si="263"/>
        <v>1</v>
      </c>
      <c r="CP49" s="62" t="b">
        <f t="shared" si="263"/>
        <v>1</v>
      </c>
      <c r="CQ49" s="62" t="b">
        <f t="shared" si="263"/>
        <v>0</v>
      </c>
      <c r="CR49" s="62" t="b">
        <f t="shared" si="263"/>
        <v>0</v>
      </c>
      <c r="CS49" s="62" t="b">
        <f t="shared" si="263"/>
        <v>1</v>
      </c>
      <c r="CT49" s="62" t="b">
        <f t="shared" si="263"/>
        <v>1</v>
      </c>
      <c r="CU49" s="62" t="b">
        <f t="shared" si="263"/>
        <v>1</v>
      </c>
      <c r="CV49" s="62" t="b">
        <f t="shared" si="263"/>
        <v>1</v>
      </c>
      <c r="CW49" s="62" t="b">
        <f t="shared" si="263"/>
        <v>1</v>
      </c>
      <c r="CX49" s="62" t="b">
        <f t="shared" si="263"/>
        <v>1</v>
      </c>
      <c r="CY49" s="62" t="b">
        <f t="shared" si="263"/>
        <v>1</v>
      </c>
      <c r="CZ49" s="62" t="b">
        <f t="shared" si="263"/>
        <v>1</v>
      </c>
      <c r="DA49" s="62" t="b">
        <f t="shared" si="263"/>
        <v>1</v>
      </c>
      <c r="DB49" s="62" t="b">
        <f t="shared" si="263"/>
        <v>1</v>
      </c>
      <c r="DC49" s="62" t="b">
        <f t="shared" si="263"/>
        <v>1</v>
      </c>
      <c r="DD49" s="62" t="b">
        <f t="shared" si="263"/>
        <v>1</v>
      </c>
      <c r="DE49" s="62" t="b">
        <f t="shared" si="263"/>
        <v>1</v>
      </c>
      <c r="DF49" s="62" t="b">
        <f t="shared" si="263"/>
        <v>1</v>
      </c>
      <c r="DG49" s="62" t="b">
        <f t="shared" si="263"/>
        <v>1</v>
      </c>
      <c r="DH49" s="62" t="b">
        <f t="shared" ref="DH49:FS49" si="273">AND(DH40="DPV_ERROR_RESET_OR_NO_ERROR_E",DH41="DPV_REGISTER_NO_ERROR_E")</f>
        <v>1</v>
      </c>
      <c r="DI49" s="62" t="b">
        <f t="shared" si="273"/>
        <v>1</v>
      </c>
      <c r="DJ49" s="62" t="b">
        <f t="shared" si="273"/>
        <v>1</v>
      </c>
      <c r="DK49" s="62" t="b">
        <f t="shared" si="273"/>
        <v>1</v>
      </c>
      <c r="DL49" s="62" t="b">
        <f t="shared" si="273"/>
        <v>1</v>
      </c>
      <c r="DM49" s="62" t="b">
        <f t="shared" si="273"/>
        <v>1</v>
      </c>
      <c r="DN49" s="62" t="b">
        <f t="shared" si="273"/>
        <v>1</v>
      </c>
      <c r="DO49" s="62" t="b">
        <f t="shared" si="273"/>
        <v>1</v>
      </c>
      <c r="DP49" s="62" t="b">
        <f t="shared" si="273"/>
        <v>1</v>
      </c>
      <c r="DQ49" s="62" t="b">
        <f t="shared" si="273"/>
        <v>1</v>
      </c>
      <c r="DR49" s="62" t="b">
        <f t="shared" si="273"/>
        <v>1</v>
      </c>
      <c r="DS49" s="62" t="b">
        <f t="shared" si="273"/>
        <v>1</v>
      </c>
      <c r="DT49" s="62" t="b">
        <f t="shared" si="273"/>
        <v>1</v>
      </c>
      <c r="DU49" s="62" t="b">
        <f t="shared" si="273"/>
        <v>1</v>
      </c>
      <c r="DV49" s="62" t="b">
        <f t="shared" si="273"/>
        <v>1</v>
      </c>
      <c r="DW49" s="62" t="b">
        <f t="shared" si="273"/>
        <v>1</v>
      </c>
      <c r="DX49" s="62" t="b">
        <f t="shared" si="273"/>
        <v>1</v>
      </c>
      <c r="DY49" s="62" t="b">
        <f t="shared" si="273"/>
        <v>1</v>
      </c>
      <c r="DZ49" s="62" t="b">
        <f t="shared" si="273"/>
        <v>1</v>
      </c>
      <c r="EA49" s="62" t="b">
        <f t="shared" si="273"/>
        <v>1</v>
      </c>
      <c r="EB49" s="62" t="b">
        <f t="shared" si="273"/>
        <v>1</v>
      </c>
      <c r="EC49" s="62" t="b">
        <f t="shared" si="273"/>
        <v>1</v>
      </c>
      <c r="ED49" s="62" t="b">
        <f t="shared" si="273"/>
        <v>1</v>
      </c>
      <c r="EE49" s="62" t="b">
        <f t="shared" si="273"/>
        <v>1</v>
      </c>
      <c r="EF49" s="62" t="b">
        <f t="shared" si="273"/>
        <v>1</v>
      </c>
      <c r="EG49" s="62" t="b">
        <f t="shared" si="273"/>
        <v>1</v>
      </c>
      <c r="EH49" s="62" t="b">
        <f t="shared" si="273"/>
        <v>1</v>
      </c>
      <c r="EI49" s="62" t="b">
        <f t="shared" si="273"/>
        <v>1</v>
      </c>
      <c r="EJ49" s="62" t="b">
        <f t="shared" si="273"/>
        <v>1</v>
      </c>
      <c r="EK49" s="62" t="b">
        <f t="shared" si="273"/>
        <v>1</v>
      </c>
      <c r="EL49" s="62" t="b">
        <f t="shared" si="273"/>
        <v>1</v>
      </c>
      <c r="EM49" s="62" t="b">
        <f t="shared" si="273"/>
        <v>1</v>
      </c>
      <c r="EN49" s="62" t="b">
        <f t="shared" si="273"/>
        <v>1</v>
      </c>
      <c r="EO49" s="62" t="b">
        <f t="shared" si="273"/>
        <v>1</v>
      </c>
      <c r="EP49" s="62" t="b">
        <f t="shared" si="273"/>
        <v>1</v>
      </c>
      <c r="EQ49" s="62" t="b">
        <f t="shared" si="273"/>
        <v>1</v>
      </c>
      <c r="ER49" s="62" t="b">
        <f t="shared" si="273"/>
        <v>1</v>
      </c>
      <c r="ES49" s="62" t="b">
        <f t="shared" si="273"/>
        <v>1</v>
      </c>
      <c r="ET49" s="62" t="b">
        <f t="shared" si="273"/>
        <v>1</v>
      </c>
      <c r="EU49" s="62" t="b">
        <f t="shared" si="273"/>
        <v>1</v>
      </c>
      <c r="EV49" s="62" t="b">
        <f t="shared" si="273"/>
        <v>1</v>
      </c>
      <c r="EW49" s="62" t="b">
        <f t="shared" si="273"/>
        <v>1</v>
      </c>
      <c r="EX49" s="62" t="b">
        <f t="shared" si="273"/>
        <v>1</v>
      </c>
      <c r="EY49" s="62" t="b">
        <f t="shared" si="273"/>
        <v>1</v>
      </c>
      <c r="EZ49" s="62" t="b">
        <f t="shared" si="273"/>
        <v>1</v>
      </c>
      <c r="FA49" s="62" t="b">
        <f t="shared" si="273"/>
        <v>1</v>
      </c>
      <c r="FB49" s="62" t="b">
        <f t="shared" si="273"/>
        <v>1</v>
      </c>
      <c r="FC49" s="62" t="b">
        <f t="shared" si="273"/>
        <v>1</v>
      </c>
      <c r="FD49" s="62" t="b">
        <f t="shared" si="273"/>
        <v>1</v>
      </c>
      <c r="FE49" s="62" t="b">
        <f t="shared" si="273"/>
        <v>1</v>
      </c>
      <c r="FF49" s="62" t="b">
        <f t="shared" si="273"/>
        <v>1</v>
      </c>
      <c r="FG49" s="62" t="b">
        <f t="shared" si="273"/>
        <v>1</v>
      </c>
      <c r="FH49" s="62" t="b">
        <f t="shared" si="273"/>
        <v>1</v>
      </c>
      <c r="FI49" s="62" t="b">
        <f t="shared" si="273"/>
        <v>1</v>
      </c>
      <c r="FJ49" s="62" t="b">
        <f t="shared" si="273"/>
        <v>1</v>
      </c>
      <c r="FK49" s="62" t="b">
        <f t="shared" si="273"/>
        <v>1</v>
      </c>
      <c r="FL49" s="62" t="b">
        <f t="shared" si="273"/>
        <v>1</v>
      </c>
      <c r="FM49" s="62" t="b">
        <f t="shared" si="273"/>
        <v>1</v>
      </c>
      <c r="FN49" s="62" t="b">
        <f t="shared" si="273"/>
        <v>1</v>
      </c>
      <c r="FO49" s="62" t="b">
        <f t="shared" si="273"/>
        <v>1</v>
      </c>
      <c r="FP49" s="21" t="b">
        <f t="shared" si="273"/>
        <v>1</v>
      </c>
      <c r="FQ49" s="21" t="b">
        <f t="shared" si="273"/>
        <v>1</v>
      </c>
      <c r="FR49" s="21" t="b">
        <f t="shared" si="273"/>
        <v>1</v>
      </c>
      <c r="FS49" s="21" t="b">
        <f t="shared" si="273"/>
        <v>1</v>
      </c>
      <c r="FT49" s="21" t="b">
        <f t="shared" ref="FT49:IE49" si="274">AND(FT40="DPV_ERROR_RESET_OR_NO_ERROR_E",FT41="DPV_REGISTER_NO_ERROR_E")</f>
        <v>1</v>
      </c>
      <c r="FU49" s="21" t="b">
        <f t="shared" si="274"/>
        <v>1</v>
      </c>
      <c r="FV49" s="21" t="b">
        <f t="shared" si="274"/>
        <v>1</v>
      </c>
      <c r="FW49" s="21" t="b">
        <f t="shared" si="274"/>
        <v>1</v>
      </c>
      <c r="FX49" s="21" t="b">
        <f t="shared" si="274"/>
        <v>1</v>
      </c>
      <c r="FY49" s="21" t="b">
        <f t="shared" si="274"/>
        <v>1</v>
      </c>
      <c r="FZ49" s="21" t="b">
        <f t="shared" si="274"/>
        <v>1</v>
      </c>
      <c r="GA49" s="21" t="b">
        <f t="shared" si="274"/>
        <v>1</v>
      </c>
      <c r="GB49" s="21" t="b">
        <f t="shared" si="274"/>
        <v>1</v>
      </c>
      <c r="GC49" s="21" t="b">
        <f t="shared" si="274"/>
        <v>1</v>
      </c>
      <c r="GD49" s="21" t="b">
        <f t="shared" si="274"/>
        <v>1</v>
      </c>
      <c r="GE49" s="21" t="b">
        <f t="shared" si="274"/>
        <v>1</v>
      </c>
      <c r="GF49" s="21" t="b">
        <f t="shared" si="274"/>
        <v>1</v>
      </c>
      <c r="GG49" s="21" t="b">
        <f t="shared" si="274"/>
        <v>1</v>
      </c>
      <c r="GH49" s="21" t="b">
        <f t="shared" si="274"/>
        <v>1</v>
      </c>
      <c r="GI49" s="21" t="b">
        <f t="shared" si="274"/>
        <v>1</v>
      </c>
      <c r="GJ49" s="21" t="b">
        <f t="shared" si="274"/>
        <v>1</v>
      </c>
      <c r="GK49" s="21" t="b">
        <f t="shared" si="274"/>
        <v>1</v>
      </c>
      <c r="GL49" s="21" t="b">
        <f t="shared" si="274"/>
        <v>1</v>
      </c>
      <c r="GM49" s="21" t="b">
        <f t="shared" si="274"/>
        <v>1</v>
      </c>
      <c r="GN49" s="21" t="b">
        <f t="shared" si="274"/>
        <v>1</v>
      </c>
      <c r="GO49" s="21" t="b">
        <f t="shared" si="274"/>
        <v>1</v>
      </c>
      <c r="GP49" s="21" t="b">
        <f t="shared" si="274"/>
        <v>1</v>
      </c>
      <c r="GQ49" s="21" t="b">
        <f t="shared" si="274"/>
        <v>1</v>
      </c>
      <c r="GR49" s="21" t="b">
        <f t="shared" si="274"/>
        <v>1</v>
      </c>
      <c r="GS49" s="21" t="b">
        <f t="shared" si="274"/>
        <v>1</v>
      </c>
      <c r="GT49" s="21" t="b">
        <f t="shared" si="274"/>
        <v>1</v>
      </c>
      <c r="GU49" s="21" t="b">
        <f t="shared" si="274"/>
        <v>1</v>
      </c>
      <c r="GV49" s="21" t="b">
        <f t="shared" si="274"/>
        <v>1</v>
      </c>
      <c r="GW49" s="21" t="b">
        <f t="shared" si="274"/>
        <v>1</v>
      </c>
      <c r="GX49" s="21" t="b">
        <f t="shared" si="274"/>
        <v>1</v>
      </c>
      <c r="GY49" s="21" t="b">
        <f t="shared" si="274"/>
        <v>1</v>
      </c>
      <c r="GZ49" s="21" t="b">
        <f t="shared" si="274"/>
        <v>1</v>
      </c>
      <c r="HA49" s="21" t="b">
        <f t="shared" si="274"/>
        <v>1</v>
      </c>
      <c r="HB49" s="21" t="b">
        <f t="shared" si="274"/>
        <v>1</v>
      </c>
      <c r="HC49" s="21" t="b">
        <f t="shared" si="274"/>
        <v>1</v>
      </c>
      <c r="HD49" s="21" t="b">
        <f t="shared" si="274"/>
        <v>1</v>
      </c>
      <c r="HE49" s="21" t="b">
        <f t="shared" si="274"/>
        <v>1</v>
      </c>
      <c r="HF49" s="21" t="b">
        <f t="shared" si="274"/>
        <v>1</v>
      </c>
      <c r="HG49" s="21" t="b">
        <f t="shared" si="274"/>
        <v>1</v>
      </c>
      <c r="HH49" s="21" t="b">
        <f t="shared" si="274"/>
        <v>1</v>
      </c>
      <c r="HI49" s="21" t="b">
        <f t="shared" si="274"/>
        <v>1</v>
      </c>
      <c r="HJ49" s="21" t="b">
        <f t="shared" si="274"/>
        <v>1</v>
      </c>
      <c r="HK49" s="21" t="b">
        <f t="shared" si="274"/>
        <v>1</v>
      </c>
      <c r="HL49" s="21" t="b">
        <f t="shared" si="274"/>
        <v>1</v>
      </c>
      <c r="HM49" s="21" t="b">
        <f t="shared" si="274"/>
        <v>1</v>
      </c>
      <c r="HN49" s="21" t="b">
        <f t="shared" si="274"/>
        <v>1</v>
      </c>
      <c r="HO49" s="21" t="b">
        <f t="shared" si="274"/>
        <v>1</v>
      </c>
      <c r="HP49" s="21" t="b">
        <f t="shared" si="274"/>
        <v>1</v>
      </c>
      <c r="HQ49" s="21" t="b">
        <f t="shared" si="274"/>
        <v>1</v>
      </c>
      <c r="HR49" s="21" t="b">
        <f t="shared" si="274"/>
        <v>1</v>
      </c>
      <c r="HS49" s="21" t="b">
        <f t="shared" si="274"/>
        <v>1</v>
      </c>
      <c r="HT49" s="21" t="b">
        <f t="shared" si="274"/>
        <v>1</v>
      </c>
      <c r="HU49" s="21" t="b">
        <f t="shared" si="274"/>
        <v>1</v>
      </c>
      <c r="HV49" s="21" t="b">
        <f t="shared" si="274"/>
        <v>1</v>
      </c>
      <c r="HW49" s="21" t="b">
        <f t="shared" si="274"/>
        <v>1</v>
      </c>
      <c r="HX49" s="21" t="b">
        <f t="shared" si="274"/>
        <v>1</v>
      </c>
      <c r="HY49" s="21" t="b">
        <f t="shared" si="274"/>
        <v>1</v>
      </c>
      <c r="HZ49" s="21" t="b">
        <f t="shared" si="274"/>
        <v>1</v>
      </c>
      <c r="IA49" s="21" t="b">
        <f t="shared" si="274"/>
        <v>1</v>
      </c>
      <c r="IB49" s="21" t="b">
        <f t="shared" si="274"/>
        <v>1</v>
      </c>
      <c r="IC49" s="21" t="b">
        <f t="shared" si="274"/>
        <v>1</v>
      </c>
      <c r="ID49" s="21" t="b">
        <f t="shared" si="274"/>
        <v>1</v>
      </c>
      <c r="IE49" s="21" t="b">
        <f t="shared" si="274"/>
        <v>1</v>
      </c>
      <c r="IF49" s="21" t="b">
        <f t="shared" ref="IF49:KG49" si="275">AND(IF40="DPV_ERROR_RESET_OR_NO_ERROR_E",IF41="DPV_REGISTER_NO_ERROR_E")</f>
        <v>1</v>
      </c>
      <c r="IG49" s="21" t="b">
        <f t="shared" si="275"/>
        <v>1</v>
      </c>
      <c r="IH49" s="21" t="b">
        <f t="shared" si="275"/>
        <v>1</v>
      </c>
      <c r="II49" s="21" t="b">
        <f t="shared" si="275"/>
        <v>1</v>
      </c>
      <c r="IJ49" s="21" t="b">
        <f t="shared" si="275"/>
        <v>1</v>
      </c>
      <c r="IK49" s="21" t="b">
        <f t="shared" si="275"/>
        <v>1</v>
      </c>
      <c r="IL49" s="21" t="b">
        <f t="shared" si="275"/>
        <v>1</v>
      </c>
      <c r="IM49" s="40" t="b">
        <f t="shared" si="275"/>
        <v>1</v>
      </c>
      <c r="IN49" s="40" t="b">
        <f t="shared" si="275"/>
        <v>1</v>
      </c>
      <c r="IO49" s="40" t="b">
        <f t="shared" si="275"/>
        <v>1</v>
      </c>
      <c r="IP49" s="21" t="b">
        <f t="shared" si="275"/>
        <v>1</v>
      </c>
      <c r="IQ49" s="21" t="b">
        <f t="shared" ref="IQ49:IW49" si="276">AND(IQ40="DPV_ERROR_RESET_OR_NO_ERROR_E",IQ41="DPV_REGISTER_NO_ERROR_E")</f>
        <v>1</v>
      </c>
      <c r="IR49" s="21" t="b">
        <f t="shared" si="276"/>
        <v>1</v>
      </c>
      <c r="IS49" s="21" t="b">
        <f t="shared" si="276"/>
        <v>1</v>
      </c>
      <c r="IT49" s="21" t="b">
        <f t="shared" si="276"/>
        <v>1</v>
      </c>
      <c r="IU49" s="21" t="b">
        <f t="shared" si="276"/>
        <v>1</v>
      </c>
      <c r="IV49" s="21" t="b">
        <f t="shared" si="276"/>
        <v>1</v>
      </c>
      <c r="IW49" s="21" t="b">
        <f t="shared" si="276"/>
        <v>1</v>
      </c>
      <c r="IX49" s="21" t="b">
        <f t="shared" si="275"/>
        <v>1</v>
      </c>
      <c r="IY49" s="21" t="b">
        <f t="shared" si="275"/>
        <v>1</v>
      </c>
      <c r="IZ49" s="21" t="b">
        <f t="shared" si="275"/>
        <v>1</v>
      </c>
      <c r="JA49" s="21" t="b">
        <f t="shared" si="275"/>
        <v>1</v>
      </c>
      <c r="JB49" s="21" t="b">
        <f t="shared" si="275"/>
        <v>1</v>
      </c>
      <c r="JC49" s="21" t="b">
        <f t="shared" si="275"/>
        <v>1</v>
      </c>
      <c r="JD49" s="21" t="b">
        <f t="shared" si="275"/>
        <v>1</v>
      </c>
      <c r="JE49" s="21" t="b">
        <f t="shared" si="275"/>
        <v>1</v>
      </c>
      <c r="JF49" s="21" t="b">
        <f t="shared" si="275"/>
        <v>1</v>
      </c>
      <c r="JG49" s="21" t="b">
        <f t="shared" si="275"/>
        <v>1</v>
      </c>
      <c r="JH49" s="21" t="b">
        <f t="shared" si="275"/>
        <v>1</v>
      </c>
      <c r="JI49" s="21" t="b">
        <f t="shared" si="275"/>
        <v>1</v>
      </c>
      <c r="JJ49" s="21" t="b">
        <f t="shared" si="275"/>
        <v>1</v>
      </c>
      <c r="JK49" s="21" t="b">
        <f t="shared" si="275"/>
        <v>1</v>
      </c>
      <c r="JL49" s="21" t="b">
        <f t="shared" si="275"/>
        <v>1</v>
      </c>
      <c r="JM49" s="21" t="b">
        <f t="shared" si="275"/>
        <v>1</v>
      </c>
      <c r="JN49" s="21" t="b">
        <f t="shared" si="275"/>
        <v>1</v>
      </c>
      <c r="JO49" s="21" t="b">
        <f t="shared" si="275"/>
        <v>1</v>
      </c>
      <c r="JP49" s="21" t="b">
        <f t="shared" si="275"/>
        <v>1</v>
      </c>
      <c r="JQ49" s="21" t="b">
        <f t="shared" si="275"/>
        <v>1</v>
      </c>
      <c r="JR49" s="21" t="b">
        <f t="shared" si="275"/>
        <v>1</v>
      </c>
      <c r="JS49" s="21" t="b">
        <f t="shared" si="275"/>
        <v>1</v>
      </c>
      <c r="JT49" s="21" t="b">
        <f t="shared" si="275"/>
        <v>1</v>
      </c>
      <c r="JU49" s="21" t="b">
        <f t="shared" si="275"/>
        <v>1</v>
      </c>
      <c r="JV49" s="21" t="b">
        <f t="shared" si="275"/>
        <v>1</v>
      </c>
      <c r="JW49" s="21" t="b">
        <f t="shared" si="275"/>
        <v>1</v>
      </c>
      <c r="JX49" s="21" t="b">
        <f t="shared" si="275"/>
        <v>1</v>
      </c>
      <c r="JY49" s="21" t="b">
        <f t="shared" si="275"/>
        <v>1</v>
      </c>
      <c r="JZ49" s="21" t="b">
        <f t="shared" si="275"/>
        <v>1</v>
      </c>
      <c r="KA49" s="21" t="b">
        <f t="shared" si="275"/>
        <v>1</v>
      </c>
      <c r="KB49" s="21" t="b">
        <f t="shared" si="275"/>
        <v>1</v>
      </c>
      <c r="KC49" s="21" t="b">
        <f t="shared" si="275"/>
        <v>1</v>
      </c>
      <c r="KD49" s="21" t="b">
        <f t="shared" si="275"/>
        <v>1</v>
      </c>
      <c r="KE49" s="21" t="b">
        <f t="shared" si="275"/>
        <v>1</v>
      </c>
      <c r="KF49" s="21" t="b">
        <f t="shared" si="275"/>
        <v>1</v>
      </c>
      <c r="KG49" s="21" t="b">
        <f t="shared" si="275"/>
        <v>1</v>
      </c>
      <c r="KH49" s="21" t="b">
        <f t="shared" ref="KH49:ML49" si="277">AND(KH40="DPV_ERROR_RESET_OR_NO_ERROR_E",KH41="DPV_REGISTER_NO_ERROR_E")</f>
        <v>1</v>
      </c>
      <c r="KI49" s="21" t="b">
        <f t="shared" si="277"/>
        <v>1</v>
      </c>
      <c r="KJ49" s="21" t="b">
        <f t="shared" si="277"/>
        <v>1</v>
      </c>
      <c r="KK49" s="21" t="b">
        <f t="shared" si="277"/>
        <v>1</v>
      </c>
      <c r="KL49" s="21" t="b">
        <f t="shared" si="277"/>
        <v>1</v>
      </c>
      <c r="KM49" s="21" t="b">
        <f t="shared" si="277"/>
        <v>1</v>
      </c>
      <c r="KN49" s="21" t="b">
        <f t="shared" si="277"/>
        <v>1</v>
      </c>
      <c r="KO49" s="21" t="b">
        <f t="shared" si="277"/>
        <v>1</v>
      </c>
      <c r="KP49" s="21" t="b">
        <f t="shared" si="277"/>
        <v>1</v>
      </c>
      <c r="KQ49" s="21" t="b">
        <f t="shared" si="277"/>
        <v>1</v>
      </c>
      <c r="KR49" s="21" t="b">
        <f t="shared" si="277"/>
        <v>1</v>
      </c>
      <c r="KS49" s="21" t="b">
        <f t="shared" si="277"/>
        <v>1</v>
      </c>
      <c r="KT49" s="21" t="b">
        <f t="shared" si="277"/>
        <v>1</v>
      </c>
      <c r="KU49" s="21" t="b">
        <f t="shared" si="277"/>
        <v>1</v>
      </c>
      <c r="KV49" s="21" t="b">
        <f t="shared" si="277"/>
        <v>1</v>
      </c>
      <c r="KW49" s="21" t="b">
        <f t="shared" si="277"/>
        <v>1</v>
      </c>
      <c r="KX49" s="21" t="b">
        <f t="shared" si="277"/>
        <v>1</v>
      </c>
      <c r="KY49" s="21" t="b">
        <f t="shared" si="277"/>
        <v>1</v>
      </c>
      <c r="KZ49" s="21" t="b">
        <f t="shared" si="277"/>
        <v>1</v>
      </c>
      <c r="LA49" s="21" t="b">
        <f t="shared" si="277"/>
        <v>1</v>
      </c>
      <c r="LB49" s="21" t="b">
        <f t="shared" si="277"/>
        <v>1</v>
      </c>
      <c r="LC49" s="21" t="b">
        <f t="shared" si="277"/>
        <v>1</v>
      </c>
      <c r="LD49" s="21" t="b">
        <f t="shared" si="277"/>
        <v>1</v>
      </c>
      <c r="LE49" s="21" t="b">
        <f t="shared" si="277"/>
        <v>1</v>
      </c>
      <c r="LF49" s="21" t="b">
        <f t="shared" si="277"/>
        <v>1</v>
      </c>
      <c r="LG49" s="21" t="b">
        <f t="shared" si="277"/>
        <v>1</v>
      </c>
      <c r="LH49" s="21" t="b">
        <f t="shared" si="277"/>
        <v>1</v>
      </c>
      <c r="LI49" s="21" t="b">
        <f t="shared" si="277"/>
        <v>1</v>
      </c>
      <c r="LJ49" s="21" t="b">
        <f t="shared" si="277"/>
        <v>1</v>
      </c>
      <c r="LK49" s="21" t="b">
        <f t="shared" si="277"/>
        <v>1</v>
      </c>
      <c r="LL49" s="21" t="b">
        <f t="shared" si="277"/>
        <v>1</v>
      </c>
      <c r="LM49" s="21" t="b">
        <f t="shared" si="277"/>
        <v>1</v>
      </c>
      <c r="LN49" s="21" t="b">
        <f t="shared" si="277"/>
        <v>1</v>
      </c>
      <c r="LO49" s="21" t="b">
        <f t="shared" si="277"/>
        <v>1</v>
      </c>
      <c r="LP49" s="21" t="b">
        <f t="shared" si="277"/>
        <v>1</v>
      </c>
      <c r="LQ49" s="21" t="b">
        <f t="shared" si="277"/>
        <v>1</v>
      </c>
      <c r="LR49" s="21" t="b">
        <f t="shared" si="277"/>
        <v>1</v>
      </c>
      <c r="LS49" s="21" t="b">
        <f t="shared" si="277"/>
        <v>1</v>
      </c>
      <c r="LT49" s="21" t="b">
        <f t="shared" si="277"/>
        <v>1</v>
      </c>
      <c r="LU49" s="21" t="b">
        <f t="shared" si="277"/>
        <v>1</v>
      </c>
      <c r="LV49" s="21" t="b">
        <f t="shared" si="277"/>
        <v>1</v>
      </c>
      <c r="LW49" s="21" t="b">
        <f t="shared" si="277"/>
        <v>1</v>
      </c>
      <c r="LX49" s="21" t="b">
        <f t="shared" si="277"/>
        <v>1</v>
      </c>
      <c r="LY49" s="21" t="b">
        <f t="shared" si="277"/>
        <v>1</v>
      </c>
      <c r="LZ49" s="21" t="b">
        <f t="shared" si="277"/>
        <v>1</v>
      </c>
      <c r="MA49" s="21" t="b">
        <f t="shared" si="277"/>
        <v>1</v>
      </c>
      <c r="MB49" s="21" t="b">
        <f t="shared" si="277"/>
        <v>1</v>
      </c>
      <c r="MC49" s="1" t="b">
        <f t="shared" si="277"/>
        <v>1</v>
      </c>
      <c r="MD49" s="1" t="b">
        <f t="shared" si="277"/>
        <v>1</v>
      </c>
      <c r="ME49" s="1" t="b">
        <f t="shared" si="277"/>
        <v>1</v>
      </c>
      <c r="MF49" s="1" t="b">
        <f t="shared" si="277"/>
        <v>1</v>
      </c>
      <c r="MG49" s="1" t="b">
        <f t="shared" si="277"/>
        <v>1</v>
      </c>
      <c r="MH49" s="1" t="b">
        <f t="shared" si="277"/>
        <v>1</v>
      </c>
      <c r="MI49" s="1" t="b">
        <f t="shared" si="277"/>
        <v>1</v>
      </c>
      <c r="MJ49" s="1" t="b">
        <f t="shared" si="277"/>
        <v>1</v>
      </c>
      <c r="MK49" s="1" t="b">
        <f t="shared" si="277"/>
        <v>1</v>
      </c>
      <c r="ML49" s="1" t="b">
        <f t="shared" si="277"/>
        <v>1</v>
      </c>
      <c r="MM49" s="1"/>
      <c r="MN49" s="1"/>
    </row>
    <row r="50" spans="2:352" ht="23.25" customHeight="1" x14ac:dyDescent="0.25">
      <c r="C50" s="21"/>
      <c r="D50" s="21" t="b">
        <f t="shared" ref="D50:DG50" si="278">NOT(D49)</f>
        <v>0</v>
      </c>
      <c r="E50" s="21" t="b">
        <f t="shared" si="278"/>
        <v>0</v>
      </c>
      <c r="F50" s="21" t="b">
        <f t="shared" si="278"/>
        <v>0</v>
      </c>
      <c r="G50" s="21" t="b">
        <f t="shared" si="278"/>
        <v>0</v>
      </c>
      <c r="H50" s="21" t="b">
        <f t="shared" si="278"/>
        <v>0</v>
      </c>
      <c r="I50" s="21" t="b">
        <f t="shared" si="278"/>
        <v>0</v>
      </c>
      <c r="J50" s="21" t="b">
        <f t="shared" si="278"/>
        <v>0</v>
      </c>
      <c r="K50" s="21" t="b">
        <f t="shared" si="278"/>
        <v>0</v>
      </c>
      <c r="L50" s="21" t="b">
        <f>NOT(L49)</f>
        <v>1</v>
      </c>
      <c r="M50" s="21" t="b">
        <f t="shared" si="278"/>
        <v>1</v>
      </c>
      <c r="N50" s="21" t="b">
        <f t="shared" si="278"/>
        <v>1</v>
      </c>
      <c r="O50" s="21" t="b">
        <f t="shared" si="278"/>
        <v>0</v>
      </c>
      <c r="P50" s="21" t="b">
        <f>NOT(P49)</f>
        <v>0</v>
      </c>
      <c r="Q50" s="21" t="b">
        <f t="shared" si="278"/>
        <v>0</v>
      </c>
      <c r="R50" s="21" t="b">
        <f t="shared" ref="R50:W50" si="279">NOT(R49)</f>
        <v>0</v>
      </c>
      <c r="S50" s="21" t="b">
        <f t="shared" si="279"/>
        <v>0</v>
      </c>
      <c r="T50" s="21" t="b">
        <f t="shared" si="279"/>
        <v>0</v>
      </c>
      <c r="U50" s="21" t="b">
        <f t="shared" si="279"/>
        <v>0</v>
      </c>
      <c r="V50" s="21" t="b">
        <f t="shared" si="279"/>
        <v>0</v>
      </c>
      <c r="W50" s="21" t="b">
        <f t="shared" si="279"/>
        <v>0</v>
      </c>
      <c r="X50" s="21" t="b">
        <f>NOT(X49)</f>
        <v>0</v>
      </c>
      <c r="Y50" s="21" t="b">
        <f t="shared" ref="Y50:AA50" si="280">NOT(Y49)</f>
        <v>0</v>
      </c>
      <c r="Z50" s="21" t="b">
        <f t="shared" si="280"/>
        <v>0</v>
      </c>
      <c r="AA50" s="21" t="b">
        <f t="shared" si="280"/>
        <v>0</v>
      </c>
      <c r="AB50" s="21" t="b">
        <f>NOT(AB49)</f>
        <v>0</v>
      </c>
      <c r="AC50" s="21" t="b">
        <f t="shared" ref="AC50:AI50" si="281">NOT(AC49)</f>
        <v>0</v>
      </c>
      <c r="AD50" s="21" t="b">
        <f t="shared" si="281"/>
        <v>0</v>
      </c>
      <c r="AE50" s="21" t="b">
        <f t="shared" si="281"/>
        <v>0</v>
      </c>
      <c r="AF50" s="21" t="b">
        <f t="shared" si="281"/>
        <v>0</v>
      </c>
      <c r="AG50" s="21" t="b">
        <f t="shared" si="281"/>
        <v>0</v>
      </c>
      <c r="AH50" s="21" t="b">
        <f t="shared" si="281"/>
        <v>0</v>
      </c>
      <c r="AI50" s="21" t="b">
        <f t="shared" si="281"/>
        <v>0</v>
      </c>
      <c r="AJ50" s="21" t="b">
        <f>NOT(AJ49)</f>
        <v>0</v>
      </c>
      <c r="AK50" s="21" t="b">
        <f t="shared" ref="AK50:AM50" si="282">NOT(AK49)</f>
        <v>0</v>
      </c>
      <c r="AL50" s="21" t="b">
        <f t="shared" si="282"/>
        <v>0</v>
      </c>
      <c r="AM50" s="21" t="b">
        <f t="shared" si="282"/>
        <v>0</v>
      </c>
      <c r="AN50" s="21" t="b">
        <f>NOT(AN49)</f>
        <v>0</v>
      </c>
      <c r="AO50" s="21" t="b">
        <f t="shared" ref="AO50:AU50" si="283">NOT(AO49)</f>
        <v>0</v>
      </c>
      <c r="AP50" s="21" t="b">
        <f t="shared" si="283"/>
        <v>0</v>
      </c>
      <c r="AQ50" s="21" t="b">
        <f t="shared" si="283"/>
        <v>0</v>
      </c>
      <c r="AR50" s="21" t="b">
        <f t="shared" si="283"/>
        <v>0</v>
      </c>
      <c r="AS50" s="21" t="b">
        <f t="shared" si="283"/>
        <v>0</v>
      </c>
      <c r="AT50" s="21" t="b">
        <f t="shared" si="283"/>
        <v>0</v>
      </c>
      <c r="AU50" s="21" t="b">
        <f t="shared" si="283"/>
        <v>0</v>
      </c>
      <c r="AV50" s="21" t="b">
        <f>NOT(AV49)</f>
        <v>0</v>
      </c>
      <c r="AW50" s="21" t="b">
        <f t="shared" ref="AW50:AY50" si="284">NOT(AW49)</f>
        <v>0</v>
      </c>
      <c r="AX50" s="21" t="b">
        <f t="shared" si="284"/>
        <v>0</v>
      </c>
      <c r="AY50" s="21" t="b">
        <f t="shared" si="284"/>
        <v>0</v>
      </c>
      <c r="AZ50" s="21" t="b">
        <f>NOT(AZ49)</f>
        <v>0</v>
      </c>
      <c r="BA50" s="21" t="b">
        <f t="shared" ref="BA50:BG50" si="285">NOT(BA49)</f>
        <v>0</v>
      </c>
      <c r="BB50" s="21" t="b">
        <f t="shared" si="285"/>
        <v>0</v>
      </c>
      <c r="BC50" s="21" t="b">
        <f t="shared" si="285"/>
        <v>0</v>
      </c>
      <c r="BD50" s="21" t="b">
        <f t="shared" si="285"/>
        <v>0</v>
      </c>
      <c r="BE50" s="21" t="b">
        <f t="shared" si="285"/>
        <v>0</v>
      </c>
      <c r="BF50" s="21" t="b">
        <f t="shared" si="285"/>
        <v>0</v>
      </c>
      <c r="BG50" s="21" t="b">
        <f t="shared" si="285"/>
        <v>0</v>
      </c>
      <c r="BH50" s="21" t="b">
        <f>NOT(BH49)</f>
        <v>0</v>
      </c>
      <c r="BI50" s="21" t="b">
        <f t="shared" ref="BI50:BK50" si="286">NOT(BI49)</f>
        <v>0</v>
      </c>
      <c r="BJ50" s="21" t="b">
        <f t="shared" si="286"/>
        <v>0</v>
      </c>
      <c r="BK50" s="21" t="b">
        <f t="shared" si="286"/>
        <v>0</v>
      </c>
      <c r="BL50" s="21" t="b">
        <f>NOT(BL49)</f>
        <v>0</v>
      </c>
      <c r="BM50" s="21" t="b">
        <f t="shared" ref="BM50" si="287">NOT(BM49)</f>
        <v>0</v>
      </c>
      <c r="BN50" s="21" t="b">
        <f t="shared" si="278"/>
        <v>0</v>
      </c>
      <c r="BO50" s="21" t="b">
        <f t="shared" si="278"/>
        <v>0</v>
      </c>
      <c r="BP50" s="21" t="b">
        <f t="shared" si="278"/>
        <v>0</v>
      </c>
      <c r="BQ50" s="21" t="b">
        <f t="shared" si="278"/>
        <v>0</v>
      </c>
      <c r="BR50" s="21" t="b">
        <f t="shared" si="278"/>
        <v>0</v>
      </c>
      <c r="BS50" s="21" t="b">
        <f t="shared" si="278"/>
        <v>0</v>
      </c>
      <c r="BT50" s="21" t="b">
        <f t="shared" si="278"/>
        <v>0</v>
      </c>
      <c r="BU50" s="21" t="b">
        <f t="shared" si="278"/>
        <v>0</v>
      </c>
      <c r="BV50" s="21" t="b">
        <f t="shared" si="278"/>
        <v>0</v>
      </c>
      <c r="BW50" s="40" t="b">
        <f t="shared" si="278"/>
        <v>0</v>
      </c>
      <c r="BX50" s="21" t="b">
        <f t="shared" si="278"/>
        <v>0</v>
      </c>
      <c r="BY50" s="21" t="b">
        <f t="shared" si="278"/>
        <v>0</v>
      </c>
      <c r="BZ50" s="21" t="b">
        <f t="shared" si="278"/>
        <v>0</v>
      </c>
      <c r="CA50" s="21" t="b">
        <f t="shared" si="278"/>
        <v>0</v>
      </c>
      <c r="CB50" s="21" t="b">
        <f t="shared" si="278"/>
        <v>0</v>
      </c>
      <c r="CC50" s="21" t="b">
        <f t="shared" si="278"/>
        <v>1</v>
      </c>
      <c r="CD50" s="21" t="b">
        <f t="shared" si="278"/>
        <v>1</v>
      </c>
      <c r="CE50" s="21" t="b">
        <f t="shared" si="278"/>
        <v>0</v>
      </c>
      <c r="CF50" s="62" t="b">
        <f t="shared" si="278"/>
        <v>0</v>
      </c>
      <c r="CG50" s="62" t="b">
        <f t="shared" si="278"/>
        <v>0</v>
      </c>
      <c r="CH50" s="62" t="b">
        <f t="shared" si="278"/>
        <v>0</v>
      </c>
      <c r="CI50" s="62" t="b">
        <f t="shared" si="278"/>
        <v>0</v>
      </c>
      <c r="CJ50" s="62" t="b">
        <f t="shared" si="278"/>
        <v>0</v>
      </c>
      <c r="CK50" s="62" t="b">
        <f t="shared" si="278"/>
        <v>0</v>
      </c>
      <c r="CL50" s="62" t="b">
        <f t="shared" si="278"/>
        <v>0</v>
      </c>
      <c r="CM50" s="62" t="b">
        <f t="shared" si="278"/>
        <v>0</v>
      </c>
      <c r="CN50" s="62" t="b">
        <f t="shared" si="278"/>
        <v>0</v>
      </c>
      <c r="CO50" s="62" t="b">
        <f t="shared" si="278"/>
        <v>0</v>
      </c>
      <c r="CP50" s="62" t="b">
        <f t="shared" si="278"/>
        <v>0</v>
      </c>
      <c r="CQ50" s="62" t="b">
        <f t="shared" si="278"/>
        <v>1</v>
      </c>
      <c r="CR50" s="62" t="b">
        <f t="shared" si="278"/>
        <v>1</v>
      </c>
      <c r="CS50" s="62" t="b">
        <f t="shared" si="278"/>
        <v>0</v>
      </c>
      <c r="CT50" s="62" t="b">
        <f t="shared" si="278"/>
        <v>0</v>
      </c>
      <c r="CU50" s="62" t="b">
        <f t="shared" si="278"/>
        <v>0</v>
      </c>
      <c r="CV50" s="62" t="b">
        <f t="shared" si="278"/>
        <v>0</v>
      </c>
      <c r="CW50" s="62" t="b">
        <f t="shared" si="278"/>
        <v>0</v>
      </c>
      <c r="CX50" s="62" t="b">
        <f t="shared" si="278"/>
        <v>0</v>
      </c>
      <c r="CY50" s="62" t="b">
        <f t="shared" si="278"/>
        <v>0</v>
      </c>
      <c r="CZ50" s="62" t="b">
        <f t="shared" si="278"/>
        <v>0</v>
      </c>
      <c r="DA50" s="62" t="b">
        <f t="shared" si="278"/>
        <v>0</v>
      </c>
      <c r="DB50" s="62" t="b">
        <f t="shared" si="278"/>
        <v>0</v>
      </c>
      <c r="DC50" s="62" t="b">
        <f t="shared" si="278"/>
        <v>0</v>
      </c>
      <c r="DD50" s="62" t="b">
        <f t="shared" si="278"/>
        <v>0</v>
      </c>
      <c r="DE50" s="62" t="b">
        <f t="shared" si="278"/>
        <v>0</v>
      </c>
      <c r="DF50" s="62" t="b">
        <f t="shared" si="278"/>
        <v>0</v>
      </c>
      <c r="DG50" s="62" t="b">
        <f t="shared" si="278"/>
        <v>0</v>
      </c>
      <c r="DH50" s="62" t="b">
        <f t="shared" ref="DH50:FS50" si="288">NOT(DH49)</f>
        <v>0</v>
      </c>
      <c r="DI50" s="62" t="b">
        <f t="shared" si="288"/>
        <v>0</v>
      </c>
      <c r="DJ50" s="62" t="b">
        <f t="shared" si="288"/>
        <v>0</v>
      </c>
      <c r="DK50" s="62" t="b">
        <f t="shared" si="288"/>
        <v>0</v>
      </c>
      <c r="DL50" s="62" t="b">
        <f t="shared" si="288"/>
        <v>0</v>
      </c>
      <c r="DM50" s="62" t="b">
        <f t="shared" si="288"/>
        <v>0</v>
      </c>
      <c r="DN50" s="62" t="b">
        <f t="shared" si="288"/>
        <v>0</v>
      </c>
      <c r="DO50" s="62" t="b">
        <f t="shared" si="288"/>
        <v>0</v>
      </c>
      <c r="DP50" s="62" t="b">
        <f t="shared" si="288"/>
        <v>0</v>
      </c>
      <c r="DQ50" s="62" t="b">
        <f t="shared" si="288"/>
        <v>0</v>
      </c>
      <c r="DR50" s="62" t="b">
        <f t="shared" si="288"/>
        <v>0</v>
      </c>
      <c r="DS50" s="62" t="b">
        <f t="shared" si="288"/>
        <v>0</v>
      </c>
      <c r="DT50" s="62" t="b">
        <f t="shared" si="288"/>
        <v>0</v>
      </c>
      <c r="DU50" s="62" t="b">
        <f t="shared" si="288"/>
        <v>0</v>
      </c>
      <c r="DV50" s="62" t="b">
        <f t="shared" si="288"/>
        <v>0</v>
      </c>
      <c r="DW50" s="62" t="b">
        <f t="shared" si="288"/>
        <v>0</v>
      </c>
      <c r="DX50" s="62" t="b">
        <f t="shared" si="288"/>
        <v>0</v>
      </c>
      <c r="DY50" s="62" t="b">
        <f t="shared" si="288"/>
        <v>0</v>
      </c>
      <c r="DZ50" s="62" t="b">
        <f t="shared" si="288"/>
        <v>0</v>
      </c>
      <c r="EA50" s="62" t="b">
        <f t="shared" si="288"/>
        <v>0</v>
      </c>
      <c r="EB50" s="62" t="b">
        <f t="shared" si="288"/>
        <v>0</v>
      </c>
      <c r="EC50" s="62" t="b">
        <f t="shared" si="288"/>
        <v>0</v>
      </c>
      <c r="ED50" s="62" t="b">
        <f t="shared" si="288"/>
        <v>0</v>
      </c>
      <c r="EE50" s="62" t="b">
        <f t="shared" si="288"/>
        <v>0</v>
      </c>
      <c r="EF50" s="62" t="b">
        <f t="shared" si="288"/>
        <v>0</v>
      </c>
      <c r="EG50" s="62" t="b">
        <f t="shared" si="288"/>
        <v>0</v>
      </c>
      <c r="EH50" s="62" t="b">
        <f t="shared" si="288"/>
        <v>0</v>
      </c>
      <c r="EI50" s="62" t="b">
        <f t="shared" si="288"/>
        <v>0</v>
      </c>
      <c r="EJ50" s="62" t="b">
        <f t="shared" si="288"/>
        <v>0</v>
      </c>
      <c r="EK50" s="62" t="b">
        <f t="shared" si="288"/>
        <v>0</v>
      </c>
      <c r="EL50" s="62" t="b">
        <f t="shared" si="288"/>
        <v>0</v>
      </c>
      <c r="EM50" s="62" t="b">
        <f t="shared" si="288"/>
        <v>0</v>
      </c>
      <c r="EN50" s="62" t="b">
        <f t="shared" si="288"/>
        <v>0</v>
      </c>
      <c r="EO50" s="62" t="b">
        <f t="shared" si="288"/>
        <v>0</v>
      </c>
      <c r="EP50" s="62" t="b">
        <f t="shared" si="288"/>
        <v>0</v>
      </c>
      <c r="EQ50" s="62" t="b">
        <f t="shared" si="288"/>
        <v>0</v>
      </c>
      <c r="ER50" s="62" t="b">
        <f t="shared" si="288"/>
        <v>0</v>
      </c>
      <c r="ES50" s="62" t="b">
        <f t="shared" si="288"/>
        <v>0</v>
      </c>
      <c r="ET50" s="62" t="b">
        <f t="shared" si="288"/>
        <v>0</v>
      </c>
      <c r="EU50" s="62" t="b">
        <f t="shared" si="288"/>
        <v>0</v>
      </c>
      <c r="EV50" s="62" t="b">
        <f t="shared" si="288"/>
        <v>0</v>
      </c>
      <c r="EW50" s="62" t="b">
        <f t="shared" si="288"/>
        <v>0</v>
      </c>
      <c r="EX50" s="62" t="b">
        <f t="shared" si="288"/>
        <v>0</v>
      </c>
      <c r="EY50" s="62" t="b">
        <f t="shared" si="288"/>
        <v>0</v>
      </c>
      <c r="EZ50" s="62" t="b">
        <f t="shared" si="288"/>
        <v>0</v>
      </c>
      <c r="FA50" s="62" t="b">
        <f t="shared" si="288"/>
        <v>0</v>
      </c>
      <c r="FB50" s="62" t="b">
        <f t="shared" si="288"/>
        <v>0</v>
      </c>
      <c r="FC50" s="62" t="b">
        <f t="shared" si="288"/>
        <v>0</v>
      </c>
      <c r="FD50" s="62" t="b">
        <f t="shared" si="288"/>
        <v>0</v>
      </c>
      <c r="FE50" s="62" t="b">
        <f t="shared" si="288"/>
        <v>0</v>
      </c>
      <c r="FF50" s="62" t="b">
        <f t="shared" si="288"/>
        <v>0</v>
      </c>
      <c r="FG50" s="62" t="b">
        <f t="shared" si="288"/>
        <v>0</v>
      </c>
      <c r="FH50" s="62" t="b">
        <f t="shared" si="288"/>
        <v>0</v>
      </c>
      <c r="FI50" s="62" t="b">
        <f t="shared" si="288"/>
        <v>0</v>
      </c>
      <c r="FJ50" s="62" t="b">
        <f t="shared" si="288"/>
        <v>0</v>
      </c>
      <c r="FK50" s="62" t="b">
        <f t="shared" si="288"/>
        <v>0</v>
      </c>
      <c r="FL50" s="62" t="b">
        <f t="shared" si="288"/>
        <v>0</v>
      </c>
      <c r="FM50" s="62" t="b">
        <f t="shared" si="288"/>
        <v>0</v>
      </c>
      <c r="FN50" s="62" t="b">
        <f t="shared" si="288"/>
        <v>0</v>
      </c>
      <c r="FO50" s="62" t="b">
        <f t="shared" si="288"/>
        <v>0</v>
      </c>
      <c r="FP50" s="21" t="b">
        <f t="shared" si="288"/>
        <v>0</v>
      </c>
      <c r="FQ50" s="21" t="b">
        <f t="shared" si="288"/>
        <v>0</v>
      </c>
      <c r="FR50" s="21" t="b">
        <f t="shared" si="288"/>
        <v>0</v>
      </c>
      <c r="FS50" s="21" t="b">
        <f t="shared" si="288"/>
        <v>0</v>
      </c>
      <c r="FT50" s="21" t="b">
        <f t="shared" ref="FT50:IE50" si="289">NOT(FT49)</f>
        <v>0</v>
      </c>
      <c r="FU50" s="21" t="b">
        <f t="shared" si="289"/>
        <v>0</v>
      </c>
      <c r="FV50" s="21" t="b">
        <f t="shared" si="289"/>
        <v>0</v>
      </c>
      <c r="FW50" s="21" t="b">
        <f t="shared" si="289"/>
        <v>0</v>
      </c>
      <c r="FX50" s="21" t="b">
        <f t="shared" si="289"/>
        <v>0</v>
      </c>
      <c r="FY50" s="21" t="b">
        <f t="shared" si="289"/>
        <v>0</v>
      </c>
      <c r="FZ50" s="21" t="b">
        <f t="shared" si="289"/>
        <v>0</v>
      </c>
      <c r="GA50" s="21" t="b">
        <f t="shared" si="289"/>
        <v>0</v>
      </c>
      <c r="GB50" s="21" t="b">
        <f t="shared" si="289"/>
        <v>0</v>
      </c>
      <c r="GC50" s="21" t="b">
        <f t="shared" si="289"/>
        <v>0</v>
      </c>
      <c r="GD50" s="21" t="b">
        <f t="shared" si="289"/>
        <v>0</v>
      </c>
      <c r="GE50" s="21" t="b">
        <f t="shared" si="289"/>
        <v>0</v>
      </c>
      <c r="GF50" s="21" t="b">
        <f t="shared" si="289"/>
        <v>0</v>
      </c>
      <c r="GG50" s="21" t="b">
        <f t="shared" si="289"/>
        <v>0</v>
      </c>
      <c r="GH50" s="21" t="b">
        <f t="shared" si="289"/>
        <v>0</v>
      </c>
      <c r="GI50" s="21" t="b">
        <f t="shared" si="289"/>
        <v>0</v>
      </c>
      <c r="GJ50" s="21" t="b">
        <f t="shared" si="289"/>
        <v>0</v>
      </c>
      <c r="GK50" s="21" t="b">
        <f t="shared" si="289"/>
        <v>0</v>
      </c>
      <c r="GL50" s="21" t="b">
        <f t="shared" si="289"/>
        <v>0</v>
      </c>
      <c r="GM50" s="21" t="b">
        <f t="shared" si="289"/>
        <v>0</v>
      </c>
      <c r="GN50" s="21" t="b">
        <f t="shared" si="289"/>
        <v>0</v>
      </c>
      <c r="GO50" s="21" t="b">
        <f t="shared" si="289"/>
        <v>0</v>
      </c>
      <c r="GP50" s="21" t="b">
        <f t="shared" si="289"/>
        <v>0</v>
      </c>
      <c r="GQ50" s="21" t="b">
        <f t="shared" si="289"/>
        <v>0</v>
      </c>
      <c r="GR50" s="21" t="b">
        <f t="shared" si="289"/>
        <v>0</v>
      </c>
      <c r="GS50" s="21" t="b">
        <f t="shared" si="289"/>
        <v>0</v>
      </c>
      <c r="GT50" s="21" t="b">
        <f t="shared" si="289"/>
        <v>0</v>
      </c>
      <c r="GU50" s="21" t="b">
        <f t="shared" si="289"/>
        <v>0</v>
      </c>
      <c r="GV50" s="21" t="b">
        <f t="shared" si="289"/>
        <v>0</v>
      </c>
      <c r="GW50" s="21" t="b">
        <f t="shared" si="289"/>
        <v>0</v>
      </c>
      <c r="GX50" s="21" t="b">
        <f t="shared" si="289"/>
        <v>0</v>
      </c>
      <c r="GY50" s="21" t="b">
        <f t="shared" si="289"/>
        <v>0</v>
      </c>
      <c r="GZ50" s="21" t="b">
        <f t="shared" si="289"/>
        <v>0</v>
      </c>
      <c r="HA50" s="21" t="b">
        <f t="shared" si="289"/>
        <v>0</v>
      </c>
      <c r="HB50" s="21" t="b">
        <f t="shared" si="289"/>
        <v>0</v>
      </c>
      <c r="HC50" s="21" t="b">
        <f t="shared" si="289"/>
        <v>0</v>
      </c>
      <c r="HD50" s="21" t="b">
        <f t="shared" si="289"/>
        <v>0</v>
      </c>
      <c r="HE50" s="21" t="b">
        <f t="shared" si="289"/>
        <v>0</v>
      </c>
      <c r="HF50" s="21" t="b">
        <f t="shared" si="289"/>
        <v>0</v>
      </c>
      <c r="HG50" s="21" t="b">
        <f t="shared" si="289"/>
        <v>0</v>
      </c>
      <c r="HH50" s="21" t="b">
        <f t="shared" si="289"/>
        <v>0</v>
      </c>
      <c r="HI50" s="21" t="b">
        <f t="shared" si="289"/>
        <v>0</v>
      </c>
      <c r="HJ50" s="21" t="b">
        <f t="shared" si="289"/>
        <v>0</v>
      </c>
      <c r="HK50" s="21" t="b">
        <f t="shared" si="289"/>
        <v>0</v>
      </c>
      <c r="HL50" s="21" t="b">
        <f t="shared" si="289"/>
        <v>0</v>
      </c>
      <c r="HM50" s="21" t="b">
        <f t="shared" si="289"/>
        <v>0</v>
      </c>
      <c r="HN50" s="21" t="b">
        <f t="shared" si="289"/>
        <v>0</v>
      </c>
      <c r="HO50" s="21" t="b">
        <f t="shared" si="289"/>
        <v>0</v>
      </c>
      <c r="HP50" s="21" t="b">
        <f t="shared" si="289"/>
        <v>0</v>
      </c>
      <c r="HQ50" s="21" t="b">
        <f t="shared" si="289"/>
        <v>0</v>
      </c>
      <c r="HR50" s="21" t="b">
        <f t="shared" si="289"/>
        <v>0</v>
      </c>
      <c r="HS50" s="21" t="b">
        <f t="shared" si="289"/>
        <v>0</v>
      </c>
      <c r="HT50" s="21" t="b">
        <f t="shared" si="289"/>
        <v>0</v>
      </c>
      <c r="HU50" s="21" t="b">
        <f t="shared" si="289"/>
        <v>0</v>
      </c>
      <c r="HV50" s="21" t="b">
        <f t="shared" si="289"/>
        <v>0</v>
      </c>
      <c r="HW50" s="21" t="b">
        <f t="shared" si="289"/>
        <v>0</v>
      </c>
      <c r="HX50" s="21" t="b">
        <f t="shared" si="289"/>
        <v>0</v>
      </c>
      <c r="HY50" s="21" t="b">
        <f t="shared" si="289"/>
        <v>0</v>
      </c>
      <c r="HZ50" s="21" t="b">
        <f t="shared" si="289"/>
        <v>0</v>
      </c>
      <c r="IA50" s="21" t="b">
        <f t="shared" si="289"/>
        <v>0</v>
      </c>
      <c r="IB50" s="21" t="b">
        <f t="shared" si="289"/>
        <v>0</v>
      </c>
      <c r="IC50" s="21" t="b">
        <f t="shared" si="289"/>
        <v>0</v>
      </c>
      <c r="ID50" s="21" t="b">
        <f t="shared" si="289"/>
        <v>0</v>
      </c>
      <c r="IE50" s="21" t="b">
        <f t="shared" si="289"/>
        <v>0</v>
      </c>
      <c r="IF50" s="21" t="b">
        <f t="shared" ref="IF50:KG50" si="290">NOT(IF49)</f>
        <v>0</v>
      </c>
      <c r="IG50" s="21" t="b">
        <f t="shared" si="290"/>
        <v>0</v>
      </c>
      <c r="IH50" s="21" t="b">
        <f t="shared" si="290"/>
        <v>0</v>
      </c>
      <c r="II50" s="21" t="b">
        <f t="shared" si="290"/>
        <v>0</v>
      </c>
      <c r="IJ50" s="21" t="b">
        <f t="shared" si="290"/>
        <v>0</v>
      </c>
      <c r="IK50" s="21" t="b">
        <f t="shared" si="290"/>
        <v>0</v>
      </c>
      <c r="IL50" s="21" t="b">
        <f t="shared" si="290"/>
        <v>0</v>
      </c>
      <c r="IM50" s="40" t="b">
        <f t="shared" si="290"/>
        <v>0</v>
      </c>
      <c r="IN50" s="40" t="b">
        <f t="shared" si="290"/>
        <v>0</v>
      </c>
      <c r="IO50" s="40" t="b">
        <f t="shared" si="290"/>
        <v>0</v>
      </c>
      <c r="IP50" s="21" t="b">
        <f t="shared" si="290"/>
        <v>0</v>
      </c>
      <c r="IQ50" s="21" t="b">
        <f t="shared" ref="IQ50:IW50" si="291">NOT(IQ49)</f>
        <v>0</v>
      </c>
      <c r="IR50" s="21" t="b">
        <f t="shared" si="291"/>
        <v>0</v>
      </c>
      <c r="IS50" s="21" t="b">
        <f t="shared" si="291"/>
        <v>0</v>
      </c>
      <c r="IT50" s="21" t="b">
        <f t="shared" si="291"/>
        <v>0</v>
      </c>
      <c r="IU50" s="21" t="b">
        <f t="shared" si="291"/>
        <v>0</v>
      </c>
      <c r="IV50" s="21" t="b">
        <f t="shared" si="291"/>
        <v>0</v>
      </c>
      <c r="IW50" s="21" t="b">
        <f t="shared" si="291"/>
        <v>0</v>
      </c>
      <c r="IX50" s="21" t="b">
        <f t="shared" si="290"/>
        <v>0</v>
      </c>
      <c r="IY50" s="21" t="b">
        <f t="shared" si="290"/>
        <v>0</v>
      </c>
      <c r="IZ50" s="21" t="b">
        <f t="shared" si="290"/>
        <v>0</v>
      </c>
      <c r="JA50" s="21" t="b">
        <f t="shared" si="290"/>
        <v>0</v>
      </c>
      <c r="JB50" s="21" t="b">
        <f t="shared" si="290"/>
        <v>0</v>
      </c>
      <c r="JC50" s="21" t="b">
        <f t="shared" si="290"/>
        <v>0</v>
      </c>
      <c r="JD50" s="21" t="b">
        <f t="shared" si="290"/>
        <v>0</v>
      </c>
      <c r="JE50" s="21" t="b">
        <f t="shared" si="290"/>
        <v>0</v>
      </c>
      <c r="JF50" s="21" t="b">
        <f t="shared" si="290"/>
        <v>0</v>
      </c>
      <c r="JG50" s="21" t="b">
        <f t="shared" si="290"/>
        <v>0</v>
      </c>
      <c r="JH50" s="21" t="b">
        <f t="shared" si="290"/>
        <v>0</v>
      </c>
      <c r="JI50" s="21" t="b">
        <f t="shared" si="290"/>
        <v>0</v>
      </c>
      <c r="JJ50" s="21" t="b">
        <f t="shared" si="290"/>
        <v>0</v>
      </c>
      <c r="JK50" s="21" t="b">
        <f t="shared" si="290"/>
        <v>0</v>
      </c>
      <c r="JL50" s="21" t="b">
        <f t="shared" si="290"/>
        <v>0</v>
      </c>
      <c r="JM50" s="21" t="b">
        <f t="shared" si="290"/>
        <v>0</v>
      </c>
      <c r="JN50" s="21" t="b">
        <f t="shared" si="290"/>
        <v>0</v>
      </c>
      <c r="JO50" s="21" t="b">
        <f t="shared" si="290"/>
        <v>0</v>
      </c>
      <c r="JP50" s="21" t="b">
        <f t="shared" si="290"/>
        <v>0</v>
      </c>
      <c r="JQ50" s="21" t="b">
        <f t="shared" si="290"/>
        <v>0</v>
      </c>
      <c r="JR50" s="21" t="b">
        <f t="shared" si="290"/>
        <v>0</v>
      </c>
      <c r="JS50" s="21" t="b">
        <f t="shared" si="290"/>
        <v>0</v>
      </c>
      <c r="JT50" s="21" t="b">
        <f t="shared" si="290"/>
        <v>0</v>
      </c>
      <c r="JU50" s="21" t="b">
        <f t="shared" si="290"/>
        <v>0</v>
      </c>
      <c r="JV50" s="21" t="b">
        <f t="shared" si="290"/>
        <v>0</v>
      </c>
      <c r="JW50" s="21" t="b">
        <f t="shared" si="290"/>
        <v>0</v>
      </c>
      <c r="JX50" s="21" t="b">
        <f t="shared" si="290"/>
        <v>0</v>
      </c>
      <c r="JY50" s="21" t="b">
        <f t="shared" si="290"/>
        <v>0</v>
      </c>
      <c r="JZ50" s="21" t="b">
        <f t="shared" si="290"/>
        <v>0</v>
      </c>
      <c r="KA50" s="21" t="b">
        <f t="shared" si="290"/>
        <v>0</v>
      </c>
      <c r="KB50" s="21" t="b">
        <f t="shared" si="290"/>
        <v>0</v>
      </c>
      <c r="KC50" s="21" t="b">
        <f t="shared" si="290"/>
        <v>0</v>
      </c>
      <c r="KD50" s="21" t="b">
        <f t="shared" si="290"/>
        <v>0</v>
      </c>
      <c r="KE50" s="21" t="b">
        <f t="shared" si="290"/>
        <v>0</v>
      </c>
      <c r="KF50" s="21" t="b">
        <f t="shared" si="290"/>
        <v>0</v>
      </c>
      <c r="KG50" s="21" t="b">
        <f t="shared" si="290"/>
        <v>0</v>
      </c>
      <c r="KH50" s="21" t="b">
        <f t="shared" ref="KH50:ML50" si="292">NOT(KH49)</f>
        <v>0</v>
      </c>
      <c r="KI50" s="21" t="b">
        <f t="shared" si="292"/>
        <v>0</v>
      </c>
      <c r="KJ50" s="21" t="b">
        <f t="shared" si="292"/>
        <v>0</v>
      </c>
      <c r="KK50" s="21" t="b">
        <f t="shared" si="292"/>
        <v>0</v>
      </c>
      <c r="KL50" s="21" t="b">
        <f t="shared" si="292"/>
        <v>0</v>
      </c>
      <c r="KM50" s="21" t="b">
        <f t="shared" si="292"/>
        <v>0</v>
      </c>
      <c r="KN50" s="21" t="b">
        <f t="shared" si="292"/>
        <v>0</v>
      </c>
      <c r="KO50" s="21" t="b">
        <f t="shared" si="292"/>
        <v>0</v>
      </c>
      <c r="KP50" s="21" t="b">
        <f t="shared" si="292"/>
        <v>0</v>
      </c>
      <c r="KQ50" s="21" t="b">
        <f t="shared" si="292"/>
        <v>0</v>
      </c>
      <c r="KR50" s="21" t="b">
        <f t="shared" si="292"/>
        <v>0</v>
      </c>
      <c r="KS50" s="21" t="b">
        <f t="shared" si="292"/>
        <v>0</v>
      </c>
      <c r="KT50" s="21" t="b">
        <f t="shared" si="292"/>
        <v>0</v>
      </c>
      <c r="KU50" s="21" t="b">
        <f t="shared" si="292"/>
        <v>0</v>
      </c>
      <c r="KV50" s="21" t="b">
        <f t="shared" si="292"/>
        <v>0</v>
      </c>
      <c r="KW50" s="21" t="b">
        <f t="shared" si="292"/>
        <v>0</v>
      </c>
      <c r="KX50" s="21" t="b">
        <f t="shared" si="292"/>
        <v>0</v>
      </c>
      <c r="KY50" s="21" t="b">
        <f t="shared" si="292"/>
        <v>0</v>
      </c>
      <c r="KZ50" s="21" t="b">
        <f t="shared" si="292"/>
        <v>0</v>
      </c>
      <c r="LA50" s="21" t="b">
        <f t="shared" si="292"/>
        <v>0</v>
      </c>
      <c r="LB50" s="21" t="b">
        <f t="shared" si="292"/>
        <v>0</v>
      </c>
      <c r="LC50" s="21" t="b">
        <f t="shared" si="292"/>
        <v>0</v>
      </c>
      <c r="LD50" s="21" t="b">
        <f t="shared" si="292"/>
        <v>0</v>
      </c>
      <c r="LE50" s="21" t="b">
        <f t="shared" si="292"/>
        <v>0</v>
      </c>
      <c r="LF50" s="21" t="b">
        <f t="shared" si="292"/>
        <v>0</v>
      </c>
      <c r="LG50" s="21" t="b">
        <f t="shared" si="292"/>
        <v>0</v>
      </c>
      <c r="LH50" s="21" t="b">
        <f t="shared" si="292"/>
        <v>0</v>
      </c>
      <c r="LI50" s="21" t="b">
        <f t="shared" si="292"/>
        <v>0</v>
      </c>
      <c r="LJ50" s="21" t="b">
        <f t="shared" si="292"/>
        <v>0</v>
      </c>
      <c r="LK50" s="21" t="b">
        <f t="shared" si="292"/>
        <v>0</v>
      </c>
      <c r="LL50" s="21" t="b">
        <f t="shared" si="292"/>
        <v>0</v>
      </c>
      <c r="LM50" s="21" t="b">
        <f t="shared" si="292"/>
        <v>0</v>
      </c>
      <c r="LN50" s="21" t="b">
        <f t="shared" si="292"/>
        <v>0</v>
      </c>
      <c r="LO50" s="21" t="b">
        <f t="shared" si="292"/>
        <v>0</v>
      </c>
      <c r="LP50" s="21" t="b">
        <f t="shared" si="292"/>
        <v>0</v>
      </c>
      <c r="LQ50" s="21" t="b">
        <f t="shared" si="292"/>
        <v>0</v>
      </c>
      <c r="LR50" s="21" t="b">
        <f t="shared" si="292"/>
        <v>0</v>
      </c>
      <c r="LS50" s="21" t="b">
        <f t="shared" si="292"/>
        <v>0</v>
      </c>
      <c r="LT50" s="21" t="b">
        <f t="shared" si="292"/>
        <v>0</v>
      </c>
      <c r="LU50" s="21" t="b">
        <f t="shared" si="292"/>
        <v>0</v>
      </c>
      <c r="LV50" s="21" t="b">
        <f t="shared" si="292"/>
        <v>0</v>
      </c>
      <c r="LW50" s="21" t="b">
        <f t="shared" si="292"/>
        <v>0</v>
      </c>
      <c r="LX50" s="21" t="b">
        <f t="shared" si="292"/>
        <v>0</v>
      </c>
      <c r="LY50" s="21" t="b">
        <f t="shared" si="292"/>
        <v>0</v>
      </c>
      <c r="LZ50" s="21" t="b">
        <f t="shared" si="292"/>
        <v>0</v>
      </c>
      <c r="MA50" s="21" t="b">
        <f t="shared" si="292"/>
        <v>0</v>
      </c>
      <c r="MB50" s="21" t="b">
        <f t="shared" si="292"/>
        <v>0</v>
      </c>
      <c r="MC50" s="1" t="b">
        <f t="shared" si="292"/>
        <v>0</v>
      </c>
      <c r="MD50" s="1" t="b">
        <f t="shared" si="292"/>
        <v>0</v>
      </c>
      <c r="ME50" s="1" t="b">
        <f t="shared" si="292"/>
        <v>0</v>
      </c>
      <c r="MF50" s="1" t="b">
        <f t="shared" si="292"/>
        <v>0</v>
      </c>
      <c r="MG50" s="1" t="b">
        <f t="shared" si="292"/>
        <v>0</v>
      </c>
      <c r="MH50" s="1" t="b">
        <f t="shared" si="292"/>
        <v>0</v>
      </c>
      <c r="MI50" s="1" t="b">
        <f t="shared" si="292"/>
        <v>0</v>
      </c>
      <c r="MJ50" s="1" t="b">
        <f t="shared" si="292"/>
        <v>0</v>
      </c>
      <c r="MK50" s="1" t="b">
        <f t="shared" si="292"/>
        <v>0</v>
      </c>
      <c r="ML50" s="1" t="b">
        <f t="shared" si="292"/>
        <v>0</v>
      </c>
      <c r="MM50" s="1"/>
      <c r="MN50" s="1"/>
    </row>
    <row r="52" spans="2:352" ht="23.25" customHeight="1" x14ac:dyDescent="0.25">
      <c r="C52" s="21"/>
      <c r="D52" s="21" t="b">
        <f t="shared" ref="D52:DG52" si="293">OR(D50,D48)</f>
        <v>0</v>
      </c>
      <c r="E52" s="21" t="b">
        <f t="shared" si="293"/>
        <v>0</v>
      </c>
      <c r="F52" s="21" t="b">
        <f t="shared" si="293"/>
        <v>0</v>
      </c>
      <c r="G52" s="21" t="b">
        <f t="shared" si="293"/>
        <v>0</v>
      </c>
      <c r="H52" s="21" t="b">
        <f t="shared" si="293"/>
        <v>0</v>
      </c>
      <c r="I52" s="21" t="b">
        <f t="shared" si="293"/>
        <v>0</v>
      </c>
      <c r="J52" s="21" t="b">
        <f t="shared" si="293"/>
        <v>0</v>
      </c>
      <c r="K52" s="21" t="b">
        <f t="shared" si="293"/>
        <v>0</v>
      </c>
      <c r="L52" s="21" t="b">
        <f>OR(L50,L48)</f>
        <v>1</v>
      </c>
      <c r="M52" s="21" t="b">
        <f t="shared" si="293"/>
        <v>1</v>
      </c>
      <c r="N52" s="21" t="b">
        <f t="shared" si="293"/>
        <v>1</v>
      </c>
      <c r="O52" s="21" t="b">
        <f t="shared" si="293"/>
        <v>0</v>
      </c>
      <c r="P52" s="21" t="b">
        <f>OR(P50,P48)</f>
        <v>0</v>
      </c>
      <c r="Q52" s="21" t="b">
        <f t="shared" si="293"/>
        <v>0</v>
      </c>
      <c r="R52" s="21" t="b">
        <f t="shared" ref="R52:W52" si="294">OR(R50,R48)</f>
        <v>1</v>
      </c>
      <c r="S52" s="21" t="b">
        <f t="shared" si="294"/>
        <v>1</v>
      </c>
      <c r="T52" s="21" t="b">
        <f t="shared" si="294"/>
        <v>1</v>
      </c>
      <c r="U52" s="21" t="b">
        <f t="shared" si="294"/>
        <v>0</v>
      </c>
      <c r="V52" s="21" t="b">
        <f t="shared" si="294"/>
        <v>0</v>
      </c>
      <c r="W52" s="21" t="b">
        <f t="shared" si="294"/>
        <v>0</v>
      </c>
      <c r="X52" s="21" t="b">
        <f>OR(X50,X48)</f>
        <v>1</v>
      </c>
      <c r="Y52" s="21" t="b">
        <f t="shared" ref="Y52:AA52" si="295">OR(Y50,Y48)</f>
        <v>1</v>
      </c>
      <c r="Z52" s="21" t="b">
        <f t="shared" si="295"/>
        <v>1</v>
      </c>
      <c r="AA52" s="21" t="b">
        <f t="shared" si="295"/>
        <v>0</v>
      </c>
      <c r="AB52" s="21" t="b">
        <f>OR(AB50,AB48)</f>
        <v>0</v>
      </c>
      <c r="AC52" s="21" t="b">
        <f t="shared" ref="AC52:AI52" si="296">OR(AC50,AC48)</f>
        <v>0</v>
      </c>
      <c r="AD52" s="21" t="b">
        <f t="shared" si="296"/>
        <v>1</v>
      </c>
      <c r="AE52" s="21" t="b">
        <f t="shared" si="296"/>
        <v>1</v>
      </c>
      <c r="AF52" s="21" t="b">
        <f t="shared" si="296"/>
        <v>1</v>
      </c>
      <c r="AG52" s="21" t="b">
        <f t="shared" si="296"/>
        <v>0</v>
      </c>
      <c r="AH52" s="21" t="b">
        <f t="shared" si="296"/>
        <v>0</v>
      </c>
      <c r="AI52" s="21" t="b">
        <f t="shared" si="296"/>
        <v>0</v>
      </c>
      <c r="AJ52" s="21" t="b">
        <f>OR(AJ50,AJ48)</f>
        <v>1</v>
      </c>
      <c r="AK52" s="21" t="b">
        <f t="shared" ref="AK52:AM52" si="297">OR(AK50,AK48)</f>
        <v>1</v>
      </c>
      <c r="AL52" s="21" t="b">
        <f t="shared" si="297"/>
        <v>1</v>
      </c>
      <c r="AM52" s="21" t="b">
        <f t="shared" si="297"/>
        <v>0</v>
      </c>
      <c r="AN52" s="21" t="b">
        <f>OR(AN50,AN48)</f>
        <v>0</v>
      </c>
      <c r="AO52" s="21" t="b">
        <f t="shared" ref="AO52:AU52" si="298">OR(AO50,AO48)</f>
        <v>0</v>
      </c>
      <c r="AP52" s="21" t="b">
        <f t="shared" si="298"/>
        <v>1</v>
      </c>
      <c r="AQ52" s="21" t="b">
        <f t="shared" si="298"/>
        <v>1</v>
      </c>
      <c r="AR52" s="21" t="b">
        <f t="shared" si="298"/>
        <v>1</v>
      </c>
      <c r="AS52" s="21" t="b">
        <f t="shared" si="298"/>
        <v>0</v>
      </c>
      <c r="AT52" s="21" t="b">
        <f t="shared" si="298"/>
        <v>0</v>
      </c>
      <c r="AU52" s="21" t="b">
        <f t="shared" si="298"/>
        <v>0</v>
      </c>
      <c r="AV52" s="21" t="b">
        <f>OR(AV50,AV48)</f>
        <v>1</v>
      </c>
      <c r="AW52" s="21" t="b">
        <f t="shared" ref="AW52:AY52" si="299">OR(AW50,AW48)</f>
        <v>1</v>
      </c>
      <c r="AX52" s="21" t="b">
        <f t="shared" si="299"/>
        <v>1</v>
      </c>
      <c r="AY52" s="21" t="b">
        <f t="shared" si="299"/>
        <v>0</v>
      </c>
      <c r="AZ52" s="21" t="b">
        <f>OR(AZ50,AZ48)</f>
        <v>0</v>
      </c>
      <c r="BA52" s="21" t="b">
        <f t="shared" ref="BA52:BG52" si="300">OR(BA50,BA48)</f>
        <v>0</v>
      </c>
      <c r="BB52" s="21" t="b">
        <f t="shared" si="300"/>
        <v>1</v>
      </c>
      <c r="BC52" s="21" t="b">
        <f t="shared" si="300"/>
        <v>1</v>
      </c>
      <c r="BD52" s="21" t="b">
        <f t="shared" si="300"/>
        <v>1</v>
      </c>
      <c r="BE52" s="21" t="b">
        <f t="shared" si="300"/>
        <v>0</v>
      </c>
      <c r="BF52" s="21" t="b">
        <f t="shared" si="300"/>
        <v>0</v>
      </c>
      <c r="BG52" s="21" t="b">
        <f t="shared" si="300"/>
        <v>0</v>
      </c>
      <c r="BH52" s="21" t="b">
        <f>OR(BH50,BH48)</f>
        <v>1</v>
      </c>
      <c r="BI52" s="21" t="b">
        <f t="shared" ref="BI52:BK52" si="301">OR(BI50,BI48)</f>
        <v>1</v>
      </c>
      <c r="BJ52" s="21" t="b">
        <f t="shared" si="301"/>
        <v>1</v>
      </c>
      <c r="BK52" s="21" t="b">
        <f t="shared" si="301"/>
        <v>0</v>
      </c>
      <c r="BL52" s="21" t="b">
        <f>OR(BL50,BL48)</f>
        <v>0</v>
      </c>
      <c r="BM52" s="21" t="b">
        <f t="shared" ref="BM52" si="302">OR(BM50,BM48)</f>
        <v>0</v>
      </c>
      <c r="BN52" s="21" t="b">
        <f t="shared" si="293"/>
        <v>1</v>
      </c>
      <c r="BO52" s="21" t="b">
        <f t="shared" si="293"/>
        <v>1</v>
      </c>
      <c r="BP52" s="21" t="b">
        <f t="shared" si="293"/>
        <v>1</v>
      </c>
      <c r="BQ52" s="21" t="b">
        <f t="shared" si="293"/>
        <v>1</v>
      </c>
      <c r="BR52" s="21" t="b">
        <f t="shared" si="293"/>
        <v>1</v>
      </c>
      <c r="BS52" s="21" t="b">
        <f t="shared" si="293"/>
        <v>1</v>
      </c>
      <c r="BT52" s="21" t="b">
        <f t="shared" si="293"/>
        <v>0</v>
      </c>
      <c r="BU52" s="21" t="b">
        <f t="shared" si="293"/>
        <v>0</v>
      </c>
      <c r="BV52" s="21" t="b">
        <f t="shared" si="293"/>
        <v>0</v>
      </c>
      <c r="BW52" s="40" t="b">
        <f t="shared" si="293"/>
        <v>0</v>
      </c>
      <c r="BX52" s="21" t="b">
        <f t="shared" si="293"/>
        <v>0</v>
      </c>
      <c r="BY52" s="21" t="b">
        <f t="shared" si="293"/>
        <v>0</v>
      </c>
      <c r="BZ52" s="21" t="b">
        <f t="shared" si="293"/>
        <v>0</v>
      </c>
      <c r="CA52" s="21" t="b">
        <f t="shared" si="293"/>
        <v>0</v>
      </c>
      <c r="CB52" s="21" t="b">
        <f t="shared" si="293"/>
        <v>0</v>
      </c>
      <c r="CC52" s="21" t="b">
        <f t="shared" si="293"/>
        <v>1</v>
      </c>
      <c r="CD52" s="21" t="b">
        <f t="shared" si="293"/>
        <v>1</v>
      </c>
      <c r="CE52" s="21" t="b">
        <f t="shared" si="293"/>
        <v>0</v>
      </c>
      <c r="CF52" s="62" t="b">
        <f t="shared" si="293"/>
        <v>0</v>
      </c>
      <c r="CG52" s="62" t="b">
        <f t="shared" si="293"/>
        <v>0</v>
      </c>
      <c r="CH52" s="62" t="b">
        <f t="shared" si="293"/>
        <v>0</v>
      </c>
      <c r="CI52" s="62" t="b">
        <f t="shared" si="293"/>
        <v>1</v>
      </c>
      <c r="CJ52" s="62" t="b">
        <f t="shared" si="293"/>
        <v>1</v>
      </c>
      <c r="CK52" s="62" t="b">
        <f t="shared" si="293"/>
        <v>1</v>
      </c>
      <c r="CL52" s="62" t="b">
        <f t="shared" si="293"/>
        <v>1</v>
      </c>
      <c r="CM52" s="62" t="b">
        <f t="shared" si="293"/>
        <v>1</v>
      </c>
      <c r="CN52" s="62" t="b">
        <f t="shared" si="293"/>
        <v>1</v>
      </c>
      <c r="CO52" s="62" t="b">
        <f t="shared" si="293"/>
        <v>1</v>
      </c>
      <c r="CP52" s="62" t="b">
        <f t="shared" si="293"/>
        <v>1</v>
      </c>
      <c r="CQ52" s="62" t="b">
        <f t="shared" si="293"/>
        <v>1</v>
      </c>
      <c r="CR52" s="62" t="b">
        <f t="shared" si="293"/>
        <v>1</v>
      </c>
      <c r="CS52" s="62" t="b">
        <f t="shared" si="293"/>
        <v>1</v>
      </c>
      <c r="CT52" s="62" t="b">
        <f t="shared" si="293"/>
        <v>1</v>
      </c>
      <c r="CU52" s="62" t="b">
        <f t="shared" si="293"/>
        <v>1</v>
      </c>
      <c r="CV52" s="62" t="b">
        <f t="shared" si="293"/>
        <v>1</v>
      </c>
      <c r="CW52" s="62" t="b">
        <f t="shared" si="293"/>
        <v>1</v>
      </c>
      <c r="CX52" s="62" t="b">
        <f t="shared" si="293"/>
        <v>1</v>
      </c>
      <c r="CY52" s="62" t="b">
        <f t="shared" si="293"/>
        <v>1</v>
      </c>
      <c r="CZ52" s="62" t="b">
        <f t="shared" si="293"/>
        <v>1</v>
      </c>
      <c r="DA52" s="62" t="b">
        <f t="shared" si="293"/>
        <v>1</v>
      </c>
      <c r="DB52" s="62" t="b">
        <f t="shared" si="293"/>
        <v>1</v>
      </c>
      <c r="DC52" s="62" t="b">
        <f t="shared" si="293"/>
        <v>1</v>
      </c>
      <c r="DD52" s="62" t="b">
        <f t="shared" si="293"/>
        <v>1</v>
      </c>
      <c r="DE52" s="62" t="b">
        <f t="shared" si="293"/>
        <v>1</v>
      </c>
      <c r="DF52" s="62" t="b">
        <f t="shared" si="293"/>
        <v>1</v>
      </c>
      <c r="DG52" s="62" t="b">
        <f t="shared" si="293"/>
        <v>1</v>
      </c>
      <c r="DH52" s="62" t="b">
        <f t="shared" ref="DH52:FS52" si="303">OR(DH50,DH48)</f>
        <v>1</v>
      </c>
      <c r="DI52" s="62" t="b">
        <f t="shared" si="303"/>
        <v>1</v>
      </c>
      <c r="DJ52" s="62" t="b">
        <f t="shared" si="303"/>
        <v>1</v>
      </c>
      <c r="DK52" s="62" t="b">
        <f t="shared" si="303"/>
        <v>1</v>
      </c>
      <c r="DL52" s="62" t="b">
        <f t="shared" si="303"/>
        <v>1</v>
      </c>
      <c r="DM52" s="62" t="b">
        <f t="shared" si="303"/>
        <v>1</v>
      </c>
      <c r="DN52" s="62" t="b">
        <f t="shared" si="303"/>
        <v>1</v>
      </c>
      <c r="DO52" s="62" t="b">
        <f t="shared" si="303"/>
        <v>1</v>
      </c>
      <c r="DP52" s="62" t="b">
        <f t="shared" si="303"/>
        <v>1</v>
      </c>
      <c r="DQ52" s="62" t="b">
        <f t="shared" si="303"/>
        <v>1</v>
      </c>
      <c r="DR52" s="62" t="b">
        <f t="shared" si="303"/>
        <v>1</v>
      </c>
      <c r="DS52" s="62" t="b">
        <f t="shared" si="303"/>
        <v>1</v>
      </c>
      <c r="DT52" s="62" t="b">
        <f t="shared" si="303"/>
        <v>1</v>
      </c>
      <c r="DU52" s="62" t="b">
        <f t="shared" si="303"/>
        <v>1</v>
      </c>
      <c r="DV52" s="62" t="b">
        <f t="shared" si="303"/>
        <v>1</v>
      </c>
      <c r="DW52" s="62" t="b">
        <f t="shared" si="303"/>
        <v>1</v>
      </c>
      <c r="DX52" s="62" t="b">
        <f t="shared" si="303"/>
        <v>1</v>
      </c>
      <c r="DY52" s="62" t="b">
        <f t="shared" si="303"/>
        <v>1</v>
      </c>
      <c r="DZ52" s="62" t="b">
        <f t="shared" si="303"/>
        <v>1</v>
      </c>
      <c r="EA52" s="62" t="b">
        <f t="shared" si="303"/>
        <v>1</v>
      </c>
      <c r="EB52" s="62" t="b">
        <f t="shared" si="303"/>
        <v>1</v>
      </c>
      <c r="EC52" s="62" t="b">
        <f t="shared" si="303"/>
        <v>1</v>
      </c>
      <c r="ED52" s="62" t="b">
        <f t="shared" si="303"/>
        <v>1</v>
      </c>
      <c r="EE52" s="62" t="b">
        <f t="shared" si="303"/>
        <v>1</v>
      </c>
      <c r="EF52" s="62" t="b">
        <f t="shared" si="303"/>
        <v>1</v>
      </c>
      <c r="EG52" s="62" t="b">
        <f t="shared" si="303"/>
        <v>1</v>
      </c>
      <c r="EH52" s="62" t="b">
        <f t="shared" si="303"/>
        <v>1</v>
      </c>
      <c r="EI52" s="62" t="b">
        <f t="shared" si="303"/>
        <v>1</v>
      </c>
      <c r="EJ52" s="62" t="b">
        <f t="shared" si="303"/>
        <v>1</v>
      </c>
      <c r="EK52" s="62" t="b">
        <f t="shared" si="303"/>
        <v>1</v>
      </c>
      <c r="EL52" s="62" t="b">
        <f t="shared" si="303"/>
        <v>1</v>
      </c>
      <c r="EM52" s="62" t="b">
        <f t="shared" si="303"/>
        <v>1</v>
      </c>
      <c r="EN52" s="62" t="b">
        <f t="shared" si="303"/>
        <v>1</v>
      </c>
      <c r="EO52" s="62" t="b">
        <f t="shared" si="303"/>
        <v>1</v>
      </c>
      <c r="EP52" s="62" t="b">
        <f t="shared" si="303"/>
        <v>1</v>
      </c>
      <c r="EQ52" s="62" t="b">
        <f t="shared" si="303"/>
        <v>1</v>
      </c>
      <c r="ER52" s="62" t="b">
        <f t="shared" si="303"/>
        <v>1</v>
      </c>
      <c r="ES52" s="62" t="b">
        <f t="shared" si="303"/>
        <v>1</v>
      </c>
      <c r="ET52" s="62" t="b">
        <f t="shared" si="303"/>
        <v>1</v>
      </c>
      <c r="EU52" s="62" t="b">
        <f t="shared" si="303"/>
        <v>1</v>
      </c>
      <c r="EV52" s="62" t="b">
        <f t="shared" si="303"/>
        <v>1</v>
      </c>
      <c r="EW52" s="62" t="b">
        <f t="shared" si="303"/>
        <v>1</v>
      </c>
      <c r="EX52" s="62" t="b">
        <f t="shared" si="303"/>
        <v>1</v>
      </c>
      <c r="EY52" s="62" t="b">
        <f t="shared" si="303"/>
        <v>1</v>
      </c>
      <c r="EZ52" s="62" t="b">
        <f t="shared" si="303"/>
        <v>1</v>
      </c>
      <c r="FA52" s="62" t="b">
        <f t="shared" si="303"/>
        <v>1</v>
      </c>
      <c r="FB52" s="62" t="b">
        <f t="shared" si="303"/>
        <v>1</v>
      </c>
      <c r="FC52" s="62" t="b">
        <f t="shared" si="303"/>
        <v>1</v>
      </c>
      <c r="FD52" s="62" t="b">
        <f t="shared" si="303"/>
        <v>1</v>
      </c>
      <c r="FE52" s="62" t="b">
        <f t="shared" si="303"/>
        <v>1</v>
      </c>
      <c r="FF52" s="62" t="b">
        <f t="shared" si="303"/>
        <v>1</v>
      </c>
      <c r="FG52" s="62" t="b">
        <f t="shared" si="303"/>
        <v>1</v>
      </c>
      <c r="FH52" s="62" t="b">
        <f t="shared" si="303"/>
        <v>1</v>
      </c>
      <c r="FI52" s="62" t="b">
        <f t="shared" si="303"/>
        <v>1</v>
      </c>
      <c r="FJ52" s="62" t="b">
        <f t="shared" si="303"/>
        <v>1</v>
      </c>
      <c r="FK52" s="62" t="b">
        <f t="shared" si="303"/>
        <v>1</v>
      </c>
      <c r="FL52" s="62" t="b">
        <f t="shared" si="303"/>
        <v>1</v>
      </c>
      <c r="FM52" s="62" t="b">
        <f t="shared" si="303"/>
        <v>1</v>
      </c>
      <c r="FN52" s="62" t="b">
        <f t="shared" si="303"/>
        <v>1</v>
      </c>
      <c r="FO52" s="62" t="b">
        <f t="shared" si="303"/>
        <v>1</v>
      </c>
      <c r="FP52" s="21" t="b">
        <f t="shared" si="303"/>
        <v>1</v>
      </c>
      <c r="FQ52" s="21" t="b">
        <f t="shared" si="303"/>
        <v>0</v>
      </c>
      <c r="FR52" s="21" t="b">
        <f t="shared" si="303"/>
        <v>0</v>
      </c>
      <c r="FS52" s="21" t="b">
        <f t="shared" si="303"/>
        <v>0</v>
      </c>
      <c r="FT52" s="21" t="b">
        <f t="shared" ref="FT52:IE52" si="304">OR(FT50,FT48)</f>
        <v>1</v>
      </c>
      <c r="FU52" s="21" t="b">
        <f t="shared" si="304"/>
        <v>1</v>
      </c>
      <c r="FV52" s="21" t="b">
        <f t="shared" si="304"/>
        <v>1</v>
      </c>
      <c r="FW52" s="21" t="b">
        <f t="shared" si="304"/>
        <v>1</v>
      </c>
      <c r="FX52" s="21" t="b">
        <f t="shared" si="304"/>
        <v>1</v>
      </c>
      <c r="FY52" s="21" t="b">
        <f t="shared" si="304"/>
        <v>1</v>
      </c>
      <c r="FZ52" s="21" t="b">
        <f t="shared" si="304"/>
        <v>1</v>
      </c>
      <c r="GA52" s="21" t="b">
        <f t="shared" si="304"/>
        <v>1</v>
      </c>
      <c r="GB52" s="21" t="b">
        <f t="shared" si="304"/>
        <v>1</v>
      </c>
      <c r="GC52" s="21" t="b">
        <f t="shared" si="304"/>
        <v>1</v>
      </c>
      <c r="GD52" s="21" t="b">
        <f t="shared" si="304"/>
        <v>1</v>
      </c>
      <c r="GE52" s="21" t="b">
        <f t="shared" si="304"/>
        <v>1</v>
      </c>
      <c r="GF52" s="21" t="b">
        <f t="shared" si="304"/>
        <v>1</v>
      </c>
      <c r="GG52" s="21" t="b">
        <f t="shared" si="304"/>
        <v>1</v>
      </c>
      <c r="GH52" s="21" t="b">
        <f t="shared" si="304"/>
        <v>1</v>
      </c>
      <c r="GI52" s="21" t="b">
        <f t="shared" si="304"/>
        <v>1</v>
      </c>
      <c r="GJ52" s="21" t="b">
        <f t="shared" si="304"/>
        <v>1</v>
      </c>
      <c r="GK52" s="21" t="b">
        <f t="shared" si="304"/>
        <v>1</v>
      </c>
      <c r="GL52" s="21" t="b">
        <f t="shared" si="304"/>
        <v>1</v>
      </c>
      <c r="GM52" s="21" t="b">
        <f t="shared" si="304"/>
        <v>1</v>
      </c>
      <c r="GN52" s="21" t="b">
        <f t="shared" si="304"/>
        <v>1</v>
      </c>
      <c r="GO52" s="21" t="b">
        <f t="shared" si="304"/>
        <v>1</v>
      </c>
      <c r="GP52" s="21" t="b">
        <f t="shared" si="304"/>
        <v>1</v>
      </c>
      <c r="GQ52" s="21" t="b">
        <f t="shared" si="304"/>
        <v>1</v>
      </c>
      <c r="GR52" s="21" t="b">
        <f t="shared" si="304"/>
        <v>1</v>
      </c>
      <c r="GS52" s="21" t="b">
        <f t="shared" si="304"/>
        <v>1</v>
      </c>
      <c r="GT52" s="21" t="b">
        <f t="shared" si="304"/>
        <v>1</v>
      </c>
      <c r="GU52" s="21" t="b">
        <f t="shared" si="304"/>
        <v>1</v>
      </c>
      <c r="GV52" s="21" t="b">
        <f t="shared" si="304"/>
        <v>1</v>
      </c>
      <c r="GW52" s="21" t="b">
        <f t="shared" si="304"/>
        <v>1</v>
      </c>
      <c r="GX52" s="21" t="b">
        <f t="shared" si="304"/>
        <v>1</v>
      </c>
      <c r="GY52" s="21" t="b">
        <f t="shared" si="304"/>
        <v>1</v>
      </c>
      <c r="GZ52" s="21" t="b">
        <f t="shared" si="304"/>
        <v>1</v>
      </c>
      <c r="HA52" s="21" t="b">
        <f t="shared" si="304"/>
        <v>1</v>
      </c>
      <c r="HB52" s="21" t="b">
        <f t="shared" si="304"/>
        <v>1</v>
      </c>
      <c r="HC52" s="21" t="b">
        <f t="shared" si="304"/>
        <v>1</v>
      </c>
      <c r="HD52" s="21" t="b">
        <f t="shared" si="304"/>
        <v>1</v>
      </c>
      <c r="HE52" s="21" t="b">
        <f t="shared" si="304"/>
        <v>1</v>
      </c>
      <c r="HF52" s="21" t="b">
        <f t="shared" si="304"/>
        <v>1</v>
      </c>
      <c r="HG52" s="21" t="b">
        <f t="shared" si="304"/>
        <v>1</v>
      </c>
      <c r="HH52" s="21" t="b">
        <f t="shared" si="304"/>
        <v>1</v>
      </c>
      <c r="HI52" s="21" t="b">
        <f t="shared" si="304"/>
        <v>1</v>
      </c>
      <c r="HJ52" s="21" t="b">
        <f t="shared" si="304"/>
        <v>1</v>
      </c>
      <c r="HK52" s="21" t="b">
        <f t="shared" si="304"/>
        <v>1</v>
      </c>
      <c r="HL52" s="21" t="b">
        <f t="shared" si="304"/>
        <v>1</v>
      </c>
      <c r="HM52" s="21" t="b">
        <f t="shared" si="304"/>
        <v>1</v>
      </c>
      <c r="HN52" s="21" t="b">
        <f t="shared" si="304"/>
        <v>1</v>
      </c>
      <c r="HO52" s="21" t="b">
        <f t="shared" si="304"/>
        <v>1</v>
      </c>
      <c r="HP52" s="21" t="b">
        <f t="shared" si="304"/>
        <v>1</v>
      </c>
      <c r="HQ52" s="21" t="b">
        <f t="shared" si="304"/>
        <v>1</v>
      </c>
      <c r="HR52" s="21" t="b">
        <f t="shared" si="304"/>
        <v>1</v>
      </c>
      <c r="HS52" s="21" t="b">
        <f t="shared" si="304"/>
        <v>1</v>
      </c>
      <c r="HT52" s="21" t="b">
        <f t="shared" si="304"/>
        <v>1</v>
      </c>
      <c r="HU52" s="21" t="b">
        <f t="shared" si="304"/>
        <v>1</v>
      </c>
      <c r="HV52" s="21" t="b">
        <f t="shared" si="304"/>
        <v>1</v>
      </c>
      <c r="HW52" s="21" t="b">
        <f t="shared" si="304"/>
        <v>1</v>
      </c>
      <c r="HX52" s="21" t="b">
        <f t="shared" si="304"/>
        <v>1</v>
      </c>
      <c r="HY52" s="21" t="b">
        <f t="shared" si="304"/>
        <v>1</v>
      </c>
      <c r="HZ52" s="21" t="b">
        <f t="shared" si="304"/>
        <v>1</v>
      </c>
      <c r="IA52" s="21" t="b">
        <f t="shared" si="304"/>
        <v>1</v>
      </c>
      <c r="IB52" s="21" t="b">
        <f t="shared" si="304"/>
        <v>1</v>
      </c>
      <c r="IC52" s="21" t="b">
        <f t="shared" si="304"/>
        <v>1</v>
      </c>
      <c r="ID52" s="21" t="b">
        <f t="shared" si="304"/>
        <v>1</v>
      </c>
      <c r="IE52" s="21" t="b">
        <f t="shared" si="304"/>
        <v>1</v>
      </c>
      <c r="IF52" s="21" t="b">
        <f t="shared" ref="IF52:KG52" si="305">OR(IF50,IF48)</f>
        <v>1</v>
      </c>
      <c r="IG52" s="21" t="b">
        <f t="shared" si="305"/>
        <v>1</v>
      </c>
      <c r="IH52" s="21" t="b">
        <f t="shared" si="305"/>
        <v>1</v>
      </c>
      <c r="II52" s="21" t="b">
        <f t="shared" si="305"/>
        <v>1</v>
      </c>
      <c r="IJ52" s="21" t="b">
        <f t="shared" si="305"/>
        <v>0</v>
      </c>
      <c r="IK52" s="21" t="b">
        <f t="shared" si="305"/>
        <v>0</v>
      </c>
      <c r="IL52" s="21" t="b">
        <f t="shared" si="305"/>
        <v>1</v>
      </c>
      <c r="IM52" s="40" t="b">
        <f t="shared" si="305"/>
        <v>1</v>
      </c>
      <c r="IN52" s="40" t="b">
        <f t="shared" si="305"/>
        <v>0</v>
      </c>
      <c r="IO52" s="40" t="b">
        <f t="shared" si="305"/>
        <v>0</v>
      </c>
      <c r="IP52" s="21" t="b">
        <f t="shared" si="305"/>
        <v>0</v>
      </c>
      <c r="IQ52" s="21" t="b">
        <f t="shared" si="305"/>
        <v>0</v>
      </c>
      <c r="IR52" s="21" t="b">
        <f t="shared" si="305"/>
        <v>0</v>
      </c>
      <c r="IS52" s="21" t="b">
        <f t="shared" si="305"/>
        <v>0</v>
      </c>
      <c r="IT52" s="21" t="b">
        <f t="shared" si="305"/>
        <v>0</v>
      </c>
      <c r="IU52" s="21" t="b">
        <f t="shared" si="305"/>
        <v>0</v>
      </c>
      <c r="IV52" s="21" t="b">
        <f t="shared" si="305"/>
        <v>0</v>
      </c>
      <c r="IW52" s="21" t="b">
        <f t="shared" si="305"/>
        <v>0</v>
      </c>
      <c r="IX52" s="21" t="b">
        <f t="shared" si="305"/>
        <v>0</v>
      </c>
      <c r="IY52" s="21" t="b">
        <f t="shared" si="305"/>
        <v>1</v>
      </c>
      <c r="IZ52" s="21" t="b">
        <f t="shared" si="305"/>
        <v>1</v>
      </c>
      <c r="JA52" s="21" t="b">
        <f t="shared" si="305"/>
        <v>1</v>
      </c>
      <c r="JB52" s="21" t="b">
        <f t="shared" si="305"/>
        <v>1</v>
      </c>
      <c r="JC52" s="21" t="b">
        <f t="shared" si="305"/>
        <v>1</v>
      </c>
      <c r="JD52" s="21" t="b">
        <f t="shared" si="305"/>
        <v>1</v>
      </c>
      <c r="JE52" s="21" t="b">
        <f t="shared" si="305"/>
        <v>1</v>
      </c>
      <c r="JF52" s="21" t="b">
        <f t="shared" si="305"/>
        <v>1</v>
      </c>
      <c r="JG52" s="21" t="b">
        <f t="shared" si="305"/>
        <v>1</v>
      </c>
      <c r="JH52" s="21" t="b">
        <f t="shared" si="305"/>
        <v>1</v>
      </c>
      <c r="JI52" s="21" t="b">
        <f t="shared" si="305"/>
        <v>1</v>
      </c>
      <c r="JJ52" s="21" t="b">
        <f t="shared" si="305"/>
        <v>1</v>
      </c>
      <c r="JK52" s="21" t="b">
        <f t="shared" si="305"/>
        <v>1</v>
      </c>
      <c r="JL52" s="21" t="b">
        <f t="shared" si="305"/>
        <v>1</v>
      </c>
      <c r="JM52" s="21" t="b">
        <f t="shared" si="305"/>
        <v>1</v>
      </c>
      <c r="JN52" s="21" t="b">
        <f t="shared" si="305"/>
        <v>1</v>
      </c>
      <c r="JO52" s="21" t="b">
        <f t="shared" si="305"/>
        <v>1</v>
      </c>
      <c r="JP52" s="21" t="b">
        <f t="shared" si="305"/>
        <v>1</v>
      </c>
      <c r="JQ52" s="21" t="b">
        <f t="shared" si="305"/>
        <v>1</v>
      </c>
      <c r="JR52" s="21" t="b">
        <f t="shared" si="305"/>
        <v>1</v>
      </c>
      <c r="JS52" s="21" t="b">
        <f t="shared" si="305"/>
        <v>1</v>
      </c>
      <c r="JT52" s="21" t="b">
        <f t="shared" si="305"/>
        <v>1</v>
      </c>
      <c r="JU52" s="21" t="b">
        <f t="shared" si="305"/>
        <v>1</v>
      </c>
      <c r="JV52" s="21" t="b">
        <f t="shared" si="305"/>
        <v>1</v>
      </c>
      <c r="JW52" s="21" t="b">
        <f t="shared" si="305"/>
        <v>1</v>
      </c>
      <c r="JX52" s="21" t="b">
        <f t="shared" si="305"/>
        <v>1</v>
      </c>
      <c r="JY52" s="21" t="b">
        <f t="shared" si="305"/>
        <v>1</v>
      </c>
      <c r="JZ52" s="21" t="b">
        <f t="shared" si="305"/>
        <v>1</v>
      </c>
      <c r="KA52" s="21" t="b">
        <f t="shared" si="305"/>
        <v>1</v>
      </c>
      <c r="KB52" s="21" t="b">
        <f t="shared" si="305"/>
        <v>1</v>
      </c>
      <c r="KC52" s="21" t="b">
        <f t="shared" si="305"/>
        <v>1</v>
      </c>
      <c r="KD52" s="21" t="b">
        <f t="shared" si="305"/>
        <v>1</v>
      </c>
      <c r="KE52" s="21" t="b">
        <f t="shared" si="305"/>
        <v>1</v>
      </c>
      <c r="KF52" s="21" t="b">
        <f t="shared" si="305"/>
        <v>1</v>
      </c>
      <c r="KG52" s="21" t="b">
        <f t="shared" si="305"/>
        <v>1</v>
      </c>
      <c r="KH52" s="21" t="b">
        <f t="shared" ref="KH52:ML52" si="306">OR(KH50,KH48)</f>
        <v>1</v>
      </c>
      <c r="KI52" s="21" t="b">
        <f t="shared" si="306"/>
        <v>1</v>
      </c>
      <c r="KJ52" s="21" t="b">
        <f t="shared" si="306"/>
        <v>1</v>
      </c>
      <c r="KK52" s="21" t="b">
        <f t="shared" si="306"/>
        <v>1</v>
      </c>
      <c r="KL52" s="21" t="b">
        <f t="shared" si="306"/>
        <v>1</v>
      </c>
      <c r="KM52" s="21" t="b">
        <f t="shared" si="306"/>
        <v>1</v>
      </c>
      <c r="KN52" s="21" t="b">
        <f t="shared" si="306"/>
        <v>1</v>
      </c>
      <c r="KO52" s="21" t="b">
        <f t="shared" si="306"/>
        <v>1</v>
      </c>
      <c r="KP52" s="21" t="b">
        <f t="shared" si="306"/>
        <v>1</v>
      </c>
      <c r="KQ52" s="21" t="b">
        <f t="shared" si="306"/>
        <v>1</v>
      </c>
      <c r="KR52" s="21" t="b">
        <f t="shared" si="306"/>
        <v>1</v>
      </c>
      <c r="KS52" s="21" t="b">
        <f t="shared" si="306"/>
        <v>1</v>
      </c>
      <c r="KT52" s="21" t="b">
        <f t="shared" si="306"/>
        <v>1</v>
      </c>
      <c r="KU52" s="21" t="b">
        <f t="shared" si="306"/>
        <v>1</v>
      </c>
      <c r="KV52" s="21" t="b">
        <f t="shared" si="306"/>
        <v>1</v>
      </c>
      <c r="KW52" s="21" t="b">
        <f t="shared" si="306"/>
        <v>1</v>
      </c>
      <c r="KX52" s="21" t="b">
        <f t="shared" si="306"/>
        <v>1</v>
      </c>
      <c r="KY52" s="21" t="b">
        <f t="shared" si="306"/>
        <v>1</v>
      </c>
      <c r="KZ52" s="21" t="b">
        <f t="shared" si="306"/>
        <v>1</v>
      </c>
      <c r="LA52" s="21" t="b">
        <f t="shared" si="306"/>
        <v>1</v>
      </c>
      <c r="LB52" s="21" t="b">
        <f t="shared" si="306"/>
        <v>1</v>
      </c>
      <c r="LC52" s="21" t="b">
        <f t="shared" si="306"/>
        <v>1</v>
      </c>
      <c r="LD52" s="21" t="b">
        <f t="shared" si="306"/>
        <v>1</v>
      </c>
      <c r="LE52" s="21" t="b">
        <f t="shared" si="306"/>
        <v>1</v>
      </c>
      <c r="LF52" s="21" t="b">
        <f t="shared" si="306"/>
        <v>1</v>
      </c>
      <c r="LG52" s="21" t="b">
        <f t="shared" si="306"/>
        <v>1</v>
      </c>
      <c r="LH52" s="21" t="b">
        <f t="shared" si="306"/>
        <v>1</v>
      </c>
      <c r="LI52" s="21" t="b">
        <f t="shared" si="306"/>
        <v>1</v>
      </c>
      <c r="LJ52" s="21" t="b">
        <f t="shared" si="306"/>
        <v>1</v>
      </c>
      <c r="LK52" s="21" t="b">
        <f t="shared" si="306"/>
        <v>1</v>
      </c>
      <c r="LL52" s="21" t="b">
        <f t="shared" si="306"/>
        <v>1</v>
      </c>
      <c r="LM52" s="21" t="b">
        <f t="shared" si="306"/>
        <v>1</v>
      </c>
      <c r="LN52" s="21" t="b">
        <f t="shared" si="306"/>
        <v>1</v>
      </c>
      <c r="LO52" s="21" t="b">
        <f t="shared" si="306"/>
        <v>1</v>
      </c>
      <c r="LP52" s="21" t="b">
        <f t="shared" si="306"/>
        <v>1</v>
      </c>
      <c r="LQ52" s="21" t="b">
        <f t="shared" si="306"/>
        <v>1</v>
      </c>
      <c r="LR52" s="21" t="b">
        <f t="shared" si="306"/>
        <v>1</v>
      </c>
      <c r="LS52" s="21" t="b">
        <f t="shared" si="306"/>
        <v>1</v>
      </c>
      <c r="LT52" s="21" t="b">
        <f t="shared" si="306"/>
        <v>1</v>
      </c>
      <c r="LU52" s="21" t="b">
        <f t="shared" si="306"/>
        <v>1</v>
      </c>
      <c r="LV52" s="21" t="b">
        <f t="shared" si="306"/>
        <v>1</v>
      </c>
      <c r="LW52" s="21" t="b">
        <f t="shared" si="306"/>
        <v>1</v>
      </c>
      <c r="LX52" s="21" t="b">
        <f t="shared" si="306"/>
        <v>1</v>
      </c>
      <c r="LY52" s="21" t="b">
        <f t="shared" si="306"/>
        <v>1</v>
      </c>
      <c r="LZ52" s="21" t="b">
        <f t="shared" si="306"/>
        <v>1</v>
      </c>
      <c r="MA52" s="21" t="b">
        <f t="shared" si="306"/>
        <v>1</v>
      </c>
      <c r="MB52" s="21" t="b">
        <f t="shared" si="306"/>
        <v>1</v>
      </c>
      <c r="MC52" s="1" t="b">
        <f t="shared" si="306"/>
        <v>1</v>
      </c>
      <c r="MD52" s="1" t="b">
        <f t="shared" si="306"/>
        <v>1</v>
      </c>
      <c r="ME52" s="1" t="b">
        <f t="shared" si="306"/>
        <v>1</v>
      </c>
      <c r="MF52" s="1" t="b">
        <f t="shared" si="306"/>
        <v>1</v>
      </c>
      <c r="MG52" s="1" t="b">
        <f t="shared" si="306"/>
        <v>1</v>
      </c>
      <c r="MH52" s="1" t="b">
        <f t="shared" si="306"/>
        <v>1</v>
      </c>
      <c r="MI52" s="1" t="b">
        <f t="shared" si="306"/>
        <v>1</v>
      </c>
      <c r="MJ52" s="1" t="b">
        <f t="shared" si="306"/>
        <v>1</v>
      </c>
      <c r="MK52" s="1" t="b">
        <f t="shared" si="306"/>
        <v>1</v>
      </c>
      <c r="ML52" s="1" t="b">
        <f t="shared" si="306"/>
        <v>1</v>
      </c>
      <c r="MM52" s="1"/>
      <c r="MN52" s="1"/>
    </row>
    <row r="55" spans="2:352" ht="23.25" customHeight="1" x14ac:dyDescent="0.25">
      <c r="C55" s="21"/>
      <c r="D55" s="21" t="b">
        <f t="shared" ref="D55:DG55" si="307">OR(D19&gt;250,D19&lt;-250)</f>
        <v>0</v>
      </c>
      <c r="E55" s="21" t="b">
        <f t="shared" si="307"/>
        <v>1</v>
      </c>
      <c r="F55" s="21" t="b">
        <f t="shared" si="307"/>
        <v>1</v>
      </c>
      <c r="G55" s="21" t="b">
        <f t="shared" si="307"/>
        <v>1</v>
      </c>
      <c r="H55" s="21" t="b">
        <f t="shared" si="307"/>
        <v>0</v>
      </c>
      <c r="I55" s="21" t="b">
        <f t="shared" si="307"/>
        <v>0</v>
      </c>
      <c r="J55" s="21" t="b">
        <f t="shared" si="307"/>
        <v>0</v>
      </c>
      <c r="K55" s="21" t="b">
        <f t="shared" si="307"/>
        <v>0</v>
      </c>
      <c r="L55" s="21" t="b">
        <f>OR(L19&gt;250,L19&lt;-250)</f>
        <v>0</v>
      </c>
      <c r="M55" s="21" t="b">
        <f t="shared" si="307"/>
        <v>0</v>
      </c>
      <c r="N55" s="21" t="b">
        <f t="shared" si="307"/>
        <v>0</v>
      </c>
      <c r="O55" s="21" t="b">
        <f t="shared" si="307"/>
        <v>0</v>
      </c>
      <c r="P55" s="21" t="b">
        <f>OR(P19&gt;250,P19&lt;-250)</f>
        <v>0</v>
      </c>
      <c r="Q55" s="21" t="b">
        <f t="shared" si="307"/>
        <v>0</v>
      </c>
      <c r="R55" s="21" t="b">
        <f t="shared" ref="R55:W55" si="308">OR(R19&gt;250,R19&lt;-250)</f>
        <v>0</v>
      </c>
      <c r="S55" s="21" t="b">
        <f t="shared" si="308"/>
        <v>0</v>
      </c>
      <c r="T55" s="21" t="b">
        <f t="shared" si="308"/>
        <v>0</v>
      </c>
      <c r="U55" s="21" t="b">
        <f t="shared" si="308"/>
        <v>0</v>
      </c>
      <c r="V55" s="21" t="b">
        <f t="shared" si="308"/>
        <v>0</v>
      </c>
      <c r="W55" s="21" t="b">
        <f t="shared" si="308"/>
        <v>0</v>
      </c>
      <c r="X55" s="21" t="b">
        <f>OR(X19&gt;250,X19&lt;-250)</f>
        <v>0</v>
      </c>
      <c r="Y55" s="21" t="b">
        <f t="shared" ref="Y55:Z55" si="309">OR(Y19&gt;250,Y19&lt;-250)</f>
        <v>0</v>
      </c>
      <c r="Z55" s="21" t="b">
        <f t="shared" si="309"/>
        <v>0</v>
      </c>
      <c r="AA55" s="21" t="b">
        <f>OR(AA19&gt;250,AA19&lt;-250)</f>
        <v>0</v>
      </c>
      <c r="AB55" s="21" t="b">
        <f>OR(AB19&gt;250,AB19&lt;-250)</f>
        <v>0</v>
      </c>
      <c r="AC55" s="21" t="b">
        <f>OR(AC19&gt;250,AC19&lt;-250)</f>
        <v>0</v>
      </c>
      <c r="AD55" s="21" t="b">
        <f t="shared" ref="AD55:AI55" si="310">OR(AD19&gt;250,AD19&lt;-250)</f>
        <v>0</v>
      </c>
      <c r="AE55" s="21" t="b">
        <f t="shared" si="310"/>
        <v>0</v>
      </c>
      <c r="AF55" s="21" t="b">
        <f t="shared" si="310"/>
        <v>0</v>
      </c>
      <c r="AG55" s="21" t="b">
        <f t="shared" si="310"/>
        <v>0</v>
      </c>
      <c r="AH55" s="21" t="b">
        <f t="shared" si="310"/>
        <v>0</v>
      </c>
      <c r="AI55" s="21" t="b">
        <f t="shared" si="310"/>
        <v>0</v>
      </c>
      <c r="AJ55" s="21" t="b">
        <f>OR(AJ19&gt;250,AJ19&lt;-250)</f>
        <v>0</v>
      </c>
      <c r="AK55" s="21" t="b">
        <f t="shared" ref="AK55:AM55" si="311">OR(AK19&gt;250,AK19&lt;-250)</f>
        <v>0</v>
      </c>
      <c r="AL55" s="21" t="b">
        <f t="shared" si="311"/>
        <v>0</v>
      </c>
      <c r="AM55" s="21" t="b">
        <f t="shared" si="311"/>
        <v>0</v>
      </c>
      <c r="AN55" s="21" t="b">
        <f>OR(AN19&gt;250,AN19&lt;-250)</f>
        <v>0</v>
      </c>
      <c r="AO55" s="21" t="b">
        <f t="shared" ref="AO55:AU55" si="312">OR(AO19&gt;250,AO19&lt;-250)</f>
        <v>0</v>
      </c>
      <c r="AP55" s="21" t="b">
        <f>OR(AP19&gt;250,AP19&lt;-250)</f>
        <v>0</v>
      </c>
      <c r="AQ55" s="21" t="b">
        <f>OR(AQ19&gt;250,AQ19&lt;-250)</f>
        <v>0</v>
      </c>
      <c r="AR55" s="21" t="b">
        <f>OR(AR19&gt;250,AR19&lt;-250)</f>
        <v>0</v>
      </c>
      <c r="AS55" s="21" t="b">
        <f t="shared" si="312"/>
        <v>0</v>
      </c>
      <c r="AT55" s="21" t="b">
        <f t="shared" si="312"/>
        <v>0</v>
      </c>
      <c r="AU55" s="21" t="b">
        <f t="shared" si="312"/>
        <v>0</v>
      </c>
      <c r="AV55" s="21" t="b">
        <f>OR(AV19&gt;250,AV19&lt;-250)</f>
        <v>0</v>
      </c>
      <c r="AW55" s="21" t="b">
        <f t="shared" ref="AW55:AY55" si="313">OR(AW19&gt;250,AW19&lt;-250)</f>
        <v>0</v>
      </c>
      <c r="AX55" s="21" t="b">
        <f t="shared" si="313"/>
        <v>0</v>
      </c>
      <c r="AY55" s="21" t="b">
        <f t="shared" si="313"/>
        <v>0</v>
      </c>
      <c r="AZ55" s="21" t="b">
        <f>OR(AZ19&gt;250,AZ19&lt;-250)</f>
        <v>0</v>
      </c>
      <c r="BA55" s="21" t="b">
        <f t="shared" ref="BA55" si="314">OR(BA19&gt;250,BA19&lt;-250)</f>
        <v>0</v>
      </c>
      <c r="BB55" s="21" t="b">
        <f>OR(BB19&gt;250,BB19&lt;-250)</f>
        <v>1</v>
      </c>
      <c r="BC55" s="21" t="b">
        <f>OR(BC19&gt;250,BC19&lt;-250)</f>
        <v>1</v>
      </c>
      <c r="BD55" s="21" t="b">
        <f>OR(BD19&gt;250,BD19&lt;-250)</f>
        <v>1</v>
      </c>
      <c r="BE55" s="21" t="b">
        <f t="shared" ref="BE55:BG55" si="315">OR(BE19&gt;250,BE19&lt;-250)</f>
        <v>0</v>
      </c>
      <c r="BF55" s="21" t="b">
        <f t="shared" si="315"/>
        <v>0</v>
      </c>
      <c r="BG55" s="21" t="b">
        <f t="shared" si="315"/>
        <v>0</v>
      </c>
      <c r="BH55" s="21" t="b">
        <f>OR(BH19&gt;250,BH19&lt;-250)</f>
        <v>1</v>
      </c>
      <c r="BI55" s="21" t="b">
        <f t="shared" ref="BI55:BK55" si="316">OR(BI19&gt;250,BI19&lt;-250)</f>
        <v>1</v>
      </c>
      <c r="BJ55" s="21" t="b">
        <f t="shared" si="316"/>
        <v>1</v>
      </c>
      <c r="BK55" s="21" t="b">
        <f t="shared" si="316"/>
        <v>0</v>
      </c>
      <c r="BL55" s="21" t="b">
        <f>OR(BL19&gt;250,BL19&lt;-250)</f>
        <v>0</v>
      </c>
      <c r="BM55" s="21" t="b">
        <f t="shared" ref="BM55" si="317">OR(BM19&gt;250,BM19&lt;-250)</f>
        <v>0</v>
      </c>
      <c r="BN55" s="21" t="b">
        <f t="shared" si="307"/>
        <v>0</v>
      </c>
      <c r="BO55" s="21" t="b">
        <f t="shared" si="307"/>
        <v>0</v>
      </c>
      <c r="BP55" s="21" t="b">
        <f t="shared" si="307"/>
        <v>0</v>
      </c>
      <c r="BQ55" s="21" t="b">
        <f t="shared" si="307"/>
        <v>1</v>
      </c>
      <c r="BR55" s="21" t="b">
        <f t="shared" si="307"/>
        <v>1</v>
      </c>
      <c r="BS55" s="21" t="b">
        <f t="shared" si="307"/>
        <v>1</v>
      </c>
      <c r="BT55" s="21" t="b">
        <f t="shared" si="307"/>
        <v>0</v>
      </c>
      <c r="BU55" s="21" t="b">
        <f t="shared" si="307"/>
        <v>0</v>
      </c>
      <c r="BV55" s="21" t="b">
        <f t="shared" si="307"/>
        <v>0</v>
      </c>
      <c r="BW55" s="40" t="b">
        <f t="shared" si="307"/>
        <v>0</v>
      </c>
      <c r="BX55" s="21" t="b">
        <f t="shared" si="307"/>
        <v>0</v>
      </c>
      <c r="BY55" s="21" t="b">
        <f t="shared" si="307"/>
        <v>0</v>
      </c>
      <c r="BZ55" s="21" t="b">
        <f t="shared" si="307"/>
        <v>0</v>
      </c>
      <c r="CA55" s="21" t="b">
        <f t="shared" si="307"/>
        <v>0</v>
      </c>
      <c r="CB55" s="21" t="b">
        <f t="shared" si="307"/>
        <v>0</v>
      </c>
      <c r="CC55" s="21" t="b">
        <f t="shared" si="307"/>
        <v>0</v>
      </c>
      <c r="CD55" s="21" t="b">
        <f t="shared" si="307"/>
        <v>0</v>
      </c>
      <c r="CE55" s="21" t="b">
        <f t="shared" si="307"/>
        <v>1</v>
      </c>
      <c r="CF55" s="62" t="b">
        <f t="shared" si="307"/>
        <v>1</v>
      </c>
      <c r="CG55" s="62" t="b">
        <f t="shared" si="307"/>
        <v>1</v>
      </c>
      <c r="CH55" s="62" t="b">
        <f t="shared" si="307"/>
        <v>1</v>
      </c>
      <c r="CI55" s="62" t="b">
        <f t="shared" si="307"/>
        <v>0</v>
      </c>
      <c r="CJ55" s="62" t="b">
        <f t="shared" si="307"/>
        <v>1</v>
      </c>
      <c r="CK55" s="62" t="b">
        <f t="shared" si="307"/>
        <v>1</v>
      </c>
      <c r="CL55" s="62" t="b">
        <f t="shared" si="307"/>
        <v>1</v>
      </c>
      <c r="CM55" s="62" t="b">
        <f t="shared" si="307"/>
        <v>0</v>
      </c>
      <c r="CN55" s="62" t="b">
        <f t="shared" si="307"/>
        <v>1</v>
      </c>
      <c r="CO55" s="62" t="b">
        <f t="shared" si="307"/>
        <v>1</v>
      </c>
      <c r="CP55" s="62" t="b">
        <f t="shared" si="307"/>
        <v>1</v>
      </c>
      <c r="CQ55" s="62" t="b">
        <f t="shared" si="307"/>
        <v>1</v>
      </c>
      <c r="CR55" s="62" t="b">
        <f t="shared" si="307"/>
        <v>1</v>
      </c>
      <c r="CS55" s="62" t="b">
        <f t="shared" si="307"/>
        <v>0</v>
      </c>
      <c r="CT55" s="62" t="b">
        <f t="shared" si="307"/>
        <v>0</v>
      </c>
      <c r="CU55" s="62" t="b">
        <f t="shared" si="307"/>
        <v>0</v>
      </c>
      <c r="CV55" s="62" t="b">
        <f t="shared" si="307"/>
        <v>1</v>
      </c>
      <c r="CW55" s="62" t="b">
        <f t="shared" si="307"/>
        <v>1</v>
      </c>
      <c r="CX55" s="62" t="b">
        <f t="shared" si="307"/>
        <v>1</v>
      </c>
      <c r="CY55" s="62" t="b">
        <f t="shared" si="307"/>
        <v>1</v>
      </c>
      <c r="CZ55" s="62" t="b">
        <f t="shared" si="307"/>
        <v>1</v>
      </c>
      <c r="DA55" s="62" t="b">
        <f t="shared" si="307"/>
        <v>0</v>
      </c>
      <c r="DB55" s="62" t="b">
        <f t="shared" si="307"/>
        <v>0</v>
      </c>
      <c r="DC55" s="62" t="b">
        <f t="shared" si="307"/>
        <v>0</v>
      </c>
      <c r="DD55" s="62" t="b">
        <f t="shared" si="307"/>
        <v>1</v>
      </c>
      <c r="DE55" s="62" t="b">
        <f t="shared" si="307"/>
        <v>1</v>
      </c>
      <c r="DF55" s="62" t="b">
        <f t="shared" si="307"/>
        <v>1</v>
      </c>
      <c r="DG55" s="62" t="b">
        <f t="shared" si="307"/>
        <v>1</v>
      </c>
      <c r="DH55" s="62" t="b">
        <f t="shared" ref="DH55:FS55" si="318">OR(DH19&gt;250,DH19&lt;-250)</f>
        <v>1</v>
      </c>
      <c r="DI55" s="62" t="b">
        <f t="shared" si="318"/>
        <v>0</v>
      </c>
      <c r="DJ55" s="62" t="b">
        <f t="shared" si="318"/>
        <v>0</v>
      </c>
      <c r="DK55" s="62" t="b">
        <f t="shared" si="318"/>
        <v>0</v>
      </c>
      <c r="DL55" s="62" t="b">
        <f t="shared" si="318"/>
        <v>1</v>
      </c>
      <c r="DM55" s="62" t="b">
        <f t="shared" si="318"/>
        <v>1</v>
      </c>
      <c r="DN55" s="62" t="b">
        <f t="shared" si="318"/>
        <v>1</v>
      </c>
      <c r="DO55" s="62" t="b">
        <f t="shared" si="318"/>
        <v>1</v>
      </c>
      <c r="DP55" s="62" t="b">
        <f t="shared" si="318"/>
        <v>1</v>
      </c>
      <c r="DQ55" s="62" t="b">
        <f t="shared" si="318"/>
        <v>0</v>
      </c>
      <c r="DR55" s="62" t="b">
        <f t="shared" si="318"/>
        <v>0</v>
      </c>
      <c r="DS55" s="62" t="b">
        <f t="shared" si="318"/>
        <v>0</v>
      </c>
      <c r="DT55" s="62" t="b">
        <f t="shared" si="318"/>
        <v>1</v>
      </c>
      <c r="DU55" s="62" t="b">
        <f t="shared" si="318"/>
        <v>1</v>
      </c>
      <c r="DV55" s="62" t="b">
        <f t="shared" si="318"/>
        <v>1</v>
      </c>
      <c r="DW55" s="62" t="b">
        <f t="shared" si="318"/>
        <v>1</v>
      </c>
      <c r="DX55" s="62" t="b">
        <f t="shared" si="318"/>
        <v>1</v>
      </c>
      <c r="DY55" s="62" t="b">
        <f t="shared" si="318"/>
        <v>0</v>
      </c>
      <c r="DZ55" s="62" t="b">
        <f t="shared" si="318"/>
        <v>0</v>
      </c>
      <c r="EA55" s="62" t="b">
        <f t="shared" si="318"/>
        <v>0</v>
      </c>
      <c r="EB55" s="62" t="b">
        <f t="shared" si="318"/>
        <v>1</v>
      </c>
      <c r="EC55" s="62" t="b">
        <f t="shared" si="318"/>
        <v>1</v>
      </c>
      <c r="ED55" s="62" t="b">
        <f t="shared" si="318"/>
        <v>1</v>
      </c>
      <c r="EE55" s="62" t="b">
        <f t="shared" si="318"/>
        <v>1</v>
      </c>
      <c r="EF55" s="62" t="b">
        <f t="shared" si="318"/>
        <v>1</v>
      </c>
      <c r="EG55" s="62" t="b">
        <f t="shared" si="318"/>
        <v>0</v>
      </c>
      <c r="EH55" s="62" t="b">
        <f t="shared" si="318"/>
        <v>0</v>
      </c>
      <c r="EI55" s="62" t="b">
        <f t="shared" si="318"/>
        <v>0</v>
      </c>
      <c r="EJ55" s="62" t="b">
        <f t="shared" si="318"/>
        <v>1</v>
      </c>
      <c r="EK55" s="62" t="b">
        <f t="shared" si="318"/>
        <v>1</v>
      </c>
      <c r="EL55" s="62" t="b">
        <f t="shared" si="318"/>
        <v>1</v>
      </c>
      <c r="EM55" s="62" t="b">
        <f t="shared" si="318"/>
        <v>1</v>
      </c>
      <c r="EN55" s="62" t="b">
        <f t="shared" si="318"/>
        <v>1</v>
      </c>
      <c r="EO55" s="62" t="b">
        <f t="shared" si="318"/>
        <v>0</v>
      </c>
      <c r="EP55" s="62" t="b">
        <f t="shared" si="318"/>
        <v>0</v>
      </c>
      <c r="EQ55" s="62" t="b">
        <f t="shared" si="318"/>
        <v>0</v>
      </c>
      <c r="ER55" s="62" t="b">
        <f t="shared" si="318"/>
        <v>1</v>
      </c>
      <c r="ES55" s="62" t="b">
        <f t="shared" si="318"/>
        <v>1</v>
      </c>
      <c r="ET55" s="62" t="b">
        <f t="shared" si="318"/>
        <v>1</v>
      </c>
      <c r="EU55" s="62" t="b">
        <f t="shared" si="318"/>
        <v>1</v>
      </c>
      <c r="EV55" s="62" t="b">
        <f t="shared" si="318"/>
        <v>1</v>
      </c>
      <c r="EW55" s="62" t="b">
        <f t="shared" si="318"/>
        <v>0</v>
      </c>
      <c r="EX55" s="62" t="b">
        <f t="shared" si="318"/>
        <v>0</v>
      </c>
      <c r="EY55" s="62" t="b">
        <f t="shared" si="318"/>
        <v>0</v>
      </c>
      <c r="EZ55" s="62" t="b">
        <f t="shared" si="318"/>
        <v>1</v>
      </c>
      <c r="FA55" s="62" t="b">
        <f t="shared" si="318"/>
        <v>1</v>
      </c>
      <c r="FB55" s="62" t="b">
        <f t="shared" si="318"/>
        <v>1</v>
      </c>
      <c r="FC55" s="62" t="b">
        <f t="shared" si="318"/>
        <v>1</v>
      </c>
      <c r="FD55" s="62" t="b">
        <f t="shared" si="318"/>
        <v>1</v>
      </c>
      <c r="FE55" s="62" t="b">
        <f t="shared" si="318"/>
        <v>0</v>
      </c>
      <c r="FF55" s="62" t="b">
        <f t="shared" si="318"/>
        <v>0</v>
      </c>
      <c r="FG55" s="62" t="b">
        <f t="shared" si="318"/>
        <v>0</v>
      </c>
      <c r="FH55" s="62" t="b">
        <f t="shared" si="318"/>
        <v>1</v>
      </c>
      <c r="FI55" s="62" t="b">
        <f t="shared" si="318"/>
        <v>1</v>
      </c>
      <c r="FJ55" s="62" t="b">
        <f t="shared" si="318"/>
        <v>1</v>
      </c>
      <c r="FK55" s="62" t="b">
        <f t="shared" si="318"/>
        <v>1</v>
      </c>
      <c r="FL55" s="62" t="b">
        <f t="shared" si="318"/>
        <v>1</v>
      </c>
      <c r="FM55" s="62" t="b">
        <f t="shared" si="318"/>
        <v>0</v>
      </c>
      <c r="FN55" s="62" t="b">
        <f t="shared" si="318"/>
        <v>0</v>
      </c>
      <c r="FO55" s="62" t="b">
        <f t="shared" si="318"/>
        <v>0</v>
      </c>
      <c r="FP55" s="21" t="b">
        <f t="shared" si="318"/>
        <v>0</v>
      </c>
      <c r="FQ55" s="21" t="b">
        <f t="shared" si="318"/>
        <v>1</v>
      </c>
      <c r="FR55" s="21" t="b">
        <f t="shared" si="318"/>
        <v>1</v>
      </c>
      <c r="FS55" s="21" t="b">
        <f t="shared" si="318"/>
        <v>0</v>
      </c>
      <c r="FT55" s="21" t="b">
        <f t="shared" ref="FT55:IE55" si="319">OR(FT19&gt;250,FT19&lt;-250)</f>
        <v>0</v>
      </c>
      <c r="FU55" s="21" t="b">
        <f t="shared" si="319"/>
        <v>1</v>
      </c>
      <c r="FV55" s="21" t="b">
        <f t="shared" si="319"/>
        <v>1</v>
      </c>
      <c r="FW55" s="21" t="b">
        <f t="shared" si="319"/>
        <v>1</v>
      </c>
      <c r="FX55" s="21" t="b">
        <f t="shared" si="319"/>
        <v>0</v>
      </c>
      <c r="FY55" s="21" t="b">
        <f t="shared" si="319"/>
        <v>0</v>
      </c>
      <c r="FZ55" s="21" t="b">
        <f t="shared" si="319"/>
        <v>0</v>
      </c>
      <c r="GA55" s="21" t="b">
        <f t="shared" si="319"/>
        <v>1</v>
      </c>
      <c r="GB55" s="21" t="b">
        <f t="shared" si="319"/>
        <v>1</v>
      </c>
      <c r="GC55" s="21" t="b">
        <f t="shared" si="319"/>
        <v>1</v>
      </c>
      <c r="GD55" s="21" t="b">
        <f t="shared" si="319"/>
        <v>0</v>
      </c>
      <c r="GE55" s="21" t="b">
        <f t="shared" si="319"/>
        <v>0</v>
      </c>
      <c r="GF55" s="21" t="b">
        <f t="shared" si="319"/>
        <v>0</v>
      </c>
      <c r="GG55" s="21" t="b">
        <f t="shared" si="319"/>
        <v>1</v>
      </c>
      <c r="GH55" s="21" t="b">
        <f t="shared" si="319"/>
        <v>1</v>
      </c>
      <c r="GI55" s="21" t="b">
        <f t="shared" si="319"/>
        <v>1</v>
      </c>
      <c r="GJ55" s="21" t="b">
        <f t="shared" si="319"/>
        <v>0</v>
      </c>
      <c r="GK55" s="21" t="b">
        <f t="shared" si="319"/>
        <v>0</v>
      </c>
      <c r="GL55" s="21" t="b">
        <f t="shared" si="319"/>
        <v>0</v>
      </c>
      <c r="GM55" s="21" t="b">
        <f t="shared" si="319"/>
        <v>1</v>
      </c>
      <c r="GN55" s="21" t="b">
        <f t="shared" si="319"/>
        <v>1</v>
      </c>
      <c r="GO55" s="21" t="b">
        <f t="shared" si="319"/>
        <v>1</v>
      </c>
      <c r="GP55" s="21" t="b">
        <f t="shared" si="319"/>
        <v>0</v>
      </c>
      <c r="GQ55" s="21" t="b">
        <f t="shared" si="319"/>
        <v>0</v>
      </c>
      <c r="GR55" s="21" t="b">
        <f t="shared" si="319"/>
        <v>0</v>
      </c>
      <c r="GS55" s="21" t="b">
        <f t="shared" si="319"/>
        <v>1</v>
      </c>
      <c r="GT55" s="21" t="b">
        <f t="shared" si="319"/>
        <v>1</v>
      </c>
      <c r="GU55" s="21" t="b">
        <f t="shared" si="319"/>
        <v>1</v>
      </c>
      <c r="GV55" s="21" t="b">
        <f t="shared" si="319"/>
        <v>0</v>
      </c>
      <c r="GW55" s="21" t="b">
        <f t="shared" si="319"/>
        <v>0</v>
      </c>
      <c r="GX55" s="21" t="b">
        <f t="shared" si="319"/>
        <v>0</v>
      </c>
      <c r="GY55" s="21" t="b">
        <f t="shared" si="319"/>
        <v>1</v>
      </c>
      <c r="GZ55" s="21" t="b">
        <f t="shared" si="319"/>
        <v>1</v>
      </c>
      <c r="HA55" s="21" t="b">
        <f t="shared" si="319"/>
        <v>1</v>
      </c>
      <c r="HB55" s="21" t="b">
        <f t="shared" si="319"/>
        <v>0</v>
      </c>
      <c r="HC55" s="21" t="b">
        <f t="shared" si="319"/>
        <v>0</v>
      </c>
      <c r="HD55" s="21" t="b">
        <f t="shared" si="319"/>
        <v>0</v>
      </c>
      <c r="HE55" s="21" t="b">
        <f t="shared" si="319"/>
        <v>1</v>
      </c>
      <c r="HF55" s="21" t="b">
        <f t="shared" si="319"/>
        <v>1</v>
      </c>
      <c r="HG55" s="21" t="b">
        <f t="shared" si="319"/>
        <v>1</v>
      </c>
      <c r="HH55" s="21" t="b">
        <f t="shared" si="319"/>
        <v>0</v>
      </c>
      <c r="HI55" s="21" t="b">
        <f t="shared" si="319"/>
        <v>0</v>
      </c>
      <c r="HJ55" s="21" t="b">
        <f t="shared" si="319"/>
        <v>0</v>
      </c>
      <c r="HK55" s="21" t="b">
        <f t="shared" si="319"/>
        <v>1</v>
      </c>
      <c r="HL55" s="21" t="b">
        <f t="shared" si="319"/>
        <v>1</v>
      </c>
      <c r="HM55" s="21" t="b">
        <f t="shared" si="319"/>
        <v>1</v>
      </c>
      <c r="HN55" s="21" t="b">
        <f t="shared" si="319"/>
        <v>0</v>
      </c>
      <c r="HO55" s="21" t="b">
        <f t="shared" si="319"/>
        <v>0</v>
      </c>
      <c r="HP55" s="21" t="b">
        <f t="shared" si="319"/>
        <v>0</v>
      </c>
      <c r="HQ55" s="21" t="b">
        <f t="shared" si="319"/>
        <v>1</v>
      </c>
      <c r="HR55" s="21" t="b">
        <f t="shared" si="319"/>
        <v>1</v>
      </c>
      <c r="HS55" s="21" t="b">
        <f t="shared" si="319"/>
        <v>1</v>
      </c>
      <c r="HT55" s="21" t="b">
        <f t="shared" si="319"/>
        <v>0</v>
      </c>
      <c r="HU55" s="21" t="b">
        <f t="shared" si="319"/>
        <v>0</v>
      </c>
      <c r="HV55" s="21" t="b">
        <f t="shared" si="319"/>
        <v>0</v>
      </c>
      <c r="HW55" s="21" t="b">
        <f t="shared" si="319"/>
        <v>1</v>
      </c>
      <c r="HX55" s="21" t="b">
        <f t="shared" si="319"/>
        <v>1</v>
      </c>
      <c r="HY55" s="21" t="b">
        <f t="shared" si="319"/>
        <v>1</v>
      </c>
      <c r="HZ55" s="21" t="b">
        <f t="shared" si="319"/>
        <v>0</v>
      </c>
      <c r="IA55" s="21" t="b">
        <f t="shared" si="319"/>
        <v>0</v>
      </c>
      <c r="IB55" s="21" t="b">
        <f t="shared" si="319"/>
        <v>0</v>
      </c>
      <c r="IC55" s="21" t="b">
        <f t="shared" si="319"/>
        <v>1</v>
      </c>
      <c r="ID55" s="21" t="b">
        <f t="shared" si="319"/>
        <v>1</v>
      </c>
      <c r="IE55" s="21" t="b">
        <f t="shared" si="319"/>
        <v>1</v>
      </c>
      <c r="IF55" s="21" t="b">
        <f t="shared" ref="IF55:KG55" si="320">OR(IF19&gt;250,IF19&lt;-250)</f>
        <v>0</v>
      </c>
      <c r="IG55" s="21" t="b">
        <f t="shared" si="320"/>
        <v>0</v>
      </c>
      <c r="IH55" s="21" t="b">
        <f t="shared" si="320"/>
        <v>0</v>
      </c>
      <c r="II55" s="21" t="b">
        <f t="shared" si="320"/>
        <v>0</v>
      </c>
      <c r="IJ55" s="21" t="b">
        <f t="shared" si="320"/>
        <v>0</v>
      </c>
      <c r="IK55" s="21" t="b">
        <f t="shared" si="320"/>
        <v>1</v>
      </c>
      <c r="IL55" s="21" t="b">
        <f t="shared" si="320"/>
        <v>0</v>
      </c>
      <c r="IM55" s="40" t="b">
        <f t="shared" si="320"/>
        <v>1</v>
      </c>
      <c r="IN55" s="40" t="b">
        <f t="shared" si="320"/>
        <v>0</v>
      </c>
      <c r="IO55" s="40" t="b">
        <f t="shared" si="320"/>
        <v>0</v>
      </c>
      <c r="IP55" s="21" t="b">
        <f t="shared" si="320"/>
        <v>0</v>
      </c>
      <c r="IQ55" s="21" t="b">
        <f t="shared" ref="IQ55:IW55" si="321">OR(IQ19&gt;250,IQ19&lt;-250)</f>
        <v>1</v>
      </c>
      <c r="IR55" s="21" t="b">
        <f t="shared" si="321"/>
        <v>1</v>
      </c>
      <c r="IS55" s="21" t="b">
        <f t="shared" si="321"/>
        <v>1</v>
      </c>
      <c r="IT55" s="21" t="b">
        <f t="shared" si="321"/>
        <v>0</v>
      </c>
      <c r="IU55" s="21" t="b">
        <f t="shared" si="321"/>
        <v>0</v>
      </c>
      <c r="IV55" s="21" t="b">
        <f t="shared" si="321"/>
        <v>0</v>
      </c>
      <c r="IW55" s="21" t="b">
        <f t="shared" si="321"/>
        <v>0</v>
      </c>
      <c r="IX55" s="21" t="b">
        <f t="shared" si="320"/>
        <v>0</v>
      </c>
      <c r="IY55" s="21" t="b">
        <f t="shared" si="320"/>
        <v>0</v>
      </c>
      <c r="IZ55" s="21" t="b">
        <f t="shared" si="320"/>
        <v>0</v>
      </c>
      <c r="JA55" s="21" t="b">
        <f t="shared" si="320"/>
        <v>0</v>
      </c>
      <c r="JB55" s="21" t="b">
        <f t="shared" si="320"/>
        <v>0</v>
      </c>
      <c r="JC55" s="21" t="b">
        <f t="shared" si="320"/>
        <v>0</v>
      </c>
      <c r="JD55" s="21" t="b">
        <f t="shared" si="320"/>
        <v>1</v>
      </c>
      <c r="JE55" s="21" t="b">
        <f t="shared" si="320"/>
        <v>1</v>
      </c>
      <c r="JF55" s="21" t="b">
        <f t="shared" si="320"/>
        <v>1</v>
      </c>
      <c r="JG55" s="21" t="b">
        <f t="shared" si="320"/>
        <v>1</v>
      </c>
      <c r="JH55" s="21" t="b">
        <f t="shared" si="320"/>
        <v>0</v>
      </c>
      <c r="JI55" s="21" t="b">
        <f t="shared" si="320"/>
        <v>0</v>
      </c>
      <c r="JJ55" s="21" t="b">
        <f t="shared" si="320"/>
        <v>1</v>
      </c>
      <c r="JK55" s="21" t="b">
        <f t="shared" si="320"/>
        <v>0</v>
      </c>
      <c r="JL55" s="21" t="b">
        <f t="shared" si="320"/>
        <v>0</v>
      </c>
      <c r="JM55" s="21" t="b">
        <f t="shared" si="320"/>
        <v>1</v>
      </c>
      <c r="JN55" s="21" t="b">
        <f t="shared" si="320"/>
        <v>1</v>
      </c>
      <c r="JO55" s="21" t="b">
        <f t="shared" si="320"/>
        <v>1</v>
      </c>
      <c r="JP55" s="21" t="b">
        <f t="shared" si="320"/>
        <v>0</v>
      </c>
      <c r="JQ55" s="21" t="b">
        <f t="shared" si="320"/>
        <v>0</v>
      </c>
      <c r="JR55" s="21" t="b">
        <f t="shared" si="320"/>
        <v>1</v>
      </c>
      <c r="JS55" s="21" t="b">
        <f t="shared" si="320"/>
        <v>0</v>
      </c>
      <c r="JT55" s="21" t="b">
        <f t="shared" si="320"/>
        <v>0</v>
      </c>
      <c r="JU55" s="21" t="b">
        <f t="shared" si="320"/>
        <v>1</v>
      </c>
      <c r="JV55" s="21" t="b">
        <f t="shared" si="320"/>
        <v>1</v>
      </c>
      <c r="JW55" s="21" t="b">
        <f t="shared" si="320"/>
        <v>1</v>
      </c>
      <c r="JX55" s="21" t="b">
        <f t="shared" si="320"/>
        <v>0</v>
      </c>
      <c r="JY55" s="21" t="b">
        <f t="shared" si="320"/>
        <v>0</v>
      </c>
      <c r="JZ55" s="21" t="b">
        <f t="shared" si="320"/>
        <v>1</v>
      </c>
      <c r="KA55" s="21" t="b">
        <f t="shared" si="320"/>
        <v>0</v>
      </c>
      <c r="KB55" s="21" t="b">
        <f t="shared" si="320"/>
        <v>0</v>
      </c>
      <c r="KC55" s="21" t="b">
        <f t="shared" si="320"/>
        <v>1</v>
      </c>
      <c r="KD55" s="21" t="b">
        <f t="shared" si="320"/>
        <v>1</v>
      </c>
      <c r="KE55" s="21" t="b">
        <f t="shared" si="320"/>
        <v>1</v>
      </c>
      <c r="KF55" s="21" t="b">
        <f t="shared" si="320"/>
        <v>0</v>
      </c>
      <c r="KG55" s="21" t="b">
        <f t="shared" si="320"/>
        <v>0</v>
      </c>
      <c r="KH55" s="21" t="b">
        <f t="shared" ref="KH55:ML55" si="322">OR(KH19&gt;250,KH19&lt;-250)</f>
        <v>1</v>
      </c>
      <c r="KI55" s="21" t="b">
        <f t="shared" si="322"/>
        <v>0</v>
      </c>
      <c r="KJ55" s="21" t="b">
        <f t="shared" si="322"/>
        <v>0</v>
      </c>
      <c r="KK55" s="21" t="b">
        <f t="shared" si="322"/>
        <v>1</v>
      </c>
      <c r="KL55" s="21" t="b">
        <f t="shared" si="322"/>
        <v>1</v>
      </c>
      <c r="KM55" s="21" t="b">
        <f t="shared" si="322"/>
        <v>1</v>
      </c>
      <c r="KN55" s="21" t="b">
        <f t="shared" si="322"/>
        <v>0</v>
      </c>
      <c r="KO55" s="21" t="b">
        <f t="shared" si="322"/>
        <v>0</v>
      </c>
      <c r="KP55" s="21" t="b">
        <f t="shared" si="322"/>
        <v>1</v>
      </c>
      <c r="KQ55" s="21" t="b">
        <f t="shared" si="322"/>
        <v>0</v>
      </c>
      <c r="KR55" s="21" t="b">
        <f t="shared" si="322"/>
        <v>0</v>
      </c>
      <c r="KS55" s="21" t="b">
        <f t="shared" si="322"/>
        <v>1</v>
      </c>
      <c r="KT55" s="21" t="b">
        <f t="shared" si="322"/>
        <v>1</v>
      </c>
      <c r="KU55" s="21" t="b">
        <f t="shared" si="322"/>
        <v>1</v>
      </c>
      <c r="KV55" s="21" t="b">
        <f t="shared" si="322"/>
        <v>0</v>
      </c>
      <c r="KW55" s="21" t="b">
        <f t="shared" si="322"/>
        <v>0</v>
      </c>
      <c r="KX55" s="21" t="b">
        <f t="shared" si="322"/>
        <v>1</v>
      </c>
      <c r="KY55" s="21" t="b">
        <f t="shared" si="322"/>
        <v>0</v>
      </c>
      <c r="KZ55" s="21" t="b">
        <f t="shared" si="322"/>
        <v>0</v>
      </c>
      <c r="LA55" s="21" t="b">
        <f t="shared" si="322"/>
        <v>1</v>
      </c>
      <c r="LB55" s="21" t="b">
        <f t="shared" si="322"/>
        <v>1</v>
      </c>
      <c r="LC55" s="21" t="b">
        <f t="shared" si="322"/>
        <v>1</v>
      </c>
      <c r="LD55" s="21" t="b">
        <f t="shared" si="322"/>
        <v>0</v>
      </c>
      <c r="LE55" s="21" t="b">
        <f t="shared" si="322"/>
        <v>0</v>
      </c>
      <c r="LF55" s="21" t="b">
        <f t="shared" si="322"/>
        <v>1</v>
      </c>
      <c r="LG55" s="21" t="b">
        <f t="shared" si="322"/>
        <v>0</v>
      </c>
      <c r="LH55" s="21" t="b">
        <f t="shared" si="322"/>
        <v>0</v>
      </c>
      <c r="LI55" s="21" t="b">
        <f t="shared" si="322"/>
        <v>1</v>
      </c>
      <c r="LJ55" s="21" t="b">
        <f t="shared" si="322"/>
        <v>1</v>
      </c>
      <c r="LK55" s="21" t="b">
        <f t="shared" si="322"/>
        <v>1</v>
      </c>
      <c r="LL55" s="21" t="b">
        <f t="shared" si="322"/>
        <v>0</v>
      </c>
      <c r="LM55" s="21" t="b">
        <f t="shared" si="322"/>
        <v>0</v>
      </c>
      <c r="LN55" s="21" t="b">
        <f t="shared" si="322"/>
        <v>1</v>
      </c>
      <c r="LO55" s="21" t="b">
        <f t="shared" si="322"/>
        <v>0</v>
      </c>
      <c r="LP55" s="21" t="b">
        <f t="shared" si="322"/>
        <v>0</v>
      </c>
      <c r="LQ55" s="21" t="b">
        <f t="shared" si="322"/>
        <v>1</v>
      </c>
      <c r="LR55" s="21" t="b">
        <f t="shared" si="322"/>
        <v>1</v>
      </c>
      <c r="LS55" s="21" t="b">
        <f t="shared" si="322"/>
        <v>1</v>
      </c>
      <c r="LT55" s="21" t="b">
        <f t="shared" si="322"/>
        <v>0</v>
      </c>
      <c r="LU55" s="21" t="b">
        <f t="shared" si="322"/>
        <v>0</v>
      </c>
      <c r="LV55" s="21" t="b">
        <f t="shared" si="322"/>
        <v>1</v>
      </c>
      <c r="LW55" s="21" t="b">
        <f t="shared" si="322"/>
        <v>0</v>
      </c>
      <c r="LX55" s="21" t="b">
        <f t="shared" si="322"/>
        <v>0</v>
      </c>
      <c r="LY55" s="21" t="b">
        <f t="shared" si="322"/>
        <v>1</v>
      </c>
      <c r="LZ55" s="21" t="b">
        <f t="shared" si="322"/>
        <v>1</v>
      </c>
      <c r="MA55" s="21" t="b">
        <f t="shared" si="322"/>
        <v>1</v>
      </c>
      <c r="MB55" s="21" t="b">
        <f t="shared" si="322"/>
        <v>0</v>
      </c>
      <c r="MC55" s="1" t="b">
        <f t="shared" si="322"/>
        <v>0</v>
      </c>
      <c r="MD55" s="1" t="b">
        <f t="shared" si="322"/>
        <v>1</v>
      </c>
      <c r="ME55" s="1" t="b">
        <f t="shared" si="322"/>
        <v>0</v>
      </c>
      <c r="MF55" s="1" t="b">
        <f t="shared" si="322"/>
        <v>0</v>
      </c>
      <c r="MG55" s="1" t="b">
        <f t="shared" si="322"/>
        <v>1</v>
      </c>
      <c r="MH55" s="1" t="b">
        <f t="shared" si="322"/>
        <v>1</v>
      </c>
      <c r="MI55" s="1" t="b">
        <f t="shared" si="322"/>
        <v>1</v>
      </c>
      <c r="MJ55" s="1" t="b">
        <f t="shared" si="322"/>
        <v>0</v>
      </c>
      <c r="MK55" s="1" t="b">
        <f t="shared" si="322"/>
        <v>0</v>
      </c>
      <c r="ML55" s="1" t="b">
        <f t="shared" si="322"/>
        <v>1</v>
      </c>
      <c r="MM55" s="1"/>
      <c r="MN55" s="1"/>
    </row>
    <row r="56" spans="2:352" ht="23.25" customHeight="1" x14ac:dyDescent="0.25">
      <c r="C56" s="21"/>
      <c r="D56" s="21" t="b">
        <f>OR(AND((D18+D12&gt;560),(D18+D12&lt;0)),IF(D18="Not received",C18))</f>
        <v>0</v>
      </c>
      <c r="E56" s="21" t="b">
        <v>0</v>
      </c>
      <c r="F56" s="21" t="b">
        <v>0</v>
      </c>
      <c r="G56" s="21" t="b">
        <v>0</v>
      </c>
      <c r="H56" s="21" t="b">
        <f t="shared" ref="H56:BP56" si="323">AND((H18+H12&gt;560),(H18+H12&lt;0))</f>
        <v>0</v>
      </c>
      <c r="I56" s="21" t="b">
        <f t="shared" si="323"/>
        <v>0</v>
      </c>
      <c r="J56" s="21" t="b">
        <f t="shared" si="323"/>
        <v>0</v>
      </c>
      <c r="K56" s="21" t="b">
        <f t="shared" si="323"/>
        <v>0</v>
      </c>
      <c r="L56" s="21" t="b">
        <f>AND((L18+L12&gt;560),(L18+L12&lt;0))</f>
        <v>0</v>
      </c>
      <c r="M56" s="21" t="b">
        <f t="shared" si="323"/>
        <v>0</v>
      </c>
      <c r="N56" s="21" t="b">
        <v>0</v>
      </c>
      <c r="O56" s="21" t="b">
        <f t="shared" si="323"/>
        <v>0</v>
      </c>
      <c r="P56" s="21" t="b">
        <f>AND((P18+P12&gt;560),(P18+P12&lt;0))</f>
        <v>0</v>
      </c>
      <c r="Q56" s="21" t="b">
        <f t="shared" si="323"/>
        <v>0</v>
      </c>
      <c r="R56" s="21" t="b">
        <v>0</v>
      </c>
      <c r="S56" s="21" t="b">
        <v>0</v>
      </c>
      <c r="T56" s="21" t="b">
        <v>0</v>
      </c>
      <c r="U56" s="21" t="b">
        <f t="shared" ref="U56:W56" si="324">AND((U18+U12&gt;560),(U18+U12&lt;0))</f>
        <v>0</v>
      </c>
      <c r="V56" s="21" t="b">
        <f t="shared" si="324"/>
        <v>0</v>
      </c>
      <c r="W56" s="21" t="b">
        <f t="shared" si="324"/>
        <v>0</v>
      </c>
      <c r="X56" s="21" t="b">
        <f>AND((X18+X12&gt;560),(X18+X12&lt;0))</f>
        <v>0</v>
      </c>
      <c r="Y56" s="21" t="b">
        <f t="shared" ref="Y56" si="325">AND((Y18+Y12&gt;560),(Y18+Y12&lt;0))</f>
        <v>0</v>
      </c>
      <c r="Z56" s="21" t="b">
        <v>0</v>
      </c>
      <c r="AA56" s="21" t="b">
        <f>AND((AA18+AA12&gt;560),(AA18+AA12&lt;0))</f>
        <v>0</v>
      </c>
      <c r="AB56" s="21" t="b">
        <f>AND((AB18+AB12&gt;560),(AB18+AB12&lt;0))</f>
        <v>0</v>
      </c>
      <c r="AC56" s="21" t="b">
        <f>AND((AC18+AC12&gt;560),(AC18+AC12&lt;0))</f>
        <v>0</v>
      </c>
      <c r="AD56" s="21" t="b">
        <v>0</v>
      </c>
      <c r="AE56" s="21" t="b">
        <v>0</v>
      </c>
      <c r="AF56" s="21" t="b">
        <v>0</v>
      </c>
      <c r="AG56" s="21" t="b">
        <f t="shared" ref="AG56:AI56" si="326">AND((AG18+AG12&gt;560),(AG18+AG12&lt;0))</f>
        <v>0</v>
      </c>
      <c r="AH56" s="21" t="b">
        <f t="shared" si="326"/>
        <v>0</v>
      </c>
      <c r="AI56" s="21" t="b">
        <f t="shared" si="326"/>
        <v>0</v>
      </c>
      <c r="AJ56" s="21" t="b">
        <f>AND((AJ18+AJ12&gt;560),(AJ18+AJ12&lt;0))</f>
        <v>0</v>
      </c>
      <c r="AK56" s="21" t="b">
        <f t="shared" ref="AK56" si="327">AND((AK18+AK12&gt;560),(AK18+AK12&lt;0))</f>
        <v>0</v>
      </c>
      <c r="AL56" s="21" t="b">
        <v>0</v>
      </c>
      <c r="AM56" s="21" t="b">
        <f t="shared" ref="AM56" si="328">AND((AM18+AM12&gt;560),(AM18+AM12&lt;0))</f>
        <v>0</v>
      </c>
      <c r="AN56" s="21" t="b">
        <f>AND((AN18+AN12&gt;560),(AN18+AN12&lt;0))</f>
        <v>0</v>
      </c>
      <c r="AO56" s="21" t="b">
        <f t="shared" ref="AO56" si="329">AND((AO18+AO12&gt;560),(AO18+AO12&lt;0))</f>
        <v>0</v>
      </c>
      <c r="AP56" s="21" t="b">
        <v>0</v>
      </c>
      <c r="AQ56" s="21" t="b">
        <v>0</v>
      </c>
      <c r="AR56" s="21" t="b">
        <v>0</v>
      </c>
      <c r="AS56" s="21" t="b">
        <f t="shared" ref="AS56:AU56" si="330">AND((AS18+AS12&gt;560),(AS18+AS12&lt;0))</f>
        <v>0</v>
      </c>
      <c r="AT56" s="21" t="b">
        <f t="shared" si="330"/>
        <v>0</v>
      </c>
      <c r="AU56" s="21" t="b">
        <f t="shared" si="330"/>
        <v>0</v>
      </c>
      <c r="AV56" s="21" t="b">
        <f>AND((AV18+AV12&gt;560),(AV18+AV12&lt;0))</f>
        <v>0</v>
      </c>
      <c r="AW56" s="21" t="b">
        <f t="shared" ref="AW56" si="331">AND((AW18+AW12&gt;560),(AW18+AW12&lt;0))</f>
        <v>0</v>
      </c>
      <c r="AX56" s="21" t="b">
        <v>0</v>
      </c>
      <c r="AY56" s="21" t="b">
        <f t="shared" ref="AY56" si="332">AND((AY18+AY12&gt;560),(AY18+AY12&lt;0))</f>
        <v>0</v>
      </c>
      <c r="AZ56" s="21" t="b">
        <f>AND((AZ18+AZ12&gt;560),(AZ18+AZ12&lt;0))</f>
        <v>0</v>
      </c>
      <c r="BA56" s="21" t="b">
        <f t="shared" ref="BA56" si="333">AND((BA18+BA12&gt;560),(BA18+BA12&lt;0))</f>
        <v>0</v>
      </c>
      <c r="BB56" s="21" t="b">
        <v>0</v>
      </c>
      <c r="BC56" s="21" t="b">
        <v>0</v>
      </c>
      <c r="BD56" s="21" t="b">
        <v>0</v>
      </c>
      <c r="BE56" s="21" t="b">
        <f t="shared" ref="BE56:BG56" si="334">AND((BE18+BE12&gt;560),(BE18+BE12&lt;0))</f>
        <v>0</v>
      </c>
      <c r="BF56" s="21" t="b">
        <f t="shared" si="334"/>
        <v>0</v>
      </c>
      <c r="BG56" s="21" t="b">
        <f t="shared" si="334"/>
        <v>0</v>
      </c>
      <c r="BH56" s="21" t="b">
        <f>AND((BH18+BH12&gt;560),(BH18+BH12&lt;0))</f>
        <v>0</v>
      </c>
      <c r="BI56" s="21" t="b">
        <f t="shared" ref="BI56" si="335">AND((BI18+BI12&gt;560),(BI18+BI12&lt;0))</f>
        <v>0</v>
      </c>
      <c r="BJ56" s="21" t="b">
        <v>0</v>
      </c>
      <c r="BK56" s="21" t="b">
        <f t="shared" ref="BK56" si="336">AND((BK18+BK12&gt;560),(BK18+BK12&lt;0))</f>
        <v>0</v>
      </c>
      <c r="BL56" s="21" t="b">
        <f>AND((BL18+BL12&gt;560),(BL18+BL12&lt;0))</f>
        <v>0</v>
      </c>
      <c r="BM56" s="21" t="b">
        <f t="shared" ref="BM56" si="337">AND((BM18+BM12&gt;560),(BM18+BM12&lt;0))</f>
        <v>0</v>
      </c>
      <c r="BN56" s="21" t="b">
        <f t="shared" si="323"/>
        <v>0</v>
      </c>
      <c r="BO56" s="21" t="b">
        <f t="shared" si="323"/>
        <v>0</v>
      </c>
      <c r="BP56" s="21" t="b">
        <f t="shared" si="323"/>
        <v>0</v>
      </c>
      <c r="BQ56" s="21" t="b">
        <v>0</v>
      </c>
      <c r="BR56" s="21" t="b">
        <v>0</v>
      </c>
      <c r="BS56" s="21" t="b">
        <v>0</v>
      </c>
      <c r="BT56" s="21" t="b">
        <f t="shared" ref="BT56:CD56" si="338">OR(IF(BT18="Not Received",(BS18+BT12&gt;560),BT18+BT12&gt;560),IF(BT18="Not Received",(BS18+BT12&lt;0),BT18+BT12&lt;0))</f>
        <v>0</v>
      </c>
      <c r="BU56" s="21" t="b">
        <f t="shared" si="338"/>
        <v>0</v>
      </c>
      <c r="BV56" s="21" t="b">
        <f t="shared" si="338"/>
        <v>0</v>
      </c>
      <c r="BW56" s="40" t="b">
        <f t="shared" si="338"/>
        <v>0</v>
      </c>
      <c r="BX56" s="21" t="b">
        <f t="shared" si="338"/>
        <v>0</v>
      </c>
      <c r="BY56" s="21" t="b">
        <f t="shared" si="338"/>
        <v>0</v>
      </c>
      <c r="BZ56" s="21" t="b">
        <f t="shared" si="338"/>
        <v>0</v>
      </c>
      <c r="CA56" s="21" t="b">
        <f t="shared" si="338"/>
        <v>0</v>
      </c>
      <c r="CB56" s="21" t="b">
        <f t="shared" si="338"/>
        <v>0</v>
      </c>
      <c r="CC56" s="21" t="b">
        <f t="shared" si="338"/>
        <v>1</v>
      </c>
      <c r="CD56" s="21" t="b">
        <f t="shared" si="338"/>
        <v>1</v>
      </c>
      <c r="CE56" s="21" t="b">
        <f t="shared" ref="CE56:CF56" si="339">OR(IF(CE18="Not Received",(CD18+CE12&gt;750),CE18+CE12&gt;750),IF(CE18="Not Received",(CD18+CE12&lt;-50),CE18+CE12&lt;-50))</f>
        <v>0</v>
      </c>
      <c r="CF56" s="62" t="b">
        <f t="shared" si="339"/>
        <v>0</v>
      </c>
      <c r="CG56" s="62" t="b">
        <v>0</v>
      </c>
      <c r="CH56" s="62" t="b">
        <v>0</v>
      </c>
      <c r="CI56" s="62" t="b">
        <f>OR(IF(CI18="Not Received",(CH18+CI12&gt;750),CI18+CI12&gt;750),IF(CI18="Not Received",(CH18+CI12&lt;-50),CI18+CI12&lt;-50))</f>
        <v>1</v>
      </c>
      <c r="CJ56" s="62" t="b">
        <f>OR(IF(CJ18="Not Received",(#REF!+CJ12&gt;750),CJ18+CJ12&gt;750),IF(CJ18="Not Received",(#REF!+CJ12&lt;-50),CJ18+CJ12&lt;-50))</f>
        <v>0</v>
      </c>
      <c r="CK56" s="62" t="b">
        <f>OR(IF(CK18="Not Received",(CJ18+CK12&gt;750),CK18+CK12&gt;750),IF(CK18="Not Received",(CJ18+CK12&lt;-50),CK18+CK12&lt;-50))</f>
        <v>0</v>
      </c>
      <c r="CL56" s="62" t="b">
        <f>OR(IF(CL18="Not Received",(CK18+CL12&gt;750),CL18+CL12&gt;750),IF(CL18="Not Received",(CK18+CL12&lt;-50),CL18+CL12&lt;-50))</f>
        <v>0</v>
      </c>
      <c r="CM56" s="62" t="b">
        <f>OR(IF(CM18="Not Received",(#REF!+CM12&gt;750),CM18+CM12&gt;750),IF(CM18="Not Received",(#REF!+CM12&lt;-50),CM18+CM12&lt;-50))</f>
        <v>0</v>
      </c>
      <c r="CN56" s="62" t="b">
        <v>0</v>
      </c>
      <c r="CO56" s="62" t="b">
        <v>0</v>
      </c>
      <c r="CP56" s="62" t="b">
        <v>0</v>
      </c>
      <c r="CQ56" s="62" t="b">
        <f>OR(IF(CQ18="Not Received",(#REF!+CQ12&gt;750),CQ18+CQ12&gt;750),IF(CQ18="Not Received",(#REF!+CQ12&lt;-50),CQ18+CQ12&lt;-50))</f>
        <v>0</v>
      </c>
      <c r="CR56" s="62" t="b">
        <f>OR(IF(CR18="Not Received",(#REF!+CR12&gt;750),CR18+CR12&gt;750),IF(CR18="Not Received",(#REF!+CR12&lt;-50),CR18+CR12&lt;-50))</f>
        <v>0</v>
      </c>
      <c r="CS56" s="62" t="b">
        <f>OR(IF(CS18="Not Received",(#REF!+CS12&gt;750),CS18+CS12&gt;750),IF(CS18="Not Received",(#REF!+CS12&lt;-50),CS18+CS12&lt;-50))</f>
        <v>0</v>
      </c>
      <c r="CT56" s="62" t="b">
        <f>OR(IF(CT18="Not Received",(#REF!+CT12&gt;750),CT18+CT12&gt;750),IF(CT18="Not Received",(#REF!+CT12&lt;-50),CT18+CT12&lt;-50))</f>
        <v>0</v>
      </c>
      <c r="CU56" s="62" t="b">
        <f>OR(IF(CU18="Not Received",(#REF!+CU12&gt;750),CU18+CU12&gt;750),IF(CU18="Not Received",(#REF!+CU12&lt;-50),CU18+CU12&lt;-50))</f>
        <v>0</v>
      </c>
      <c r="CV56" s="62" t="b">
        <v>0</v>
      </c>
      <c r="CW56" s="62" t="b">
        <v>0</v>
      </c>
      <c r="CX56" s="62" t="b">
        <v>0</v>
      </c>
      <c r="CY56" s="62" t="b">
        <f>OR(IF(CY18="Not Received",(CX18+CY12&gt;750),CY18+CY12&gt;750),IF(CY18="Not Received",(CX18+CY12&lt;-50),CY18+CY12&lt;-50))</f>
        <v>0</v>
      </c>
      <c r="CZ56" s="62" t="b">
        <f>OR(IF(CZ18="Not Received",(CY18+CZ12&gt;750),CZ18+CZ12&gt;750),IF(CZ18="Not Received",(CY18+CZ12&lt;-50),CZ18+CZ12&lt;-50))</f>
        <v>0</v>
      </c>
      <c r="DA56" s="62" t="b">
        <f>OR(IF(DA18="Not Received",(CZ18+DA12&gt;750),DA18+DA12&gt;750),IF(DA18="Not Received",(CZ18+DA12&lt;-50),DA18+DA12&lt;-50))</f>
        <v>0</v>
      </c>
      <c r="DB56" s="62" t="b">
        <f>OR(IF(DB18="Not Received",(DA18+DB12&gt;750),DB18+DB12&gt;750),IF(DB18="Not Received",(DA18+DB12&lt;-50),DB18+DB12&lt;-50))</f>
        <v>0</v>
      </c>
      <c r="DC56" s="62" t="b">
        <f>OR(IF(DC18="Not Received",(DB18+DC12&gt;750),DC18+DC12&gt;750),IF(DC18="Not Received",(DB18+DC12&lt;-50),DC18+DC12&lt;-50))</f>
        <v>0</v>
      </c>
      <c r="DD56" s="62" t="b">
        <v>0</v>
      </c>
      <c r="DE56" s="62" t="b">
        <v>0</v>
      </c>
      <c r="DF56" s="62" t="b">
        <v>0</v>
      </c>
      <c r="DG56" s="62" t="b">
        <f>OR(IF(DG18="Not Received",(DF18+DG12&gt;750),DG18+DG12&gt;750),IF(DG18="Not Received",(DF18+DG12&lt;-50),DG18+DG12&lt;-50))</f>
        <v>0</v>
      </c>
      <c r="DH56" s="62" t="b">
        <f>OR(IF(DH18="Not Received",(DG18+DH12&gt;750),DH18+DH12&gt;750),IF(DH18="Not Received",(DG18+DH12&lt;-50),DH18+DH12&lt;-50))</f>
        <v>0</v>
      </c>
      <c r="DI56" s="62" t="b">
        <f>OR(IF(DI18="Not Received",(DH18+DI12&gt;750),DI18+DI12&gt;750),IF(DI18="Not Received",(DH18+DI12&lt;-50),DI18+DI12&lt;-50))</f>
        <v>0</v>
      </c>
      <c r="DJ56" s="62" t="b">
        <f>OR(IF(DJ18="Not Received",(DI18+DJ12&gt;750),DJ18+DJ12&gt;750),IF(DJ18="Not Received",(DI18+DJ12&lt;-50),DJ18+DJ12&lt;-50))</f>
        <v>0</v>
      </c>
      <c r="DK56" s="62" t="b">
        <f>OR(IF(DK18="Not Received",(DJ18+DK12&gt;750),DK18+DK12&gt;750),IF(DK18="Not Received",(DJ18+DK12&lt;-50),DK18+DK12&lt;-50))</f>
        <v>0</v>
      </c>
      <c r="DL56" s="62" t="b">
        <v>0</v>
      </c>
      <c r="DM56" s="62" t="b">
        <v>0</v>
      </c>
      <c r="DN56" s="62" t="b">
        <v>0</v>
      </c>
      <c r="DO56" s="62" t="b">
        <f>OR(IF(DO18="Not Received",(DN18+DO12&gt;750),DO18+DO12&gt;750),IF(DO18="Not Received",(DN18+DO12&lt;-50),DO18+DO12&lt;-50))</f>
        <v>0</v>
      </c>
      <c r="DP56" s="62" t="b">
        <f>OR(IF(DP18="Not Received",(DO18+DP12&gt;750),DP18+DP12&gt;750),IF(DP18="Not Received",(DO18+DP12&lt;-50),DP18+DP12&lt;-50))</f>
        <v>0</v>
      </c>
      <c r="DQ56" s="62" t="b">
        <f>OR(IF(DQ18="Not Received",(DP18+DQ12&gt;750),DQ18+DQ12&gt;750),IF(DQ18="Not Received",(DP18+DQ12&lt;-50),DQ18+DQ12&lt;-50))</f>
        <v>0</v>
      </c>
      <c r="DR56" s="62" t="b">
        <f>OR(IF(DR18="Not Received",(DQ18+DR12&gt;750),DR18+DR12&gt;750),IF(DR18="Not Received",(DQ18+DR12&lt;-50),DR18+DR12&lt;-50))</f>
        <v>0</v>
      </c>
      <c r="DS56" s="62" t="b">
        <f>OR(IF(DS18="Not Received",(DR18+DS12&gt;750),DS18+DS12&gt;750),IF(DS18="Not Received",(DR18+DS12&lt;-50),DS18+DS12&lt;-50))</f>
        <v>0</v>
      </c>
      <c r="DT56" s="62" t="b">
        <v>0</v>
      </c>
      <c r="DU56" s="62" t="b">
        <v>0</v>
      </c>
      <c r="DV56" s="62" t="b">
        <v>0</v>
      </c>
      <c r="DW56" s="62" t="b">
        <f>OR(IF(DW18="Not Received",(DV18+DW12&gt;750),DW18+DW12&gt;750),IF(DW18="Not Received",(DV18+DW12&lt;-50),DW18+DW12&lt;-50))</f>
        <v>0</v>
      </c>
      <c r="DX56" s="62" t="b">
        <f>OR(IF(DX18="Not Received",(DW18+DX12&gt;750),DX18+DX12&gt;750),IF(DX18="Not Received",(DW18+DX12&lt;-50),DX18+DX12&lt;-50))</f>
        <v>0</v>
      </c>
      <c r="DY56" s="62" t="b">
        <f>OR(IF(DY18="Not Received",(DX18+DY12&gt;750),DY18+DY12&gt;750),IF(DY18="Not Received",(DX18+DY12&lt;-50),DY18+DY12&lt;-50))</f>
        <v>0</v>
      </c>
      <c r="DZ56" s="62" t="b">
        <f>OR(IF(DZ18="Not Received",(DY18+DZ12&gt;750),DZ18+DZ12&gt;750),IF(DZ18="Not Received",(DY18+DZ12&lt;-50),DZ18+DZ12&lt;-50))</f>
        <v>0</v>
      </c>
      <c r="EA56" s="62" t="b">
        <f>OR(IF(EA18="Not Received",(DZ18+EA12&gt;750),EA18+EA12&gt;750),IF(EA18="Not Received",(DZ18+EA12&lt;-50),EA18+EA12&lt;-50))</f>
        <v>0</v>
      </c>
      <c r="EB56" s="62" t="b">
        <v>0</v>
      </c>
      <c r="EC56" s="62" t="b">
        <v>0</v>
      </c>
      <c r="ED56" s="62" t="b">
        <v>0</v>
      </c>
      <c r="EE56" s="62" t="b">
        <f>OR(IF(EE18="Not Received",(ED18+EE12&gt;750),EE18+EE12&gt;750),IF(EE18="Not Received",(ED18+EE12&lt;-50),EE18+EE12&lt;-50))</f>
        <v>0</v>
      </c>
      <c r="EF56" s="62" t="b">
        <f>OR(IF(EF18="Not Received",(EE18+EF12&gt;750),EF18+EF12&gt;750),IF(EF18="Not Received",(EE18+EF12&lt;-50),EF18+EF12&lt;-50))</f>
        <v>0</v>
      </c>
      <c r="EG56" s="62" t="b">
        <f>OR(IF(EG18="Not Received",(EF18+EG12&gt;750),EG18+EG12&gt;750),IF(EG18="Not Received",(EF18+EG12&lt;-50),EG18+EG12&lt;-50))</f>
        <v>0</v>
      </c>
      <c r="EH56" s="62" t="b">
        <f>OR(IF(EH18="Not Received",(EG18+EH12&gt;750),EH18+EH12&gt;750),IF(EH18="Not Received",(EG18+EH12&lt;-50),EH18+EH12&lt;-50))</f>
        <v>0</v>
      </c>
      <c r="EI56" s="62" t="b">
        <f>OR(IF(EI18="Not Received",(EH18+EI12&gt;750),EI18+EI12&gt;750),IF(EI18="Not Received",(EH18+EI12&lt;-50),EI18+EI12&lt;-50))</f>
        <v>0</v>
      </c>
      <c r="EJ56" s="62" t="b">
        <v>0</v>
      </c>
      <c r="EK56" s="62" t="b">
        <v>0</v>
      </c>
      <c r="EL56" s="62" t="b">
        <v>0</v>
      </c>
      <c r="EM56" s="62" t="b">
        <f>OR(IF(EM18="Not Received",(EL18+EM12&gt;750),EM18+EM12&gt;750),IF(EM18="Not Received",(EL18+EM12&lt;-50),EM18+EM12&lt;-50))</f>
        <v>0</v>
      </c>
      <c r="EN56" s="62" t="b">
        <f>OR(IF(EN18="Not Received",(EM18+EN12&gt;750),EN18+EN12&gt;750),IF(EN18="Not Received",(EM18+EN12&lt;-50),EN18+EN12&lt;-50))</f>
        <v>0</v>
      </c>
      <c r="EO56" s="62" t="b">
        <f>OR(IF(EO18="Not Received",(EN18+EO12&gt;750),EO18+EO12&gt;750),IF(EO18="Not Received",(EN18+EO12&lt;-50),EO18+EO12&lt;-50))</f>
        <v>0</v>
      </c>
      <c r="EP56" s="62" t="b">
        <f>OR(IF(EP18="Not Received",(EO18+EP12&gt;750),EP18+EP12&gt;750),IF(EP18="Not Received",(EO18+EP12&lt;-50),EP18+EP12&lt;-50))</f>
        <v>0</v>
      </c>
      <c r="EQ56" s="62" t="b">
        <f>OR(IF(EQ18="Not Received",(EP18+EQ12&gt;750),EQ18+EQ12&gt;750),IF(EQ18="Not Received",(EP18+EQ12&lt;-50),EQ18+EQ12&lt;-50))</f>
        <v>0</v>
      </c>
      <c r="ER56" s="62" t="b">
        <v>0</v>
      </c>
      <c r="ES56" s="62" t="b">
        <v>0</v>
      </c>
      <c r="ET56" s="62" t="b">
        <v>0</v>
      </c>
      <c r="EU56" s="62" t="b">
        <f>OR(IF(EU18="Not Received",(ET18+EU12&gt;750),EU18+EU12&gt;750),IF(EU18="Not Received",(ET18+EU12&lt;-50),EU18+EU12&lt;-50))</f>
        <v>0</v>
      </c>
      <c r="EV56" s="62" t="b">
        <f>OR(IF(EV18="Not Received",(EU18+EV12&gt;750),EV18+EV12&gt;750),IF(EV18="Not Received",(EU18+EV12&lt;-50),EV18+EV12&lt;-50))</f>
        <v>0</v>
      </c>
      <c r="EW56" s="62" t="b">
        <f>OR(IF(EW18="Not Received",(EV18+EW12&gt;750),EW18+EW12&gt;750),IF(EW18="Not Received",(EV18+EW12&lt;-50),EW18+EW12&lt;-50))</f>
        <v>0</v>
      </c>
      <c r="EX56" s="62" t="b">
        <f>OR(IF(EX18="Not Received",(EW18+EX12&gt;750),EX18+EX12&gt;750),IF(EX18="Not Received",(EW18+EX12&lt;-50),EX18+EX12&lt;-50))</f>
        <v>0</v>
      </c>
      <c r="EY56" s="62" t="b">
        <f>OR(IF(EY18="Not Received",(EX18+EY12&gt;750),EY18+EY12&gt;750),IF(EY18="Not Received",(EX18+EY12&lt;-50),EY18+EY12&lt;-50))</f>
        <v>0</v>
      </c>
      <c r="EZ56" s="62" t="b">
        <v>0</v>
      </c>
      <c r="FA56" s="62" t="b">
        <v>0</v>
      </c>
      <c r="FB56" s="62" t="b">
        <v>0</v>
      </c>
      <c r="FC56" s="62" t="b">
        <f>OR(IF(FC18="Not Received",(FB18+FC12&gt;750),FC18+FC12&gt;750),IF(FC18="Not Received",(FB18+FC12&lt;-50),FC18+FC12&lt;-50))</f>
        <v>0</v>
      </c>
      <c r="FD56" s="62" t="b">
        <f>OR(IF(FD18="Not Received",(FC18+FD12&gt;750),FD18+FD12&gt;750),IF(FD18="Not Received",(FC18+FD12&lt;-50),FD18+FD12&lt;-50))</f>
        <v>0</v>
      </c>
      <c r="FE56" s="62" t="b">
        <f>OR(IF(FE18="Not Received",(FD18+FE12&gt;750),FE18+FE12&gt;750),IF(FE18="Not Received",(FD18+FE12&lt;-50),FE18+FE12&lt;-50))</f>
        <v>0</v>
      </c>
      <c r="FF56" s="62" t="b">
        <f>OR(IF(FF18="Not Received",(FE18+FF12&gt;750),FF18+FF12&gt;750),IF(FF18="Not Received",(FE18+FF12&lt;-50),FF18+FF12&lt;-50))</f>
        <v>0</v>
      </c>
      <c r="FG56" s="62" t="b">
        <f>OR(IF(FG18="Not Received",(FF18+FG12&gt;750),FG18+FG12&gt;750),IF(FG18="Not Received",(FF18+FG12&lt;-50),FG18+FG12&lt;-50))</f>
        <v>0</v>
      </c>
      <c r="FH56" s="62" t="b">
        <v>0</v>
      </c>
      <c r="FI56" s="62" t="b">
        <v>0</v>
      </c>
      <c r="FJ56" s="62" t="b">
        <v>0</v>
      </c>
      <c r="FK56" s="62" t="b">
        <f>OR(IF(FK18="Not Received",(FJ18+FK12&gt;750),FK18+FK12&gt;750),IF(FK18="Not Received",(FJ18+FK12&lt;-50),FK18+FK12&lt;-50))</f>
        <v>0</v>
      </c>
      <c r="FL56" s="62" t="b">
        <f>OR(IF(FL18="Not Received",(FK18+FL12&gt;750),FL18+FL12&gt;750),IF(FL18="Not Received",(FK18+FL12&lt;-50),FL18+FL12&lt;-50))</f>
        <v>0</v>
      </c>
      <c r="FM56" s="62" t="b">
        <f>OR(IF(FM18="Not Received",(FL18+FM12&gt;750),FM18+FM12&gt;750),IF(FM18="Not Received",(FL18+FM12&lt;-50),FM18+FM12&lt;-50))</f>
        <v>0</v>
      </c>
      <c r="FN56" s="62" t="b">
        <f>OR(IF(FN18="Not Received",(FM18+FN12&gt;750),FN18+FN12&gt;750),IF(FN18="Not Received",(FM18+FN12&lt;-50),FN18+FN12&lt;-50))</f>
        <v>0</v>
      </c>
      <c r="FO56" s="62" t="b">
        <f>OR(IF(FO18="Not Received",(FN18+FO12&gt;750),FO18+FO12&gt;750),IF(FO18="Not Received",(FN18+FO12&lt;-50),FO18+FO12&lt;-50))</f>
        <v>0</v>
      </c>
      <c r="FP56" s="21" t="b">
        <f>OR(IF(FP18="Not Received",(#REF!+FP12&gt;750),FP18+FP12&gt;750),IF(FP18="Not Received",(#REF!+FP12&lt;-50),FP18+FP12&lt;-50))</f>
        <v>0</v>
      </c>
      <c r="FQ56" s="21" t="b">
        <f>OR(IF(FQ18="Not Received",(#REF!+FQ12&gt;750),FQ18+FQ12&gt;750),IF(FQ18="Not Received",(#REF!+FQ12&lt;-50),FQ18+FQ12&lt;-50))</f>
        <v>0</v>
      </c>
      <c r="FR56" s="21" t="b">
        <f>OR(IF(FR18="Not Received",(FQ18+FR12&gt;750),FR18+FR12&gt;750),IF(FR18="Not Received",(FQ18+FR12&lt;-50),FR18+FR12&lt;-50))</f>
        <v>0</v>
      </c>
      <c r="FS56" s="21" t="b">
        <f>OR(IF(FS18="Not Received",(FR18+FS12&gt;750),FS18+FS12&gt;750),IF(FS18="Not Received",(FR18+FS12&lt;-50),FS18+FS12&lt;-50))</f>
        <v>0</v>
      </c>
      <c r="FT56" s="21" t="b">
        <f>OR(IF(FT18="Not Received",(FS18+FT12&gt;750),FT18+FT12&gt;750),IF(FT18="Not Received",(FS18+FT12&lt;-50),FT18+FT12&lt;-50))</f>
        <v>0</v>
      </c>
      <c r="FU56" s="21" t="b">
        <f>OR(IF(FU18="Not Received",(FT18+FU12&gt;750),FU18+FU12&gt;750),IF(FU18="Not Received",(FT18+FU12&lt;-50),FU18+FU12&lt;-50))</f>
        <v>0</v>
      </c>
      <c r="FV56" s="21" t="b">
        <v>0</v>
      </c>
      <c r="FW56" s="21" t="b">
        <v>0</v>
      </c>
      <c r="FX56" s="21" t="b">
        <f>OR(IF(FX18="Not Received",(FW18+FX12&gt;750),FX18+FX12&gt;750),IF(FX18="Not Received",(FW18+FX12&lt;-50),FX18+FX12&lt;-50))</f>
        <v>0</v>
      </c>
      <c r="FY56" s="21" t="b">
        <f>OR(IF(FY18="Not Received",(FX18+FY12&gt;750),FY18+FY12&gt;750),IF(FY18="Not Received",(FX18+FY12&lt;-50),FY18+FY12&lt;-50))</f>
        <v>0</v>
      </c>
      <c r="FZ56" s="21" t="b">
        <f>OR(IF(FZ18="Not Received",(FY18+FZ12&gt;750),FZ18+FZ12&gt;750),IF(FZ18="Not Received",(FY18+FZ12&lt;-50),FZ18+FZ12&lt;-50))</f>
        <v>0</v>
      </c>
      <c r="GA56" s="21" t="b">
        <f>OR(IF(GA18="Not Received",(FZ18+GA12&gt;750),GA18+GA12&gt;750),IF(GA18="Not Received",(FZ18+GA12&lt;-50),GA18+GA12&lt;-50))</f>
        <v>0</v>
      </c>
      <c r="GB56" s="21" t="b">
        <v>0</v>
      </c>
      <c r="GC56" s="21" t="b">
        <v>0</v>
      </c>
      <c r="GD56" s="21" t="b">
        <f>OR(IF(GD18="Not Received",(GC18+GD12&gt;750),GD18+GD12&gt;750),IF(GD18="Not Received",(GC18+GD12&lt;-50),GD18+GD12&lt;-50))</f>
        <v>0</v>
      </c>
      <c r="GE56" s="21" t="b">
        <f>OR(IF(GE18="Not Received",(GD18+GE12&gt;750),GE18+GE12&gt;750),IF(GE18="Not Received",(GD18+GE12&lt;-50),GE18+GE12&lt;-50))</f>
        <v>0</v>
      </c>
      <c r="GF56" s="21" t="b">
        <f>OR(IF(GF18="Not Received",(GE18+GF12&gt;750),GF18+GF12&gt;750),IF(GF18="Not Received",(GE18+GF12&lt;-50),GF18+GF12&lt;-50))</f>
        <v>0</v>
      </c>
      <c r="GG56" s="21" t="b">
        <f>OR(IF(GG18="Not Received",(GF18+GG12&gt;750),GG18+GG12&gt;750),IF(GG18="Not Received",(GF18+GG12&lt;-50),GG18+GG12&lt;-50))</f>
        <v>0</v>
      </c>
      <c r="GH56" s="21" t="b">
        <v>0</v>
      </c>
      <c r="GI56" s="21" t="b">
        <v>0</v>
      </c>
      <c r="GJ56" s="21" t="b">
        <f>OR(IF(GJ18="Not Received",(GI18+GJ12&gt;750),GJ18+GJ12&gt;750),IF(GJ18="Not Received",(GI18+GJ12&lt;-50),GJ18+GJ12&lt;-50))</f>
        <v>0</v>
      </c>
      <c r="GK56" s="21" t="b">
        <f>OR(IF(GK18="Not Received",(GJ18+GK12&gt;750),GK18+GK12&gt;750),IF(GK18="Not Received",(GJ18+GK12&lt;-50),GK18+GK12&lt;-50))</f>
        <v>0</v>
      </c>
      <c r="GL56" s="21" t="b">
        <f>OR(IF(GL18="Not Received",(GK18+GL12&gt;750),GL18+GL12&gt;750),IF(GL18="Not Received",(GK18+GL12&lt;-50),GL18+GL12&lt;-50))</f>
        <v>0</v>
      </c>
      <c r="GM56" s="21" t="b">
        <f>OR(IF(GM18="Not Received",(GL18+GM12&gt;750),GM18+GM12&gt;750),IF(GM18="Not Received",(GL18+GM12&lt;-50),GM18+GM12&lt;-50))</f>
        <v>0</v>
      </c>
      <c r="GN56" s="21" t="b">
        <v>0</v>
      </c>
      <c r="GO56" s="21" t="b">
        <v>0</v>
      </c>
      <c r="GP56" s="21" t="b">
        <f>OR(IF(GP18="Not Received",(GO18+GP12&gt;750),GP18+GP12&gt;750),IF(GP18="Not Received",(GO18+GP12&lt;-50),GP18+GP12&lt;-50))</f>
        <v>0</v>
      </c>
      <c r="GQ56" s="21" t="b">
        <f>OR(IF(GQ18="Not Received",(GP18+GQ12&gt;750),GQ18+GQ12&gt;750),IF(GQ18="Not Received",(GP18+GQ12&lt;-50),GQ18+GQ12&lt;-50))</f>
        <v>0</v>
      </c>
      <c r="GR56" s="21" t="b">
        <f>OR(IF(GR18="Not Received",(GQ18+GR12&gt;750),GR18+GR12&gt;750),IF(GR18="Not Received",(GQ18+GR12&lt;-50),GR18+GR12&lt;-50))</f>
        <v>0</v>
      </c>
      <c r="GS56" s="21" t="b">
        <f>OR(IF(GS18="Not Received",(GR18+GS12&gt;750),GS18+GS12&gt;750),IF(GS18="Not Received",(GR18+GS12&lt;-50),GS18+GS12&lt;-50))</f>
        <v>0</v>
      </c>
      <c r="GT56" s="21" t="b">
        <v>0</v>
      </c>
      <c r="GU56" s="21" t="b">
        <v>0</v>
      </c>
      <c r="GV56" s="21" t="b">
        <f>OR(IF(GV18="Not Received",(GU18+GV12&gt;750),GV18+GV12&gt;750),IF(GV18="Not Received",(GU18+GV12&lt;-50),GV18+GV12&lt;-50))</f>
        <v>0</v>
      </c>
      <c r="GW56" s="21" t="b">
        <f>OR(IF(GW18="Not Received",(GV18+GW12&gt;750),GW18+GW12&gt;750),IF(GW18="Not Received",(GV18+GW12&lt;-50),GW18+GW12&lt;-50))</f>
        <v>0</v>
      </c>
      <c r="GX56" s="21" t="b">
        <f>OR(IF(GX18="Not Received",(GW18+GX12&gt;750),GX18+GX12&gt;750),IF(GX18="Not Received",(GW18+GX12&lt;-50),GX18+GX12&lt;-50))</f>
        <v>0</v>
      </c>
      <c r="GY56" s="21" t="b">
        <f>OR(IF(GY18="Not Received",(GX18+GY12&gt;750),GY18+GY12&gt;750),IF(GY18="Not Received",(GX18+GY12&lt;-50),GY18+GY12&lt;-50))</f>
        <v>0</v>
      </c>
      <c r="GZ56" s="21" t="b">
        <v>0</v>
      </c>
      <c r="HA56" s="21" t="b">
        <v>0</v>
      </c>
      <c r="HB56" s="21" t="b">
        <f>OR(IF(HB18="Not Received",(HA18+HB12&gt;750),HB18+HB12&gt;750),IF(HB18="Not Received",(HA18+HB12&lt;-50),HB18+HB12&lt;-50))</f>
        <v>0</v>
      </c>
      <c r="HC56" s="21" t="b">
        <f>OR(IF(HC18="Not Received",(HB18+HC12&gt;750),HC18+HC12&gt;750),IF(HC18="Not Received",(HB18+HC12&lt;-50),HC18+HC12&lt;-50))</f>
        <v>0</v>
      </c>
      <c r="HD56" s="21" t="b">
        <f>OR(IF(HD18="Not Received",(HC18+HD12&gt;750),HD18+HD12&gt;750),IF(HD18="Not Received",(HC18+HD12&lt;-50),HD18+HD12&lt;-50))</f>
        <v>0</v>
      </c>
      <c r="HE56" s="21" t="b">
        <f>OR(IF(HE18="Not Received",(HD18+HE12&gt;750),HE18+HE12&gt;750),IF(HE18="Not Received",(HD18+HE12&lt;-50),HE18+HE12&lt;-50))</f>
        <v>0</v>
      </c>
      <c r="HF56" s="21" t="b">
        <v>0</v>
      </c>
      <c r="HG56" s="21" t="b">
        <v>0</v>
      </c>
      <c r="HH56" s="21" t="b">
        <f>OR(IF(HH18="Not Received",(HG18+HH12&gt;750),HH18+HH12&gt;750),IF(HH18="Not Received",(HG18+HH12&lt;-50),HH18+HH12&lt;-50))</f>
        <v>0</v>
      </c>
      <c r="HI56" s="21" t="b">
        <f>OR(IF(HI18="Not Received",(HH18+HI12&gt;750),HI18+HI12&gt;750),IF(HI18="Not Received",(HH18+HI12&lt;-50),HI18+HI12&lt;-50))</f>
        <v>0</v>
      </c>
      <c r="HJ56" s="21" t="b">
        <f>OR(IF(HJ18="Not Received",(HI18+HJ12&gt;750),HJ18+HJ12&gt;750),IF(HJ18="Not Received",(HI18+HJ12&lt;-50),HJ18+HJ12&lt;-50))</f>
        <v>0</v>
      </c>
      <c r="HK56" s="21" t="b">
        <f>OR(IF(HK18="Not Received",(HJ18+HK12&gt;750),HK18+HK12&gt;750),IF(HK18="Not Received",(HJ18+HK12&lt;-50),HK18+HK12&lt;-50))</f>
        <v>0</v>
      </c>
      <c r="HL56" s="21" t="b">
        <v>0</v>
      </c>
      <c r="HM56" s="21" t="b">
        <v>0</v>
      </c>
      <c r="HN56" s="21" t="b">
        <f>OR(IF(HN18="Not Received",(HM18+HN12&gt;750),HN18+HN12&gt;750),IF(HN18="Not Received",(HM18+HN12&lt;-50),HN18+HN12&lt;-50))</f>
        <v>0</v>
      </c>
      <c r="HO56" s="21" t="b">
        <f>OR(IF(HO18="Not Received",(HN18+HO12&gt;750),HO18+HO12&gt;750),IF(HO18="Not Received",(HN18+HO12&lt;-50),HO18+HO12&lt;-50))</f>
        <v>0</v>
      </c>
      <c r="HP56" s="21" t="b">
        <f>OR(IF(HP18="Not Received",(HO18+HP12&gt;750),HP18+HP12&gt;750),IF(HP18="Not Received",(HO18+HP12&lt;-50),HP18+HP12&lt;-50))</f>
        <v>0</v>
      </c>
      <c r="HQ56" s="21" t="b">
        <f>OR(IF(HQ18="Not Received",(HP18+HQ12&gt;750),HQ18+HQ12&gt;750),IF(HQ18="Not Received",(HP18+HQ12&lt;-50),HQ18+HQ12&lt;-50))</f>
        <v>0</v>
      </c>
      <c r="HR56" s="21" t="b">
        <v>0</v>
      </c>
      <c r="HS56" s="21" t="b">
        <v>0</v>
      </c>
      <c r="HT56" s="21" t="b">
        <f>OR(IF(HT18="Not Received",(HS18+HT12&gt;750),HT18+HT12&gt;750),IF(HT18="Not Received",(HS18+HT12&lt;-50),HT18+HT12&lt;-50))</f>
        <v>0</v>
      </c>
      <c r="HU56" s="21" t="b">
        <f>OR(IF(HU18="Not Received",(HT18+HU12&gt;750),HU18+HU12&gt;750),IF(HU18="Not Received",(HT18+HU12&lt;-50),HU18+HU12&lt;-50))</f>
        <v>0</v>
      </c>
      <c r="HV56" s="21" t="b">
        <f>OR(IF(HV18="Not Received",(HU18+HV12&gt;750),HV18+HV12&gt;750),IF(HV18="Not Received",(HU18+HV12&lt;-50),HV18+HV12&lt;-50))</f>
        <v>0</v>
      </c>
      <c r="HW56" s="21" t="b">
        <f>OR(IF(HW18="Not Received",(HV18+HW12&gt;750),HW18+HW12&gt;750),IF(HW18="Not Received",(HV18+HW12&lt;-50),HW18+HW12&lt;-50))</f>
        <v>0</v>
      </c>
      <c r="HX56" s="21" t="b">
        <v>0</v>
      </c>
      <c r="HY56" s="21" t="b">
        <v>0</v>
      </c>
      <c r="HZ56" s="21" t="b">
        <f>OR(IF(HZ18="Not Received",(HY18+HZ12&gt;750),HZ18+HZ12&gt;750),IF(HZ18="Not Received",(HY18+HZ12&lt;-50),HZ18+HZ12&lt;-50))</f>
        <v>0</v>
      </c>
      <c r="IA56" s="21" t="b">
        <f>OR(IF(IA18="Not Received",(HZ18+IA12&gt;750),IA18+IA12&gt;750),IF(IA18="Not Received",(HZ18+IA12&lt;-50),IA18+IA12&lt;-50))</f>
        <v>0</v>
      </c>
      <c r="IB56" s="21" t="b">
        <f>OR(IF(IB18="Not Received",(IA18+IB12&gt;750),IB18+IB12&gt;750),IF(IB18="Not Received",(IA18+IB12&lt;-50),IB18+IB12&lt;-50))</f>
        <v>0</v>
      </c>
      <c r="IC56" s="21" t="b">
        <f>OR(IF(IC18="Not Received",(IB18+IC12&gt;750),IC18+IC12&gt;750),IF(IC18="Not Received",(IB18+IC12&lt;-50),IC18+IC12&lt;-50))</f>
        <v>0</v>
      </c>
      <c r="ID56" s="21" t="b">
        <v>0</v>
      </c>
      <c r="IE56" s="21" t="b">
        <v>0</v>
      </c>
      <c r="IF56" s="21" t="b">
        <f>OR(IF(IF18="Not Received",(IE18+IF12&gt;750),IF18+IF12&gt;750),IF(IF18="Not Received",(IE18+IF12&lt;-50),IF18+IF12&lt;-50))</f>
        <v>0</v>
      </c>
      <c r="IG56" s="21" t="b">
        <f>OR(IF(IG18="Not Received",(IF18+IG12&gt;750),IG18+IG12&gt;750),IF(IG18="Not Received",(IF18+IG12&lt;-50),IG18+IG12&lt;-50))</f>
        <v>0</v>
      </c>
      <c r="IH56" s="21" t="b">
        <f>OR(IF(IH18="Not Received",(IG18+IH12&gt;750),IH18+IH12&gt;750),IF(IH18="Not Received",(IG18+IH12&lt;-50),IH18+IH12&lt;-50))</f>
        <v>0</v>
      </c>
      <c r="II56" s="21" t="b">
        <f>OR(IF(II18="Not Received",(#REF!+II12&gt;750),II18+II12&gt;750),IF(II18="Not Received",(#REF!+II12&lt;-50),II18+II12&lt;-50))</f>
        <v>0</v>
      </c>
      <c r="IJ56" s="21" t="b">
        <f>OR(IF(IJ18="Not Received",(#REF!+IJ12&gt;750),IJ18+IJ12&gt;750),IF(IJ18="Not Received",(#REF!+IJ12&lt;-50),IJ18+IJ12&lt;-50))</f>
        <v>0</v>
      </c>
      <c r="IK56" s="21" t="b">
        <f t="shared" ref="IK56:IP56" si="340">OR(IF(IK18="Not Received",(IJ18+IK12&gt;750),IK18+IK12&gt;750),IF(IK18="Not Received",(IJ18+IK12&lt;-50),IK18+IK12&lt;-50))</f>
        <v>0</v>
      </c>
      <c r="IL56" s="21" t="b">
        <f t="shared" si="340"/>
        <v>0</v>
      </c>
      <c r="IM56" s="40" t="b">
        <f t="shared" si="340"/>
        <v>0</v>
      </c>
      <c r="IN56" s="40" t="b">
        <f t="shared" si="340"/>
        <v>0</v>
      </c>
      <c r="IO56" s="40" t="b">
        <f t="shared" si="340"/>
        <v>0</v>
      </c>
      <c r="IP56" s="21" t="b">
        <f t="shared" si="340"/>
        <v>1</v>
      </c>
      <c r="IQ56" s="21" t="b">
        <f t="shared" ref="IQ56" si="341">OR(IF(IQ18="Not Received",(IP18+IQ12&gt;750),IQ18+IQ12&gt;750),IF(IQ18="Not Received",(IP18+IQ12&lt;-50),IQ18+IQ12&lt;-50))</f>
        <v>1</v>
      </c>
      <c r="IR56" s="21" t="b">
        <v>1</v>
      </c>
      <c r="IS56" s="21" t="b">
        <v>1</v>
      </c>
      <c r="IT56" s="21" t="b">
        <f t="shared" ref="IT56" si="342">OR(IF(IT18="Not Received",(IS18+IT12&gt;750),IT18+IT12&gt;750),IF(IT18="Not Received",(IS18+IT12&lt;-50),IT18+IT12&lt;-50))</f>
        <v>0</v>
      </c>
      <c r="IU56" s="21" t="b">
        <f t="shared" ref="IU56" si="343">OR(IF(IU18="Not Received",(IT18+IU12&gt;750),IU18+IU12&gt;750),IF(IU18="Not Received",(IT18+IU12&lt;-50),IU18+IU12&lt;-50))</f>
        <v>0</v>
      </c>
      <c r="IV56" s="21" t="b">
        <f t="shared" ref="IV56" si="344">OR(IF(IV18="Not Received",(IU18+IV12&gt;750),IV18+IV12&gt;750),IF(IV18="Not Received",(IU18+IV12&lt;-50),IV18+IV12&lt;-50))</f>
        <v>0</v>
      </c>
      <c r="IW56" s="21" t="b">
        <f t="shared" ref="IW56" si="345">OR(IF(IW18="Not Received",(IV18+IW12&gt;750),IW18+IW12&gt;750),IF(IW18="Not Received",(IV18+IW12&lt;-50),IW18+IW12&lt;-50))</f>
        <v>0</v>
      </c>
      <c r="IX56" s="21" t="b">
        <f t="shared" ref="IX56:JD56" si="346">OR(IF(IX18="Not Received",(IW18+IX12&gt;750),IX18+IX12&gt;750),IF(IX18="Not Received",(IW18+IX12&lt;-50),IX18+IX12&lt;-50))</f>
        <v>0</v>
      </c>
      <c r="IY56" s="21" t="b">
        <f t="shared" si="346"/>
        <v>0</v>
      </c>
      <c r="IZ56" s="21" t="b">
        <f t="shared" si="346"/>
        <v>0</v>
      </c>
      <c r="JA56" s="21" t="b">
        <f t="shared" si="346"/>
        <v>0</v>
      </c>
      <c r="JB56" s="21" t="b">
        <f t="shared" si="346"/>
        <v>1</v>
      </c>
      <c r="JC56" s="21" t="b">
        <f t="shared" si="346"/>
        <v>1</v>
      </c>
      <c r="JD56" s="21" t="b">
        <f t="shared" si="346"/>
        <v>1</v>
      </c>
      <c r="JE56" s="21" t="b">
        <v>1</v>
      </c>
      <c r="JF56" s="21" t="b">
        <v>1</v>
      </c>
      <c r="JG56" s="21" t="b">
        <v>1</v>
      </c>
      <c r="JH56" s="21" t="b">
        <f>OR(IF(JH18="Not Received",(JG18+JH12&gt;750),JH18+JH12&gt;750),IF(JH18="Not Received",(JG18+JH12&lt;-50),JH18+JH12&lt;-50))</f>
        <v>1</v>
      </c>
      <c r="JI56" s="21" t="b">
        <f>OR(IF(JI18="Not Received",(JH18+JI12&gt;750),JI18+JI12&gt;750),IF(JI18="Not Received",(JH18+JI12&lt;-50),JI18+JI12&lt;-50))</f>
        <v>1</v>
      </c>
      <c r="JJ56" s="21" t="b">
        <f>OR(IF(JJ18="Not Received",(JI18+JJ12&gt;750),JJ18+JJ12&gt;750),IF(JJ18="Not Received",(JI18+JJ12&lt;-50),JJ18+JJ12&lt;-50))</f>
        <v>1</v>
      </c>
      <c r="JK56" s="21" t="b">
        <f>OR(IF(JK18="Not Received",(JJ18+JK12&gt;750),JK18+JK12&gt;750),IF(JK18="Not Received",(JJ18+JK12&lt;-50),JK18+JK12&lt;-50))</f>
        <v>1</v>
      </c>
      <c r="JL56" s="21" t="b">
        <f>OR(IF(JL18="Not Received",(JK18+JL12&gt;750),JL18+JL12&gt;750),IF(JL18="Not Received",(JK18+JL12&lt;-50),JL18+JL12&lt;-50))</f>
        <v>1</v>
      </c>
      <c r="JM56" s="21" t="b">
        <v>1</v>
      </c>
      <c r="JN56" s="21" t="b">
        <v>1</v>
      </c>
      <c r="JO56" s="21" t="b">
        <v>1</v>
      </c>
      <c r="JP56" s="21" t="b">
        <f>OR(IF(JP18="Not Received",(JO18+JP12&gt;750),JP18+JP12&gt;750),IF(JP18="Not Received",(JO18+JP12&lt;-50),JP18+JP12&lt;-50))</f>
        <v>1</v>
      </c>
      <c r="JQ56" s="21" t="b">
        <f>OR(IF(JQ18="Not Received",(JP18+JQ12&gt;750),JQ18+JQ12&gt;750),IF(JQ18="Not Received",(JP18+JQ12&lt;-50),JQ18+JQ12&lt;-50))</f>
        <v>1</v>
      </c>
      <c r="JR56" s="21" t="b">
        <f>OR(IF(JR18="Not Received",(JQ18+JR12&gt;750),JR18+JR12&gt;750),IF(JR18="Not Received",(JQ18+JR12&lt;-50),JR18+JR12&lt;-50))</f>
        <v>1</v>
      </c>
      <c r="JS56" s="21" t="b">
        <f>OR(IF(JS18="Not Received",(JR18+JS12&gt;750),JS18+JS12&gt;750),IF(JS18="Not Received",(JR18+JS12&lt;-50),JS18+JS12&lt;-50))</f>
        <v>1</v>
      </c>
      <c r="JT56" s="21" t="b">
        <f>OR(IF(JT18="Not Received",(JS18+JT12&gt;750),JT18+JT12&gt;750),IF(JT18="Not Received",(JS18+JT12&lt;-50),JT18+JT12&lt;-50))</f>
        <v>1</v>
      </c>
      <c r="JU56" s="21" t="b">
        <v>1</v>
      </c>
      <c r="JV56" s="21" t="b">
        <v>1</v>
      </c>
      <c r="JW56" s="21" t="b">
        <v>1</v>
      </c>
      <c r="JX56" s="21" t="b">
        <f>OR(IF(JX18="Not Received",(JW18+JX12&gt;750),JX18+JX12&gt;750),IF(JX18="Not Received",(JW18+JX12&lt;-50),JX18+JX12&lt;-50))</f>
        <v>1</v>
      </c>
      <c r="JY56" s="21" t="b">
        <f>OR(IF(JY18="Not Received",(JX18+JY12&gt;750),JY18+JY12&gt;750),IF(JY18="Not Received",(JX18+JY12&lt;-50),JY18+JY12&lt;-50))</f>
        <v>1</v>
      </c>
      <c r="JZ56" s="21" t="b">
        <f>OR(IF(JZ18="Not Received",(JY18+JZ12&gt;750),JZ18+JZ12&gt;750),IF(JZ18="Not Received",(JY18+JZ12&lt;-50),JZ18+JZ12&lt;-50))</f>
        <v>1</v>
      </c>
      <c r="KA56" s="21" t="b">
        <f>OR(IF(KA18="Not Received",(JZ18+KA12&gt;750),KA18+KA12&gt;750),IF(KA18="Not Received",(JZ18+KA12&lt;-50),KA18+KA12&lt;-50))</f>
        <v>1</v>
      </c>
      <c r="KB56" s="21" t="b">
        <f>OR(IF(KB18="Not Received",(KA18+KB12&gt;750),KB18+KB12&gt;750),IF(KB18="Not Received",(KA18+KB12&lt;-50),KB18+KB12&lt;-50))</f>
        <v>1</v>
      </c>
      <c r="KC56" s="21" t="b">
        <v>1</v>
      </c>
      <c r="KD56" s="21" t="b">
        <v>1</v>
      </c>
      <c r="KE56" s="21" t="b">
        <v>1</v>
      </c>
      <c r="KF56" s="21" t="b">
        <f>OR(IF(KF18="Not Received",(KE18+KF12&gt;750),KF18+KF12&gt;750),IF(KF18="Not Received",(KE18+KF12&lt;-50),KF18+KF12&lt;-50))</f>
        <v>1</v>
      </c>
      <c r="KG56" s="21" t="b">
        <f>OR(IF(KG18="Not Received",(KF18+KG12&gt;750),KG18+KG12&gt;750),IF(KG18="Not Received",(KF18+KG12&lt;-50),KG18+KG12&lt;-50))</f>
        <v>1</v>
      </c>
      <c r="KH56" s="21" t="b">
        <f>OR(IF(KH18="Not Received",(KG18+KH12&gt;750),KH18+KH12&gt;750),IF(KH18="Not Received",(KG18+KH12&lt;-50),KH18+KH12&lt;-50))</f>
        <v>1</v>
      </c>
      <c r="KI56" s="21" t="b">
        <f>OR(IF(KI18="Not Received",(KH18+KI12&gt;750),KI18+KI12&gt;750),IF(KI18="Not Received",(KH18+KI12&lt;-50),KI18+KI12&lt;-50))</f>
        <v>1</v>
      </c>
      <c r="KJ56" s="21" t="b">
        <f>OR(IF(KJ18="Not Received",(KI18+KJ12&gt;750),KJ18+KJ12&gt;750),IF(KJ18="Not Received",(KI18+KJ12&lt;-50),KJ18+KJ12&lt;-50))</f>
        <v>1</v>
      </c>
      <c r="KK56" s="21" t="b">
        <v>1</v>
      </c>
      <c r="KL56" s="21" t="b">
        <v>1</v>
      </c>
      <c r="KM56" s="21" t="b">
        <v>1</v>
      </c>
      <c r="KN56" s="21" t="b">
        <f>OR(IF(KN18="Not Received",(KM18+KN12&gt;750),KN18+KN12&gt;750),IF(KN18="Not Received",(KM18+KN12&lt;-50),KN18+KN12&lt;-50))</f>
        <v>1</v>
      </c>
      <c r="KO56" s="21" t="b">
        <f>OR(IF(KO18="Not Received",(KN18+KO12&gt;750),KO18+KO12&gt;750),IF(KO18="Not Received",(KN18+KO12&lt;-50),KO18+KO12&lt;-50))</f>
        <v>1</v>
      </c>
      <c r="KP56" s="21" t="b">
        <f>OR(IF(KP18="Not Received",(KO18+KP12&gt;750),KP18+KP12&gt;750),IF(KP18="Not Received",(KO18+KP12&lt;-50),KP18+KP12&lt;-50))</f>
        <v>1</v>
      </c>
      <c r="KQ56" s="21" t="b">
        <f>OR(IF(KQ18="Not Received",(KP18+KQ12&gt;750),KQ18+KQ12&gt;750),IF(KQ18="Not Received",(KP18+KQ12&lt;-50),KQ18+KQ12&lt;-50))</f>
        <v>1</v>
      </c>
      <c r="KR56" s="21" t="b">
        <f>OR(IF(KR18="Not Received",(KQ18+KR12&gt;750),KR18+KR12&gt;750),IF(KR18="Not Received",(KQ18+KR12&lt;-50),KR18+KR12&lt;-50))</f>
        <v>1</v>
      </c>
      <c r="KS56" s="21" t="b">
        <v>1</v>
      </c>
      <c r="KT56" s="21" t="b">
        <v>1</v>
      </c>
      <c r="KU56" s="21" t="b">
        <v>1</v>
      </c>
      <c r="KV56" s="21" t="b">
        <f>OR(IF(KV18="Not Received",(KU18+KV12&gt;750),KV18+KV12&gt;750),IF(KV18="Not Received",(KU18+KV12&lt;-50),KV18+KV12&lt;-50))</f>
        <v>1</v>
      </c>
      <c r="KW56" s="21" t="b">
        <f>OR(IF(KW18="Not Received",(KV18+KW12&gt;750),KW18+KW12&gt;750),IF(KW18="Not Received",(KV18+KW12&lt;-50),KW18+KW12&lt;-50))</f>
        <v>1</v>
      </c>
      <c r="KX56" s="21" t="b">
        <f>OR(IF(KX18="Not Received",(KW18+KX12&gt;750),KX18+KX12&gt;750),IF(KX18="Not Received",(KW18+KX12&lt;-50),KX18+KX12&lt;-50))</f>
        <v>1</v>
      </c>
      <c r="KY56" s="21" t="b">
        <f>OR(IF(KY18="Not Received",(KX18+KY12&gt;750),KY18+KY12&gt;750),IF(KY18="Not Received",(KX18+KY12&lt;-50),KY18+KY12&lt;-50))</f>
        <v>1</v>
      </c>
      <c r="KZ56" s="21" t="b">
        <f>OR(IF(KZ18="Not Received",(KY18+KZ12&gt;750),KZ18+KZ12&gt;750),IF(KZ18="Not Received",(KY18+KZ12&lt;-50),KZ18+KZ12&lt;-50))</f>
        <v>1</v>
      </c>
      <c r="LA56" s="21" t="b">
        <v>1</v>
      </c>
      <c r="LB56" s="21" t="b">
        <v>1</v>
      </c>
      <c r="LC56" s="21" t="b">
        <v>1</v>
      </c>
      <c r="LD56" s="21" t="b">
        <f>OR(IF(LD18="Not Received",(LC18+LD12&gt;750),LD18+LD12&gt;750),IF(LD18="Not Received",(LC18+LD12&lt;-50),LD18+LD12&lt;-50))</f>
        <v>1</v>
      </c>
      <c r="LE56" s="21" t="b">
        <f>OR(IF(LE18="Not Received",(LD18+LE12&gt;750),LE18+LE12&gt;750),IF(LE18="Not Received",(LD18+LE12&lt;-50),LE18+LE12&lt;-50))</f>
        <v>1</v>
      </c>
      <c r="LF56" s="21" t="b">
        <f>OR(IF(LF18="Not Received",(LE18+LF12&gt;750),LF18+LF12&gt;750),IF(LF18="Not Received",(LE18+LF12&lt;-50),LF18+LF12&lt;-50))</f>
        <v>1</v>
      </c>
      <c r="LG56" s="21" t="b">
        <f>OR(IF(LG18="Not Received",(LF18+LG12&gt;750),LG18+LG12&gt;750),IF(LG18="Not Received",(LF18+LG12&lt;-50),LG18+LG12&lt;-50))</f>
        <v>1</v>
      </c>
      <c r="LH56" s="21" t="b">
        <f>OR(IF(LH18="Not Received",(LG18+LH12&gt;750),LH18+LH12&gt;750),IF(LH18="Not Received",(LG18+LH12&lt;-50),LH18+LH12&lt;-50))</f>
        <v>1</v>
      </c>
      <c r="LI56" s="21" t="b">
        <v>1</v>
      </c>
      <c r="LJ56" s="21" t="b">
        <v>1</v>
      </c>
      <c r="LK56" s="21" t="b">
        <v>1</v>
      </c>
      <c r="LL56" s="21" t="b">
        <f>OR(IF(LL18="Not Received",(LK18+LL12&gt;750),LL18+LL12&gt;750),IF(LL18="Not Received",(LK18+LL12&lt;-50),LL18+LL12&lt;-50))</f>
        <v>1</v>
      </c>
      <c r="LM56" s="21" t="b">
        <f>OR(IF(LM18="Not Received",(LL18+LM12&gt;750),LM18+LM12&gt;750),IF(LM18="Not Received",(LL18+LM12&lt;-50),LM18+LM12&lt;-50))</f>
        <v>1</v>
      </c>
      <c r="LN56" s="21" t="b">
        <f>OR(IF(LN18="Not Received",(LM18+LN12&gt;750),LN18+LN12&gt;750),IF(LN18="Not Received",(LM18+LN12&lt;-50),LN18+LN12&lt;-50))</f>
        <v>1</v>
      </c>
      <c r="LO56" s="21" t="b">
        <f>OR(IF(LO18="Not Received",(LN18+LO12&gt;750),LO18+LO12&gt;750),IF(LO18="Not Received",(LN18+LO12&lt;-50),LO18+LO12&lt;-50))</f>
        <v>1</v>
      </c>
      <c r="LP56" s="21" t="b">
        <f>OR(IF(LP18="Not Received",(LO18+LP12&gt;750),LP18+LP12&gt;750),IF(LP18="Not Received",(LO18+LP12&lt;-50),LP18+LP12&lt;-50))</f>
        <v>1</v>
      </c>
      <c r="LQ56" s="21" t="b">
        <v>1</v>
      </c>
      <c r="LR56" s="21" t="b">
        <v>1</v>
      </c>
      <c r="LS56" s="21" t="b">
        <v>1</v>
      </c>
      <c r="LT56" s="21" t="b">
        <f>OR(IF(LT18="Not Received",(LS18+LT12&gt;750),LT18+LT12&gt;750),IF(LT18="Not Received",(LS18+LT12&lt;-50),LT18+LT12&lt;-50))</f>
        <v>1</v>
      </c>
      <c r="LU56" s="21" t="b">
        <f>OR(IF(LU18="Not Received",(LT18+LU12&gt;750),LU18+LU12&gt;750),IF(LU18="Not Received",(LT18+LU12&lt;-50),LU18+LU12&lt;-50))</f>
        <v>1</v>
      </c>
      <c r="LV56" s="21" t="b">
        <f>OR(IF(LV18="Not Received",(LU18+LV12&gt;750),LV18+LV12&gt;750),IF(LV18="Not Received",(LU18+LV12&lt;-50),LV18+LV12&lt;-50))</f>
        <v>1</v>
      </c>
      <c r="LW56" s="21" t="b">
        <f>OR(IF(LW18="Not Received",(LV18+LW12&gt;750),LW18+LW12&gt;750),IF(LW18="Not Received",(LV18+LW12&lt;-50),LW18+LW12&lt;-50))</f>
        <v>1</v>
      </c>
      <c r="LX56" s="21" t="b">
        <f>OR(IF(LX18="Not Received",(LW18+LX12&gt;750),LX18+LX12&gt;750),IF(LX18="Not Received",(LW18+LX12&lt;-50),LX18+LX12&lt;-50))</f>
        <v>1</v>
      </c>
      <c r="LY56" s="21" t="b">
        <v>1</v>
      </c>
      <c r="LZ56" s="21" t="b">
        <v>1</v>
      </c>
      <c r="MA56" s="21" t="b">
        <v>1</v>
      </c>
      <c r="MB56" s="21" t="b">
        <f>OR(IF(MB18="Not Received",(MA18+MB12&gt;750),MB18+MB12&gt;750),IF(MB18="Not Received",(MA18+MB12&lt;-50),MB18+MB12&lt;-50))</f>
        <v>1</v>
      </c>
      <c r="MC56" s="1" t="b">
        <f>OR(IF(MC18="Not Received",(MB18+MC12&gt;750),MC18+MC12&gt;750),IF(MC18="Not Received",(MB18+MC12&lt;-50),MC18+MC12&lt;-50))</f>
        <v>1</v>
      </c>
      <c r="MD56" s="1" t="b">
        <f>OR(IF(MD18="Not Received",(MC18+MD12&gt;750),MD18+MD12&gt;750),IF(MD18="Not Received",(MC18+MD12&lt;-50),MD18+MD12&lt;-50))</f>
        <v>1</v>
      </c>
      <c r="ME56" s="1" t="b">
        <f>OR(IF(ME18="Not Received",(MD18+ME12&gt;750),ME18+ME12&gt;750),IF(ME18="Not Received",(MD18+ME12&lt;-50),ME18+ME12&lt;-50))</f>
        <v>1</v>
      </c>
      <c r="MF56" s="1" t="b">
        <f>OR(IF(MF18="Not Received",(ME18+MF12&gt;750),MF18+MF12&gt;750),IF(MF18="Not Received",(ME18+MF12&lt;-50),MF18+MF12&lt;-50))</f>
        <v>1</v>
      </c>
      <c r="MG56" s="1" t="b">
        <v>1</v>
      </c>
      <c r="MH56" s="1" t="b">
        <v>1</v>
      </c>
      <c r="MI56" s="1" t="b">
        <v>1</v>
      </c>
      <c r="MJ56" s="1" t="b">
        <f>OR(IF(MJ18="Not Received",(MI18+MJ12&gt;750),MJ18+MJ12&gt;750),IF(MJ18="Not Received",(MI18+MJ12&lt;-50),MJ18+MJ12&lt;-50))</f>
        <v>1</v>
      </c>
      <c r="MK56" s="1" t="b">
        <f>OR(IF(MK18="Not Received",(MJ18+MK12&gt;750),MK18+MK12&gt;750),IF(MK18="Not Received",(MJ18+MK12&lt;-50),MK18+MK12&lt;-50))</f>
        <v>1</v>
      </c>
      <c r="ML56" s="1" t="b">
        <f>OR(IF(ML18="Not Received",(MK18+ML12&gt;750),ML18+ML12&gt;750),IF(ML18="Not Received",(MK18+ML12&lt;-50),ML18+ML12&lt;-50))</f>
        <v>1</v>
      </c>
      <c r="MM56" s="1"/>
      <c r="MN56" s="1"/>
    </row>
    <row r="57" spans="2:352" ht="23.25" customHeight="1" x14ac:dyDescent="0.25">
      <c r="FP57" s="20"/>
      <c r="II57" s="20"/>
    </row>
    <row r="58" spans="2:352" ht="23.25" customHeight="1" x14ac:dyDescent="0.25">
      <c r="B58" s="1" t="s">
        <v>53</v>
      </c>
      <c r="C58" s="21"/>
      <c r="D58" s="21" t="b">
        <f t="shared" ref="D58:DG58" si="347">OR(D52,D55:D56)</f>
        <v>0</v>
      </c>
      <c r="E58" s="21" t="b">
        <f t="shared" si="347"/>
        <v>1</v>
      </c>
      <c r="F58" s="21" t="b">
        <f t="shared" si="347"/>
        <v>1</v>
      </c>
      <c r="G58" s="21" t="b">
        <f t="shared" si="347"/>
        <v>1</v>
      </c>
      <c r="H58" s="21" t="b">
        <f t="shared" si="347"/>
        <v>0</v>
      </c>
      <c r="I58" s="21" t="b">
        <f t="shared" si="347"/>
        <v>0</v>
      </c>
      <c r="J58" s="21" t="b">
        <f t="shared" si="347"/>
        <v>0</v>
      </c>
      <c r="K58" s="21" t="b">
        <f t="shared" si="347"/>
        <v>0</v>
      </c>
      <c r="L58" s="21" t="b">
        <f>OR(L52,L55:L56)</f>
        <v>1</v>
      </c>
      <c r="M58" s="21" t="b">
        <f t="shared" si="347"/>
        <v>1</v>
      </c>
      <c r="N58" s="21" t="b">
        <f t="shared" si="347"/>
        <v>1</v>
      </c>
      <c r="O58" s="21" t="b">
        <f t="shared" si="347"/>
        <v>0</v>
      </c>
      <c r="P58" s="21" t="b">
        <f>OR(P52,P55:P56)</f>
        <v>0</v>
      </c>
      <c r="Q58" s="21" t="b">
        <f t="shared" si="347"/>
        <v>0</v>
      </c>
      <c r="R58" s="21" t="b">
        <f t="shared" ref="R58:W58" si="348">OR(R52,R55:R56)</f>
        <v>1</v>
      </c>
      <c r="S58" s="21" t="b">
        <f t="shared" si="348"/>
        <v>1</v>
      </c>
      <c r="T58" s="21" t="b">
        <f t="shared" si="348"/>
        <v>1</v>
      </c>
      <c r="U58" s="21" t="b">
        <f t="shared" si="348"/>
        <v>0</v>
      </c>
      <c r="V58" s="21" t="b">
        <f t="shared" si="348"/>
        <v>0</v>
      </c>
      <c r="W58" s="21" t="b">
        <f t="shared" si="348"/>
        <v>0</v>
      </c>
      <c r="X58" s="21" t="b">
        <f>OR(X52,X55:X56)</f>
        <v>1</v>
      </c>
      <c r="Y58" s="21" t="b">
        <f t="shared" ref="Y58:AA58" si="349">OR(Y52,Y55:Y56)</f>
        <v>1</v>
      </c>
      <c r="Z58" s="21" t="b">
        <f t="shared" si="349"/>
        <v>1</v>
      </c>
      <c r="AA58" s="21" t="b">
        <f t="shared" si="349"/>
        <v>0</v>
      </c>
      <c r="AB58" s="21" t="b">
        <f>OR(AB52,AB55:AB56)</f>
        <v>0</v>
      </c>
      <c r="AC58" s="21" t="b">
        <f t="shared" ref="AC58:AI58" si="350">OR(AC52,AC55:AC56)</f>
        <v>0</v>
      </c>
      <c r="AD58" s="21" t="b">
        <f t="shared" si="350"/>
        <v>1</v>
      </c>
      <c r="AE58" s="21" t="b">
        <f t="shared" si="350"/>
        <v>1</v>
      </c>
      <c r="AF58" s="21" t="b">
        <f t="shared" si="350"/>
        <v>1</v>
      </c>
      <c r="AG58" s="21" t="b">
        <f t="shared" si="350"/>
        <v>0</v>
      </c>
      <c r="AH58" s="21" t="b">
        <f t="shared" si="350"/>
        <v>0</v>
      </c>
      <c r="AI58" s="21" t="b">
        <f t="shared" si="350"/>
        <v>0</v>
      </c>
      <c r="AJ58" s="21" t="b">
        <f>OR(AJ52,AJ55:AJ56)</f>
        <v>1</v>
      </c>
      <c r="AK58" s="21" t="b">
        <f t="shared" ref="AK58:AM58" si="351">OR(AK52,AK55:AK56)</f>
        <v>1</v>
      </c>
      <c r="AL58" s="21" t="b">
        <f t="shared" si="351"/>
        <v>1</v>
      </c>
      <c r="AM58" s="21" t="b">
        <f t="shared" si="351"/>
        <v>0</v>
      </c>
      <c r="AN58" s="21" t="b">
        <f>OR(AN52,AN55:AN56)</f>
        <v>0</v>
      </c>
      <c r="AO58" s="21" t="b">
        <f t="shared" ref="AO58:AU58" si="352">OR(AO52,AO55:AO56)</f>
        <v>0</v>
      </c>
      <c r="AP58" s="21" t="b">
        <f t="shared" si="352"/>
        <v>1</v>
      </c>
      <c r="AQ58" s="21" t="b">
        <f t="shared" si="352"/>
        <v>1</v>
      </c>
      <c r="AR58" s="21" t="b">
        <f t="shared" si="352"/>
        <v>1</v>
      </c>
      <c r="AS58" s="21" t="b">
        <f t="shared" si="352"/>
        <v>0</v>
      </c>
      <c r="AT58" s="21" t="b">
        <f t="shared" si="352"/>
        <v>0</v>
      </c>
      <c r="AU58" s="21" t="b">
        <f t="shared" si="352"/>
        <v>0</v>
      </c>
      <c r="AV58" s="21" t="b">
        <f>OR(AV52,AV55:AV56)</f>
        <v>1</v>
      </c>
      <c r="AW58" s="21" t="b">
        <f t="shared" ref="AW58:AY58" si="353">OR(AW52,AW55:AW56)</f>
        <v>1</v>
      </c>
      <c r="AX58" s="21" t="b">
        <f t="shared" si="353"/>
        <v>1</v>
      </c>
      <c r="AY58" s="21" t="b">
        <f t="shared" si="353"/>
        <v>0</v>
      </c>
      <c r="AZ58" s="21" t="b">
        <f>OR(AZ52,AZ55:AZ56)</f>
        <v>0</v>
      </c>
      <c r="BA58" s="21" t="b">
        <f t="shared" ref="BA58:BG58" si="354">OR(BA52,BA55:BA56)</f>
        <v>0</v>
      </c>
      <c r="BB58" s="21" t="b">
        <f t="shared" si="354"/>
        <v>1</v>
      </c>
      <c r="BC58" s="21" t="b">
        <f t="shared" si="354"/>
        <v>1</v>
      </c>
      <c r="BD58" s="21" t="b">
        <f t="shared" si="354"/>
        <v>1</v>
      </c>
      <c r="BE58" s="21" t="b">
        <f t="shared" si="354"/>
        <v>0</v>
      </c>
      <c r="BF58" s="21" t="b">
        <f t="shared" si="354"/>
        <v>0</v>
      </c>
      <c r="BG58" s="21" t="b">
        <f t="shared" si="354"/>
        <v>0</v>
      </c>
      <c r="BH58" s="21" t="b">
        <f>OR(BH52,BH55:BH56)</f>
        <v>1</v>
      </c>
      <c r="BI58" s="21" t="b">
        <f t="shared" ref="BI58:BK58" si="355">OR(BI52,BI55:BI56)</f>
        <v>1</v>
      </c>
      <c r="BJ58" s="21" t="b">
        <f t="shared" si="355"/>
        <v>1</v>
      </c>
      <c r="BK58" s="21" t="b">
        <f t="shared" si="355"/>
        <v>0</v>
      </c>
      <c r="BL58" s="21" t="b">
        <f>OR(BL52,BL55:BL56)</f>
        <v>0</v>
      </c>
      <c r="BM58" s="21" t="b">
        <f t="shared" ref="BM58" si="356">OR(BM52,BM55:BM56)</f>
        <v>0</v>
      </c>
      <c r="BN58" s="21" t="b">
        <f t="shared" si="347"/>
        <v>1</v>
      </c>
      <c r="BO58" s="21" t="b">
        <f t="shared" si="347"/>
        <v>1</v>
      </c>
      <c r="BP58" s="21" t="b">
        <f t="shared" si="347"/>
        <v>1</v>
      </c>
      <c r="BQ58" s="21" t="b">
        <f t="shared" si="347"/>
        <v>1</v>
      </c>
      <c r="BR58" s="21" t="b">
        <f t="shared" si="347"/>
        <v>1</v>
      </c>
      <c r="BS58" s="21" t="b">
        <f t="shared" si="347"/>
        <v>1</v>
      </c>
      <c r="BT58" s="21" t="b">
        <f t="shared" si="347"/>
        <v>0</v>
      </c>
      <c r="BU58" s="21" t="b">
        <f t="shared" si="347"/>
        <v>0</v>
      </c>
      <c r="BV58" s="21" t="b">
        <f t="shared" si="347"/>
        <v>0</v>
      </c>
      <c r="BW58" s="40" t="b">
        <f t="shared" si="347"/>
        <v>0</v>
      </c>
      <c r="BX58" s="21" t="b">
        <f t="shared" si="347"/>
        <v>0</v>
      </c>
      <c r="BY58" s="21" t="b">
        <f t="shared" si="347"/>
        <v>0</v>
      </c>
      <c r="BZ58" s="21" t="b">
        <f t="shared" si="347"/>
        <v>0</v>
      </c>
      <c r="CA58" s="21" t="b">
        <f t="shared" si="347"/>
        <v>0</v>
      </c>
      <c r="CB58" s="21" t="b">
        <f t="shared" si="347"/>
        <v>0</v>
      </c>
      <c r="CC58" s="21" t="b">
        <f t="shared" si="347"/>
        <v>1</v>
      </c>
      <c r="CD58" s="21" t="b">
        <f t="shared" si="347"/>
        <v>1</v>
      </c>
      <c r="CE58" s="21" t="b">
        <f t="shared" si="347"/>
        <v>1</v>
      </c>
      <c r="CF58" s="62" t="b">
        <f t="shared" si="347"/>
        <v>1</v>
      </c>
      <c r="CG58" s="62" t="b">
        <f t="shared" si="347"/>
        <v>1</v>
      </c>
      <c r="CH58" s="62" t="b">
        <f t="shared" si="347"/>
        <v>1</v>
      </c>
      <c r="CI58" s="62" t="b">
        <f t="shared" si="347"/>
        <v>1</v>
      </c>
      <c r="CJ58" s="62" t="b">
        <f t="shared" si="347"/>
        <v>1</v>
      </c>
      <c r="CK58" s="62" t="b">
        <f t="shared" si="347"/>
        <v>1</v>
      </c>
      <c r="CL58" s="62" t="b">
        <f t="shared" si="347"/>
        <v>1</v>
      </c>
      <c r="CM58" s="62" t="b">
        <f t="shared" si="347"/>
        <v>1</v>
      </c>
      <c r="CN58" s="62" t="b">
        <f t="shared" si="347"/>
        <v>1</v>
      </c>
      <c r="CO58" s="62" t="b">
        <f t="shared" si="347"/>
        <v>1</v>
      </c>
      <c r="CP58" s="62" t="b">
        <f t="shared" si="347"/>
        <v>1</v>
      </c>
      <c r="CQ58" s="62" t="b">
        <f t="shared" si="347"/>
        <v>1</v>
      </c>
      <c r="CR58" s="62" t="b">
        <f t="shared" si="347"/>
        <v>1</v>
      </c>
      <c r="CS58" s="62" t="b">
        <f t="shared" si="347"/>
        <v>1</v>
      </c>
      <c r="CT58" s="62" t="b">
        <f t="shared" si="347"/>
        <v>1</v>
      </c>
      <c r="CU58" s="62" t="b">
        <f t="shared" si="347"/>
        <v>1</v>
      </c>
      <c r="CV58" s="62" t="b">
        <f t="shared" si="347"/>
        <v>1</v>
      </c>
      <c r="CW58" s="62" t="b">
        <f t="shared" si="347"/>
        <v>1</v>
      </c>
      <c r="CX58" s="62" t="b">
        <f t="shared" si="347"/>
        <v>1</v>
      </c>
      <c r="CY58" s="62" t="b">
        <f t="shared" si="347"/>
        <v>1</v>
      </c>
      <c r="CZ58" s="62" t="b">
        <f t="shared" si="347"/>
        <v>1</v>
      </c>
      <c r="DA58" s="62" t="b">
        <f t="shared" si="347"/>
        <v>1</v>
      </c>
      <c r="DB58" s="62" t="b">
        <f t="shared" si="347"/>
        <v>1</v>
      </c>
      <c r="DC58" s="62" t="b">
        <f t="shared" si="347"/>
        <v>1</v>
      </c>
      <c r="DD58" s="62" t="b">
        <f t="shared" si="347"/>
        <v>1</v>
      </c>
      <c r="DE58" s="62" t="b">
        <f t="shared" si="347"/>
        <v>1</v>
      </c>
      <c r="DF58" s="62" t="b">
        <f t="shared" si="347"/>
        <v>1</v>
      </c>
      <c r="DG58" s="62" t="b">
        <f t="shared" si="347"/>
        <v>1</v>
      </c>
      <c r="DH58" s="62" t="b">
        <f t="shared" ref="DH58:FS58" si="357">OR(DH52,DH55:DH56)</f>
        <v>1</v>
      </c>
      <c r="DI58" s="62" t="b">
        <f t="shared" si="357"/>
        <v>1</v>
      </c>
      <c r="DJ58" s="62" t="b">
        <f t="shared" si="357"/>
        <v>1</v>
      </c>
      <c r="DK58" s="62" t="b">
        <f t="shared" si="357"/>
        <v>1</v>
      </c>
      <c r="DL58" s="62" t="b">
        <f t="shared" si="357"/>
        <v>1</v>
      </c>
      <c r="DM58" s="62" t="b">
        <f t="shared" si="357"/>
        <v>1</v>
      </c>
      <c r="DN58" s="62" t="b">
        <f t="shared" si="357"/>
        <v>1</v>
      </c>
      <c r="DO58" s="62" t="b">
        <f t="shared" si="357"/>
        <v>1</v>
      </c>
      <c r="DP58" s="62" t="b">
        <f t="shared" si="357"/>
        <v>1</v>
      </c>
      <c r="DQ58" s="62" t="b">
        <f t="shared" si="357"/>
        <v>1</v>
      </c>
      <c r="DR58" s="62" t="b">
        <f t="shared" si="357"/>
        <v>1</v>
      </c>
      <c r="DS58" s="62" t="b">
        <f t="shared" si="357"/>
        <v>1</v>
      </c>
      <c r="DT58" s="62" t="b">
        <f t="shared" si="357"/>
        <v>1</v>
      </c>
      <c r="DU58" s="62" t="b">
        <f t="shared" si="357"/>
        <v>1</v>
      </c>
      <c r="DV58" s="62" t="b">
        <f t="shared" si="357"/>
        <v>1</v>
      </c>
      <c r="DW58" s="62" t="b">
        <f t="shared" si="357"/>
        <v>1</v>
      </c>
      <c r="DX58" s="62" t="b">
        <f t="shared" si="357"/>
        <v>1</v>
      </c>
      <c r="DY58" s="62" t="b">
        <f t="shared" si="357"/>
        <v>1</v>
      </c>
      <c r="DZ58" s="62" t="b">
        <f t="shared" si="357"/>
        <v>1</v>
      </c>
      <c r="EA58" s="62" t="b">
        <f t="shared" si="357"/>
        <v>1</v>
      </c>
      <c r="EB58" s="62" t="b">
        <f t="shared" si="357"/>
        <v>1</v>
      </c>
      <c r="EC58" s="62" t="b">
        <f t="shared" si="357"/>
        <v>1</v>
      </c>
      <c r="ED58" s="62" t="b">
        <f t="shared" si="357"/>
        <v>1</v>
      </c>
      <c r="EE58" s="62" t="b">
        <f t="shared" si="357"/>
        <v>1</v>
      </c>
      <c r="EF58" s="62" t="b">
        <f t="shared" si="357"/>
        <v>1</v>
      </c>
      <c r="EG58" s="62" t="b">
        <f t="shared" si="357"/>
        <v>1</v>
      </c>
      <c r="EH58" s="62" t="b">
        <f t="shared" si="357"/>
        <v>1</v>
      </c>
      <c r="EI58" s="62" t="b">
        <f t="shared" si="357"/>
        <v>1</v>
      </c>
      <c r="EJ58" s="62" t="b">
        <f t="shared" si="357"/>
        <v>1</v>
      </c>
      <c r="EK58" s="62" t="b">
        <f t="shared" si="357"/>
        <v>1</v>
      </c>
      <c r="EL58" s="62" t="b">
        <f t="shared" si="357"/>
        <v>1</v>
      </c>
      <c r="EM58" s="62" t="b">
        <f t="shared" si="357"/>
        <v>1</v>
      </c>
      <c r="EN58" s="62" t="b">
        <f t="shared" si="357"/>
        <v>1</v>
      </c>
      <c r="EO58" s="62" t="b">
        <f t="shared" si="357"/>
        <v>1</v>
      </c>
      <c r="EP58" s="62" t="b">
        <f t="shared" si="357"/>
        <v>1</v>
      </c>
      <c r="EQ58" s="62" t="b">
        <f t="shared" si="357"/>
        <v>1</v>
      </c>
      <c r="ER58" s="62" t="b">
        <f t="shared" si="357"/>
        <v>1</v>
      </c>
      <c r="ES58" s="62" t="b">
        <f t="shared" si="357"/>
        <v>1</v>
      </c>
      <c r="ET58" s="62" t="b">
        <f t="shared" si="357"/>
        <v>1</v>
      </c>
      <c r="EU58" s="62" t="b">
        <f t="shared" si="357"/>
        <v>1</v>
      </c>
      <c r="EV58" s="62" t="b">
        <f t="shared" si="357"/>
        <v>1</v>
      </c>
      <c r="EW58" s="62" t="b">
        <f t="shared" si="357"/>
        <v>1</v>
      </c>
      <c r="EX58" s="62" t="b">
        <f t="shared" si="357"/>
        <v>1</v>
      </c>
      <c r="EY58" s="62" t="b">
        <f t="shared" si="357"/>
        <v>1</v>
      </c>
      <c r="EZ58" s="62" t="b">
        <f t="shared" si="357"/>
        <v>1</v>
      </c>
      <c r="FA58" s="62" t="b">
        <f t="shared" si="357"/>
        <v>1</v>
      </c>
      <c r="FB58" s="62" t="b">
        <f t="shared" si="357"/>
        <v>1</v>
      </c>
      <c r="FC58" s="62" t="b">
        <f t="shared" si="357"/>
        <v>1</v>
      </c>
      <c r="FD58" s="62" t="b">
        <f t="shared" si="357"/>
        <v>1</v>
      </c>
      <c r="FE58" s="62" t="b">
        <f t="shared" si="357"/>
        <v>1</v>
      </c>
      <c r="FF58" s="62" t="b">
        <f t="shared" si="357"/>
        <v>1</v>
      </c>
      <c r="FG58" s="62" t="b">
        <f t="shared" si="357"/>
        <v>1</v>
      </c>
      <c r="FH58" s="62" t="b">
        <f t="shared" si="357"/>
        <v>1</v>
      </c>
      <c r="FI58" s="62" t="b">
        <f t="shared" si="357"/>
        <v>1</v>
      </c>
      <c r="FJ58" s="62" t="b">
        <f t="shared" si="357"/>
        <v>1</v>
      </c>
      <c r="FK58" s="62" t="b">
        <f t="shared" si="357"/>
        <v>1</v>
      </c>
      <c r="FL58" s="62" t="b">
        <f t="shared" si="357"/>
        <v>1</v>
      </c>
      <c r="FM58" s="62" t="b">
        <f t="shared" si="357"/>
        <v>1</v>
      </c>
      <c r="FN58" s="62" t="b">
        <f t="shared" si="357"/>
        <v>1</v>
      </c>
      <c r="FO58" s="62" t="b">
        <f t="shared" si="357"/>
        <v>1</v>
      </c>
      <c r="FP58" s="21" t="b">
        <f t="shared" si="357"/>
        <v>1</v>
      </c>
      <c r="FQ58" s="21" t="b">
        <f t="shared" si="357"/>
        <v>1</v>
      </c>
      <c r="FR58" s="21" t="b">
        <f t="shared" si="357"/>
        <v>1</v>
      </c>
      <c r="FS58" s="21" t="b">
        <f t="shared" si="357"/>
        <v>0</v>
      </c>
      <c r="FT58" s="21" t="b">
        <f t="shared" ref="FT58:IE58" si="358">OR(FT52,FT55:FT56)</f>
        <v>1</v>
      </c>
      <c r="FU58" s="21" t="b">
        <f t="shared" si="358"/>
        <v>1</v>
      </c>
      <c r="FV58" s="21" t="b">
        <f t="shared" si="358"/>
        <v>1</v>
      </c>
      <c r="FW58" s="21" t="b">
        <f t="shared" si="358"/>
        <v>1</v>
      </c>
      <c r="FX58" s="21" t="b">
        <f t="shared" si="358"/>
        <v>1</v>
      </c>
      <c r="FY58" s="21" t="b">
        <f t="shared" si="358"/>
        <v>1</v>
      </c>
      <c r="FZ58" s="21" t="b">
        <f t="shared" si="358"/>
        <v>1</v>
      </c>
      <c r="GA58" s="21" t="b">
        <f t="shared" si="358"/>
        <v>1</v>
      </c>
      <c r="GB58" s="21" t="b">
        <f t="shared" si="358"/>
        <v>1</v>
      </c>
      <c r="GC58" s="21" t="b">
        <f t="shared" si="358"/>
        <v>1</v>
      </c>
      <c r="GD58" s="21" t="b">
        <f t="shared" si="358"/>
        <v>1</v>
      </c>
      <c r="GE58" s="21" t="b">
        <f t="shared" si="358"/>
        <v>1</v>
      </c>
      <c r="GF58" s="21" t="b">
        <f t="shared" si="358"/>
        <v>1</v>
      </c>
      <c r="GG58" s="21" t="b">
        <f t="shared" si="358"/>
        <v>1</v>
      </c>
      <c r="GH58" s="21" t="b">
        <f t="shared" si="358"/>
        <v>1</v>
      </c>
      <c r="GI58" s="21" t="b">
        <f t="shared" si="358"/>
        <v>1</v>
      </c>
      <c r="GJ58" s="21" t="b">
        <f t="shared" si="358"/>
        <v>1</v>
      </c>
      <c r="GK58" s="21" t="b">
        <f t="shared" si="358"/>
        <v>1</v>
      </c>
      <c r="GL58" s="21" t="b">
        <f t="shared" si="358"/>
        <v>1</v>
      </c>
      <c r="GM58" s="21" t="b">
        <f t="shared" si="358"/>
        <v>1</v>
      </c>
      <c r="GN58" s="21" t="b">
        <f t="shared" si="358"/>
        <v>1</v>
      </c>
      <c r="GO58" s="21" t="b">
        <f t="shared" si="358"/>
        <v>1</v>
      </c>
      <c r="GP58" s="21" t="b">
        <f t="shared" si="358"/>
        <v>1</v>
      </c>
      <c r="GQ58" s="21" t="b">
        <f t="shared" si="358"/>
        <v>1</v>
      </c>
      <c r="GR58" s="21" t="b">
        <f t="shared" si="358"/>
        <v>1</v>
      </c>
      <c r="GS58" s="21" t="b">
        <f t="shared" si="358"/>
        <v>1</v>
      </c>
      <c r="GT58" s="21" t="b">
        <f t="shared" si="358"/>
        <v>1</v>
      </c>
      <c r="GU58" s="21" t="b">
        <f t="shared" si="358"/>
        <v>1</v>
      </c>
      <c r="GV58" s="21" t="b">
        <f t="shared" si="358"/>
        <v>1</v>
      </c>
      <c r="GW58" s="21" t="b">
        <f t="shared" si="358"/>
        <v>1</v>
      </c>
      <c r="GX58" s="21" t="b">
        <f t="shared" si="358"/>
        <v>1</v>
      </c>
      <c r="GY58" s="21" t="b">
        <f t="shared" si="358"/>
        <v>1</v>
      </c>
      <c r="GZ58" s="21" t="b">
        <f t="shared" si="358"/>
        <v>1</v>
      </c>
      <c r="HA58" s="21" t="b">
        <f t="shared" si="358"/>
        <v>1</v>
      </c>
      <c r="HB58" s="21" t="b">
        <f t="shared" si="358"/>
        <v>1</v>
      </c>
      <c r="HC58" s="21" t="b">
        <f t="shared" si="358"/>
        <v>1</v>
      </c>
      <c r="HD58" s="21" t="b">
        <f t="shared" si="358"/>
        <v>1</v>
      </c>
      <c r="HE58" s="21" t="b">
        <f t="shared" si="358"/>
        <v>1</v>
      </c>
      <c r="HF58" s="21" t="b">
        <f t="shared" si="358"/>
        <v>1</v>
      </c>
      <c r="HG58" s="21" t="b">
        <f t="shared" si="358"/>
        <v>1</v>
      </c>
      <c r="HH58" s="21" t="b">
        <f t="shared" si="358"/>
        <v>1</v>
      </c>
      <c r="HI58" s="21" t="b">
        <f t="shared" si="358"/>
        <v>1</v>
      </c>
      <c r="HJ58" s="21" t="b">
        <f t="shared" si="358"/>
        <v>1</v>
      </c>
      <c r="HK58" s="21" t="b">
        <f t="shared" si="358"/>
        <v>1</v>
      </c>
      <c r="HL58" s="21" t="b">
        <f t="shared" si="358"/>
        <v>1</v>
      </c>
      <c r="HM58" s="21" t="b">
        <f t="shared" si="358"/>
        <v>1</v>
      </c>
      <c r="HN58" s="21" t="b">
        <f t="shared" si="358"/>
        <v>1</v>
      </c>
      <c r="HO58" s="21" t="b">
        <f t="shared" si="358"/>
        <v>1</v>
      </c>
      <c r="HP58" s="21" t="b">
        <f t="shared" si="358"/>
        <v>1</v>
      </c>
      <c r="HQ58" s="21" t="b">
        <f t="shared" si="358"/>
        <v>1</v>
      </c>
      <c r="HR58" s="21" t="b">
        <f t="shared" si="358"/>
        <v>1</v>
      </c>
      <c r="HS58" s="21" t="b">
        <f t="shared" si="358"/>
        <v>1</v>
      </c>
      <c r="HT58" s="21" t="b">
        <f t="shared" si="358"/>
        <v>1</v>
      </c>
      <c r="HU58" s="21" t="b">
        <f t="shared" si="358"/>
        <v>1</v>
      </c>
      <c r="HV58" s="21" t="b">
        <f t="shared" si="358"/>
        <v>1</v>
      </c>
      <c r="HW58" s="21" t="b">
        <f t="shared" si="358"/>
        <v>1</v>
      </c>
      <c r="HX58" s="21" t="b">
        <f t="shared" si="358"/>
        <v>1</v>
      </c>
      <c r="HY58" s="21" t="b">
        <f t="shared" si="358"/>
        <v>1</v>
      </c>
      <c r="HZ58" s="21" t="b">
        <f t="shared" si="358"/>
        <v>1</v>
      </c>
      <c r="IA58" s="21" t="b">
        <f t="shared" si="358"/>
        <v>1</v>
      </c>
      <c r="IB58" s="21" t="b">
        <f t="shared" si="358"/>
        <v>1</v>
      </c>
      <c r="IC58" s="21" t="b">
        <f t="shared" si="358"/>
        <v>1</v>
      </c>
      <c r="ID58" s="21" t="b">
        <f t="shared" si="358"/>
        <v>1</v>
      </c>
      <c r="IE58" s="21" t="b">
        <f t="shared" si="358"/>
        <v>1</v>
      </c>
      <c r="IF58" s="21" t="b">
        <f t="shared" ref="IF58:KG58" si="359">OR(IF52,IF55:IF56)</f>
        <v>1</v>
      </c>
      <c r="IG58" s="21" t="b">
        <f t="shared" si="359"/>
        <v>1</v>
      </c>
      <c r="IH58" s="21" t="b">
        <f t="shared" si="359"/>
        <v>1</v>
      </c>
      <c r="II58" s="21" t="b">
        <f t="shared" si="359"/>
        <v>1</v>
      </c>
      <c r="IJ58" s="21" t="b">
        <f t="shared" si="359"/>
        <v>0</v>
      </c>
      <c r="IK58" s="21" t="b">
        <f t="shared" si="359"/>
        <v>1</v>
      </c>
      <c r="IL58" s="21" t="b">
        <f t="shared" si="359"/>
        <v>1</v>
      </c>
      <c r="IM58" s="40" t="b">
        <f t="shared" si="359"/>
        <v>1</v>
      </c>
      <c r="IN58" s="40" t="b">
        <f t="shared" si="359"/>
        <v>0</v>
      </c>
      <c r="IO58" s="40" t="b">
        <f t="shared" si="359"/>
        <v>0</v>
      </c>
      <c r="IP58" s="21" t="b">
        <f t="shared" si="359"/>
        <v>1</v>
      </c>
      <c r="IQ58" s="21" t="b">
        <f t="shared" si="359"/>
        <v>1</v>
      </c>
      <c r="IR58" s="21" t="b">
        <f t="shared" si="359"/>
        <v>1</v>
      </c>
      <c r="IS58" s="21" t="b">
        <f t="shared" si="359"/>
        <v>1</v>
      </c>
      <c r="IT58" s="21" t="b">
        <f t="shared" si="359"/>
        <v>0</v>
      </c>
      <c r="IU58" s="21" t="b">
        <f t="shared" si="359"/>
        <v>0</v>
      </c>
      <c r="IV58" s="21" t="b">
        <f t="shared" si="359"/>
        <v>0</v>
      </c>
      <c r="IW58" s="21" t="b">
        <f t="shared" si="359"/>
        <v>0</v>
      </c>
      <c r="IX58" s="21" t="b">
        <f t="shared" si="359"/>
        <v>0</v>
      </c>
      <c r="IY58" s="21" t="b">
        <f t="shared" si="359"/>
        <v>1</v>
      </c>
      <c r="IZ58" s="21" t="b">
        <f t="shared" si="359"/>
        <v>1</v>
      </c>
      <c r="JA58" s="21" t="b">
        <f t="shared" si="359"/>
        <v>1</v>
      </c>
      <c r="JB58" s="21" t="b">
        <f t="shared" si="359"/>
        <v>1</v>
      </c>
      <c r="JC58" s="21" t="b">
        <f t="shared" si="359"/>
        <v>1</v>
      </c>
      <c r="JD58" s="21" t="b">
        <f t="shared" si="359"/>
        <v>1</v>
      </c>
      <c r="JE58" s="21" t="b">
        <f t="shared" si="359"/>
        <v>1</v>
      </c>
      <c r="JF58" s="21" t="b">
        <f t="shared" si="359"/>
        <v>1</v>
      </c>
      <c r="JG58" s="21" t="b">
        <f t="shared" si="359"/>
        <v>1</v>
      </c>
      <c r="JH58" s="21" t="b">
        <f t="shared" si="359"/>
        <v>1</v>
      </c>
      <c r="JI58" s="21" t="b">
        <f t="shared" si="359"/>
        <v>1</v>
      </c>
      <c r="JJ58" s="21" t="b">
        <f t="shared" si="359"/>
        <v>1</v>
      </c>
      <c r="JK58" s="21" t="b">
        <f t="shared" si="359"/>
        <v>1</v>
      </c>
      <c r="JL58" s="21" t="b">
        <f t="shared" si="359"/>
        <v>1</v>
      </c>
      <c r="JM58" s="21" t="b">
        <f t="shared" si="359"/>
        <v>1</v>
      </c>
      <c r="JN58" s="21" t="b">
        <f t="shared" si="359"/>
        <v>1</v>
      </c>
      <c r="JO58" s="21" t="b">
        <f t="shared" si="359"/>
        <v>1</v>
      </c>
      <c r="JP58" s="21" t="b">
        <f t="shared" si="359"/>
        <v>1</v>
      </c>
      <c r="JQ58" s="21" t="b">
        <f t="shared" si="359"/>
        <v>1</v>
      </c>
      <c r="JR58" s="21" t="b">
        <f t="shared" si="359"/>
        <v>1</v>
      </c>
      <c r="JS58" s="21" t="b">
        <f t="shared" si="359"/>
        <v>1</v>
      </c>
      <c r="JT58" s="21" t="b">
        <f t="shared" si="359"/>
        <v>1</v>
      </c>
      <c r="JU58" s="21" t="b">
        <f t="shared" si="359"/>
        <v>1</v>
      </c>
      <c r="JV58" s="21" t="b">
        <f t="shared" si="359"/>
        <v>1</v>
      </c>
      <c r="JW58" s="21" t="b">
        <f t="shared" si="359"/>
        <v>1</v>
      </c>
      <c r="JX58" s="21" t="b">
        <f t="shared" si="359"/>
        <v>1</v>
      </c>
      <c r="JY58" s="21" t="b">
        <f t="shared" si="359"/>
        <v>1</v>
      </c>
      <c r="JZ58" s="21" t="b">
        <f t="shared" si="359"/>
        <v>1</v>
      </c>
      <c r="KA58" s="21" t="b">
        <f t="shared" si="359"/>
        <v>1</v>
      </c>
      <c r="KB58" s="21" t="b">
        <f t="shared" si="359"/>
        <v>1</v>
      </c>
      <c r="KC58" s="21" t="b">
        <f t="shared" si="359"/>
        <v>1</v>
      </c>
      <c r="KD58" s="21" t="b">
        <f t="shared" si="359"/>
        <v>1</v>
      </c>
      <c r="KE58" s="21" t="b">
        <f t="shared" si="359"/>
        <v>1</v>
      </c>
      <c r="KF58" s="21" t="b">
        <f t="shared" si="359"/>
        <v>1</v>
      </c>
      <c r="KG58" s="21" t="b">
        <f t="shared" si="359"/>
        <v>1</v>
      </c>
      <c r="KH58" s="21" t="b">
        <f t="shared" ref="KH58:ML58" si="360">OR(KH52,KH55:KH56)</f>
        <v>1</v>
      </c>
      <c r="KI58" s="21" t="b">
        <f t="shared" si="360"/>
        <v>1</v>
      </c>
      <c r="KJ58" s="21" t="b">
        <f t="shared" si="360"/>
        <v>1</v>
      </c>
      <c r="KK58" s="21" t="b">
        <f t="shared" si="360"/>
        <v>1</v>
      </c>
      <c r="KL58" s="21" t="b">
        <f t="shared" si="360"/>
        <v>1</v>
      </c>
      <c r="KM58" s="21" t="b">
        <f t="shared" si="360"/>
        <v>1</v>
      </c>
      <c r="KN58" s="21" t="b">
        <f t="shared" si="360"/>
        <v>1</v>
      </c>
      <c r="KO58" s="21" t="b">
        <f t="shared" si="360"/>
        <v>1</v>
      </c>
      <c r="KP58" s="21" t="b">
        <f t="shared" si="360"/>
        <v>1</v>
      </c>
      <c r="KQ58" s="21" t="b">
        <f t="shared" si="360"/>
        <v>1</v>
      </c>
      <c r="KR58" s="21" t="b">
        <f t="shared" si="360"/>
        <v>1</v>
      </c>
      <c r="KS58" s="21" t="b">
        <f t="shared" si="360"/>
        <v>1</v>
      </c>
      <c r="KT58" s="21" t="b">
        <f t="shared" si="360"/>
        <v>1</v>
      </c>
      <c r="KU58" s="21" t="b">
        <f t="shared" si="360"/>
        <v>1</v>
      </c>
      <c r="KV58" s="21" t="b">
        <f t="shared" si="360"/>
        <v>1</v>
      </c>
      <c r="KW58" s="21" t="b">
        <f t="shared" si="360"/>
        <v>1</v>
      </c>
      <c r="KX58" s="21" t="b">
        <f t="shared" si="360"/>
        <v>1</v>
      </c>
      <c r="KY58" s="21" t="b">
        <f t="shared" si="360"/>
        <v>1</v>
      </c>
      <c r="KZ58" s="21" t="b">
        <f t="shared" si="360"/>
        <v>1</v>
      </c>
      <c r="LA58" s="21" t="b">
        <f t="shared" si="360"/>
        <v>1</v>
      </c>
      <c r="LB58" s="21" t="b">
        <f t="shared" si="360"/>
        <v>1</v>
      </c>
      <c r="LC58" s="21" t="b">
        <f t="shared" si="360"/>
        <v>1</v>
      </c>
      <c r="LD58" s="21" t="b">
        <f t="shared" si="360"/>
        <v>1</v>
      </c>
      <c r="LE58" s="21" t="b">
        <f t="shared" si="360"/>
        <v>1</v>
      </c>
      <c r="LF58" s="21" t="b">
        <f t="shared" si="360"/>
        <v>1</v>
      </c>
      <c r="LG58" s="21" t="b">
        <f t="shared" si="360"/>
        <v>1</v>
      </c>
      <c r="LH58" s="21" t="b">
        <f t="shared" si="360"/>
        <v>1</v>
      </c>
      <c r="LI58" s="21" t="b">
        <f t="shared" si="360"/>
        <v>1</v>
      </c>
      <c r="LJ58" s="21" t="b">
        <f t="shared" si="360"/>
        <v>1</v>
      </c>
      <c r="LK58" s="21" t="b">
        <f t="shared" si="360"/>
        <v>1</v>
      </c>
      <c r="LL58" s="21" t="b">
        <f t="shared" si="360"/>
        <v>1</v>
      </c>
      <c r="LM58" s="21" t="b">
        <f t="shared" si="360"/>
        <v>1</v>
      </c>
      <c r="LN58" s="21" t="b">
        <f t="shared" si="360"/>
        <v>1</v>
      </c>
      <c r="LO58" s="21" t="b">
        <f t="shared" si="360"/>
        <v>1</v>
      </c>
      <c r="LP58" s="21" t="b">
        <f t="shared" si="360"/>
        <v>1</v>
      </c>
      <c r="LQ58" s="21" t="b">
        <f t="shared" si="360"/>
        <v>1</v>
      </c>
      <c r="LR58" s="21" t="b">
        <f t="shared" si="360"/>
        <v>1</v>
      </c>
      <c r="LS58" s="21" t="b">
        <f t="shared" si="360"/>
        <v>1</v>
      </c>
      <c r="LT58" s="21" t="b">
        <f t="shared" si="360"/>
        <v>1</v>
      </c>
      <c r="LU58" s="21" t="b">
        <f t="shared" si="360"/>
        <v>1</v>
      </c>
      <c r="LV58" s="21" t="b">
        <f t="shared" si="360"/>
        <v>1</v>
      </c>
      <c r="LW58" s="21" t="b">
        <f t="shared" si="360"/>
        <v>1</v>
      </c>
      <c r="LX58" s="21" t="b">
        <f t="shared" si="360"/>
        <v>1</v>
      </c>
      <c r="LY58" s="21" t="b">
        <f t="shared" si="360"/>
        <v>1</v>
      </c>
      <c r="LZ58" s="21" t="b">
        <f t="shared" si="360"/>
        <v>1</v>
      </c>
      <c r="MA58" s="21" t="b">
        <f t="shared" si="360"/>
        <v>1</v>
      </c>
      <c r="MB58" s="21" t="b">
        <f t="shared" si="360"/>
        <v>1</v>
      </c>
      <c r="MC58" s="1" t="b">
        <f t="shared" si="360"/>
        <v>1</v>
      </c>
      <c r="MD58" s="1" t="b">
        <f t="shared" si="360"/>
        <v>1</v>
      </c>
      <c r="ME58" s="1" t="b">
        <f t="shared" si="360"/>
        <v>1</v>
      </c>
      <c r="MF58" s="1" t="b">
        <f t="shared" si="360"/>
        <v>1</v>
      </c>
      <c r="MG58" s="1" t="b">
        <f t="shared" si="360"/>
        <v>1</v>
      </c>
      <c r="MH58" s="1" t="b">
        <f t="shared" si="360"/>
        <v>1</v>
      </c>
      <c r="MI58" s="1" t="b">
        <f t="shared" si="360"/>
        <v>1</v>
      </c>
      <c r="MJ58" s="1" t="b">
        <f t="shared" si="360"/>
        <v>1</v>
      </c>
      <c r="MK58" s="1" t="b">
        <f t="shared" si="360"/>
        <v>1</v>
      </c>
      <c r="ML58" s="1" t="b">
        <f t="shared" si="360"/>
        <v>1</v>
      </c>
      <c r="MM58" s="1"/>
      <c r="MN58" s="1"/>
    </row>
    <row r="62" spans="2:352" ht="23.25" customHeight="1" x14ac:dyDescent="0.25">
      <c r="C62" s="21"/>
      <c r="D62" s="21">
        <f>IF(AND(D30="VALID",D31="DPV_OPERATIONAL_E"),1,IF(AND(D30="INVALID",D31="DPV_NON_OPERATIONAL_E"),1))</f>
        <v>1</v>
      </c>
      <c r="E62" s="21">
        <f t="shared" ref="E62:DK62" si="361">IF(AND(E30="VALID",E31="DPV_OPERATIONAL_E"),1,IF(AND(E30="INVALID",E31="DPV_NON_OPERATIONAL_E"),1))</f>
        <v>1</v>
      </c>
      <c r="F62" s="21">
        <f t="shared" si="361"/>
        <v>1</v>
      </c>
      <c r="G62" s="21">
        <f t="shared" si="361"/>
        <v>1</v>
      </c>
      <c r="H62" s="21">
        <f t="shared" si="361"/>
        <v>1</v>
      </c>
      <c r="I62" s="21">
        <f t="shared" si="361"/>
        <v>1</v>
      </c>
      <c r="J62" s="21">
        <f t="shared" si="361"/>
        <v>1</v>
      </c>
      <c r="K62" s="21">
        <f t="shared" si="361"/>
        <v>1</v>
      </c>
      <c r="L62" s="21">
        <f t="shared" si="361"/>
        <v>1</v>
      </c>
      <c r="M62" s="21">
        <f t="shared" si="361"/>
        <v>1</v>
      </c>
      <c r="N62" s="21">
        <f t="shared" si="361"/>
        <v>1</v>
      </c>
      <c r="O62" s="21">
        <f t="shared" si="361"/>
        <v>1</v>
      </c>
      <c r="P62" s="21">
        <f t="shared" si="361"/>
        <v>1</v>
      </c>
      <c r="Q62" s="21">
        <f t="shared" si="361"/>
        <v>1</v>
      </c>
      <c r="R62" s="21">
        <f t="shared" ref="R62:AC62" si="362">IF(AND(R30="VALID",R31="DPV_OPERATIONAL_E"),1,IF(AND(R30="INVALID",R31="DPV_NON_OPERATIONAL_E"),1))</f>
        <v>1</v>
      </c>
      <c r="S62" s="21">
        <f t="shared" si="362"/>
        <v>1</v>
      </c>
      <c r="T62" s="21">
        <f t="shared" si="362"/>
        <v>1</v>
      </c>
      <c r="U62" s="21">
        <f t="shared" si="362"/>
        <v>1</v>
      </c>
      <c r="V62" s="21">
        <f t="shared" si="362"/>
        <v>1</v>
      </c>
      <c r="W62" s="21">
        <f t="shared" si="362"/>
        <v>1</v>
      </c>
      <c r="X62" s="21">
        <f t="shared" si="362"/>
        <v>1</v>
      </c>
      <c r="Y62" s="21">
        <f t="shared" si="362"/>
        <v>1</v>
      </c>
      <c r="Z62" s="21">
        <f t="shared" si="362"/>
        <v>1</v>
      </c>
      <c r="AA62" s="21">
        <f t="shared" si="362"/>
        <v>1</v>
      </c>
      <c r="AB62" s="21">
        <f t="shared" si="362"/>
        <v>1</v>
      </c>
      <c r="AC62" s="21">
        <f t="shared" si="362"/>
        <v>1</v>
      </c>
      <c r="AD62" s="21">
        <f t="shared" ref="AD62:AO62" si="363">IF(AND(AD30="VALID",AD31="DPV_OPERATIONAL_E"),1,IF(AND(AD30="INVALID",AD31="DPV_NON_OPERATIONAL_E"),1))</f>
        <v>1</v>
      </c>
      <c r="AE62" s="21">
        <f t="shared" si="363"/>
        <v>1</v>
      </c>
      <c r="AF62" s="21">
        <f t="shared" si="363"/>
        <v>1</v>
      </c>
      <c r="AG62" s="21">
        <f t="shared" si="363"/>
        <v>1</v>
      </c>
      <c r="AH62" s="21">
        <f t="shared" si="363"/>
        <v>1</v>
      </c>
      <c r="AI62" s="21">
        <f t="shared" si="363"/>
        <v>1</v>
      </c>
      <c r="AJ62" s="21">
        <f t="shared" si="363"/>
        <v>1</v>
      </c>
      <c r="AK62" s="21">
        <f t="shared" si="363"/>
        <v>1</v>
      </c>
      <c r="AL62" s="21">
        <f t="shared" si="363"/>
        <v>1</v>
      </c>
      <c r="AM62" s="21">
        <f t="shared" si="363"/>
        <v>1</v>
      </c>
      <c r="AN62" s="21">
        <f t="shared" si="363"/>
        <v>1</v>
      </c>
      <c r="AO62" s="21">
        <f t="shared" si="363"/>
        <v>1</v>
      </c>
      <c r="AP62" s="21">
        <f t="shared" ref="AP62:BA62" si="364">IF(AND(AP30="VALID",AP31="DPV_OPERATIONAL_E"),1,IF(AND(AP30="INVALID",AP31="DPV_NON_OPERATIONAL_E"),1))</f>
        <v>1</v>
      </c>
      <c r="AQ62" s="21">
        <f t="shared" si="364"/>
        <v>1</v>
      </c>
      <c r="AR62" s="21">
        <f t="shared" si="364"/>
        <v>1</v>
      </c>
      <c r="AS62" s="21">
        <f t="shared" si="364"/>
        <v>1</v>
      </c>
      <c r="AT62" s="21">
        <f t="shared" si="364"/>
        <v>1</v>
      </c>
      <c r="AU62" s="21">
        <f t="shared" si="364"/>
        <v>1</v>
      </c>
      <c r="AV62" s="21">
        <f t="shared" si="364"/>
        <v>1</v>
      </c>
      <c r="AW62" s="21">
        <f t="shared" si="364"/>
        <v>1</v>
      </c>
      <c r="AX62" s="21">
        <f t="shared" si="364"/>
        <v>1</v>
      </c>
      <c r="AY62" s="21">
        <f t="shared" si="364"/>
        <v>1</v>
      </c>
      <c r="AZ62" s="21">
        <f t="shared" si="364"/>
        <v>1</v>
      </c>
      <c r="BA62" s="21">
        <f t="shared" si="364"/>
        <v>1</v>
      </c>
      <c r="BB62" s="21">
        <f t="shared" ref="BB62:BM62" si="365">IF(AND(BB30="VALID",BB31="DPV_OPERATIONAL_E"),1,IF(AND(BB30="INVALID",BB31="DPV_NON_OPERATIONAL_E"),1))</f>
        <v>1</v>
      </c>
      <c r="BC62" s="21">
        <f t="shared" si="365"/>
        <v>1</v>
      </c>
      <c r="BD62" s="21">
        <f t="shared" si="365"/>
        <v>1</v>
      </c>
      <c r="BE62" s="21">
        <f t="shared" si="365"/>
        <v>1</v>
      </c>
      <c r="BF62" s="21">
        <f t="shared" si="365"/>
        <v>1</v>
      </c>
      <c r="BG62" s="21">
        <f t="shared" si="365"/>
        <v>1</v>
      </c>
      <c r="BH62" s="21">
        <f t="shared" si="365"/>
        <v>1</v>
      </c>
      <c r="BI62" s="21">
        <f t="shared" si="365"/>
        <v>1</v>
      </c>
      <c r="BJ62" s="21">
        <f t="shared" si="365"/>
        <v>1</v>
      </c>
      <c r="BK62" s="21">
        <f t="shared" si="365"/>
        <v>1</v>
      </c>
      <c r="BL62" s="21">
        <f t="shared" si="365"/>
        <v>1</v>
      </c>
      <c r="BM62" s="21">
        <f t="shared" si="365"/>
        <v>1</v>
      </c>
      <c r="BN62" s="21">
        <f t="shared" si="361"/>
        <v>1</v>
      </c>
      <c r="BO62" s="21">
        <f t="shared" si="361"/>
        <v>1</v>
      </c>
      <c r="BP62" s="21">
        <f t="shared" si="361"/>
        <v>1</v>
      </c>
      <c r="BQ62" s="21">
        <f t="shared" si="361"/>
        <v>1</v>
      </c>
      <c r="BR62" s="21">
        <f t="shared" si="361"/>
        <v>1</v>
      </c>
      <c r="BS62" s="21">
        <f t="shared" si="361"/>
        <v>1</v>
      </c>
      <c r="BT62" s="21">
        <f t="shared" si="361"/>
        <v>1</v>
      </c>
      <c r="BU62" s="21">
        <f t="shared" si="361"/>
        <v>1</v>
      </c>
      <c r="BV62" s="21">
        <f t="shared" si="361"/>
        <v>1</v>
      </c>
      <c r="BW62" s="40">
        <f t="shared" si="361"/>
        <v>1</v>
      </c>
      <c r="BX62" s="21">
        <f t="shared" si="361"/>
        <v>1</v>
      </c>
      <c r="BY62" s="21">
        <f t="shared" si="361"/>
        <v>1</v>
      </c>
      <c r="BZ62" s="21">
        <f t="shared" si="361"/>
        <v>1</v>
      </c>
      <c r="CA62" s="21">
        <f t="shared" si="361"/>
        <v>1</v>
      </c>
      <c r="CB62" s="21">
        <f t="shared" si="361"/>
        <v>1</v>
      </c>
      <c r="CC62" s="21">
        <f t="shared" si="361"/>
        <v>1</v>
      </c>
      <c r="CD62" s="21">
        <f t="shared" si="361"/>
        <v>1</v>
      </c>
      <c r="CE62" s="21">
        <f t="shared" si="361"/>
        <v>1</v>
      </c>
      <c r="CF62" s="62">
        <f t="shared" si="361"/>
        <v>1</v>
      </c>
      <c r="CG62" s="62">
        <f t="shared" si="361"/>
        <v>1</v>
      </c>
      <c r="CH62" s="62">
        <f t="shared" si="361"/>
        <v>1</v>
      </c>
      <c r="CI62" s="62">
        <f t="shared" si="361"/>
        <v>1</v>
      </c>
      <c r="CJ62" s="62">
        <f t="shared" si="361"/>
        <v>1</v>
      </c>
      <c r="CK62" s="62">
        <f t="shared" si="361"/>
        <v>1</v>
      </c>
      <c r="CL62" s="62">
        <f t="shared" si="361"/>
        <v>1</v>
      </c>
      <c r="CM62" s="62">
        <f t="shared" si="361"/>
        <v>1</v>
      </c>
      <c r="CN62" s="62">
        <f t="shared" si="361"/>
        <v>1</v>
      </c>
      <c r="CO62" s="62">
        <f t="shared" si="361"/>
        <v>1</v>
      </c>
      <c r="CP62" s="62">
        <f t="shared" si="361"/>
        <v>1</v>
      </c>
      <c r="CQ62" s="62">
        <f t="shared" si="361"/>
        <v>1</v>
      </c>
      <c r="CR62" s="62">
        <f t="shared" si="361"/>
        <v>1</v>
      </c>
      <c r="CS62" s="62">
        <f t="shared" si="361"/>
        <v>1</v>
      </c>
      <c r="CT62" s="62">
        <f t="shared" si="361"/>
        <v>1</v>
      </c>
      <c r="CU62" s="62">
        <f t="shared" si="361"/>
        <v>1</v>
      </c>
      <c r="CV62" s="62">
        <f t="shared" si="361"/>
        <v>1</v>
      </c>
      <c r="CW62" s="62">
        <f t="shared" si="361"/>
        <v>1</v>
      </c>
      <c r="CX62" s="62">
        <f t="shared" si="361"/>
        <v>1</v>
      </c>
      <c r="CY62" s="62">
        <f t="shared" si="361"/>
        <v>1</v>
      </c>
      <c r="CZ62" s="62">
        <f t="shared" si="361"/>
        <v>1</v>
      </c>
      <c r="DA62" s="62">
        <f t="shared" si="361"/>
        <v>1</v>
      </c>
      <c r="DB62" s="62">
        <f t="shared" si="361"/>
        <v>1</v>
      </c>
      <c r="DC62" s="62">
        <f t="shared" si="361"/>
        <v>1</v>
      </c>
      <c r="DD62" s="62">
        <f t="shared" si="361"/>
        <v>1</v>
      </c>
      <c r="DE62" s="62">
        <f t="shared" si="361"/>
        <v>1</v>
      </c>
      <c r="DF62" s="62">
        <f t="shared" si="361"/>
        <v>1</v>
      </c>
      <c r="DG62" s="62">
        <f t="shared" si="361"/>
        <v>1</v>
      </c>
      <c r="DH62" s="62">
        <f t="shared" si="361"/>
        <v>1</v>
      </c>
      <c r="DI62" s="62">
        <f t="shared" si="361"/>
        <v>1</v>
      </c>
      <c r="DJ62" s="62">
        <f t="shared" si="361"/>
        <v>1</v>
      </c>
      <c r="DK62" s="62">
        <f t="shared" si="361"/>
        <v>1</v>
      </c>
      <c r="DL62" s="62">
        <f t="shared" ref="DL62:FW62" si="366">IF(AND(DL30="VALID",DL31="DPV_OPERATIONAL_E"),1,IF(AND(DL30="INVALID",DL31="DPV_NON_OPERATIONAL_E"),1))</f>
        <v>1</v>
      </c>
      <c r="DM62" s="62">
        <f t="shared" si="366"/>
        <v>1</v>
      </c>
      <c r="DN62" s="62">
        <f t="shared" si="366"/>
        <v>1</v>
      </c>
      <c r="DO62" s="62">
        <f t="shared" si="366"/>
        <v>1</v>
      </c>
      <c r="DP62" s="62">
        <f t="shared" si="366"/>
        <v>1</v>
      </c>
      <c r="DQ62" s="62">
        <f t="shared" si="366"/>
        <v>1</v>
      </c>
      <c r="DR62" s="62">
        <f t="shared" si="366"/>
        <v>1</v>
      </c>
      <c r="DS62" s="62">
        <f t="shared" si="366"/>
        <v>1</v>
      </c>
      <c r="DT62" s="62">
        <f t="shared" si="366"/>
        <v>1</v>
      </c>
      <c r="DU62" s="62">
        <f t="shared" si="366"/>
        <v>1</v>
      </c>
      <c r="DV62" s="62">
        <f t="shared" si="366"/>
        <v>1</v>
      </c>
      <c r="DW62" s="62">
        <f t="shared" si="366"/>
        <v>1</v>
      </c>
      <c r="DX62" s="62">
        <f t="shared" si="366"/>
        <v>1</v>
      </c>
      <c r="DY62" s="62">
        <f t="shared" si="366"/>
        <v>1</v>
      </c>
      <c r="DZ62" s="62">
        <f t="shared" si="366"/>
        <v>1</v>
      </c>
      <c r="EA62" s="62">
        <f t="shared" si="366"/>
        <v>1</v>
      </c>
      <c r="EB62" s="62">
        <f t="shared" si="366"/>
        <v>1</v>
      </c>
      <c r="EC62" s="62">
        <f t="shared" si="366"/>
        <v>1</v>
      </c>
      <c r="ED62" s="62">
        <f t="shared" si="366"/>
        <v>1</v>
      </c>
      <c r="EE62" s="62">
        <f t="shared" si="366"/>
        <v>1</v>
      </c>
      <c r="EF62" s="62">
        <f t="shared" si="366"/>
        <v>1</v>
      </c>
      <c r="EG62" s="62">
        <f t="shared" si="366"/>
        <v>1</v>
      </c>
      <c r="EH62" s="62">
        <f t="shared" si="366"/>
        <v>1</v>
      </c>
      <c r="EI62" s="62">
        <f t="shared" si="366"/>
        <v>1</v>
      </c>
      <c r="EJ62" s="62">
        <f t="shared" si="366"/>
        <v>1</v>
      </c>
      <c r="EK62" s="62">
        <f t="shared" si="366"/>
        <v>1</v>
      </c>
      <c r="EL62" s="62">
        <f t="shared" si="366"/>
        <v>1</v>
      </c>
      <c r="EM62" s="62">
        <f t="shared" si="366"/>
        <v>1</v>
      </c>
      <c r="EN62" s="62">
        <f t="shared" si="366"/>
        <v>1</v>
      </c>
      <c r="EO62" s="62">
        <f t="shared" si="366"/>
        <v>1</v>
      </c>
      <c r="EP62" s="62">
        <f t="shared" si="366"/>
        <v>1</v>
      </c>
      <c r="EQ62" s="62">
        <f t="shared" si="366"/>
        <v>1</v>
      </c>
      <c r="ER62" s="62">
        <f t="shared" si="366"/>
        <v>1</v>
      </c>
      <c r="ES62" s="62">
        <f t="shared" si="366"/>
        <v>1</v>
      </c>
      <c r="ET62" s="62">
        <f t="shared" si="366"/>
        <v>1</v>
      </c>
      <c r="EU62" s="62">
        <f t="shared" si="366"/>
        <v>1</v>
      </c>
      <c r="EV62" s="62">
        <f t="shared" si="366"/>
        <v>1</v>
      </c>
      <c r="EW62" s="62">
        <f t="shared" si="366"/>
        <v>1</v>
      </c>
      <c r="EX62" s="62">
        <f t="shared" si="366"/>
        <v>1</v>
      </c>
      <c r="EY62" s="62">
        <f t="shared" si="366"/>
        <v>1</v>
      </c>
      <c r="EZ62" s="62">
        <f t="shared" si="366"/>
        <v>1</v>
      </c>
      <c r="FA62" s="62">
        <f t="shared" si="366"/>
        <v>1</v>
      </c>
      <c r="FB62" s="62">
        <f t="shared" si="366"/>
        <v>1</v>
      </c>
      <c r="FC62" s="62">
        <f t="shared" si="366"/>
        <v>1</v>
      </c>
      <c r="FD62" s="62">
        <f t="shared" si="366"/>
        <v>1</v>
      </c>
      <c r="FE62" s="62">
        <f t="shared" si="366"/>
        <v>1</v>
      </c>
      <c r="FF62" s="62">
        <f t="shared" si="366"/>
        <v>1</v>
      </c>
      <c r="FG62" s="62">
        <f t="shared" si="366"/>
        <v>1</v>
      </c>
      <c r="FH62" s="62">
        <f t="shared" si="366"/>
        <v>1</v>
      </c>
      <c r="FI62" s="62">
        <f t="shared" si="366"/>
        <v>1</v>
      </c>
      <c r="FJ62" s="62">
        <f t="shared" si="366"/>
        <v>1</v>
      </c>
      <c r="FK62" s="62">
        <f t="shared" si="366"/>
        <v>1</v>
      </c>
      <c r="FL62" s="62">
        <f t="shared" si="366"/>
        <v>1</v>
      </c>
      <c r="FM62" s="62">
        <f t="shared" si="366"/>
        <v>1</v>
      </c>
      <c r="FN62" s="62">
        <f t="shared" si="366"/>
        <v>1</v>
      </c>
      <c r="FO62" s="62">
        <f t="shared" si="366"/>
        <v>1</v>
      </c>
      <c r="FP62" s="21" t="b">
        <f t="shared" si="366"/>
        <v>0</v>
      </c>
      <c r="FQ62" s="21">
        <f t="shared" si="366"/>
        <v>1</v>
      </c>
      <c r="FR62" s="21">
        <f t="shared" si="366"/>
        <v>1</v>
      </c>
      <c r="FS62" s="21">
        <f t="shared" si="366"/>
        <v>1</v>
      </c>
      <c r="FT62" s="21">
        <f t="shared" si="366"/>
        <v>1</v>
      </c>
      <c r="FU62" s="21">
        <f t="shared" si="366"/>
        <v>1</v>
      </c>
      <c r="FV62" s="21">
        <f t="shared" si="366"/>
        <v>1</v>
      </c>
      <c r="FW62" s="21">
        <f t="shared" si="366"/>
        <v>1</v>
      </c>
      <c r="FX62" s="21">
        <f t="shared" ref="FX62:II62" si="367">IF(AND(FX30="VALID",FX31="DPV_OPERATIONAL_E"),1,IF(AND(FX30="INVALID",FX31="DPV_NON_OPERATIONAL_E"),1))</f>
        <v>1</v>
      </c>
      <c r="FY62" s="21">
        <f t="shared" si="367"/>
        <v>1</v>
      </c>
      <c r="FZ62" s="21">
        <f t="shared" si="367"/>
        <v>1</v>
      </c>
      <c r="GA62" s="21">
        <f t="shared" si="367"/>
        <v>1</v>
      </c>
      <c r="GB62" s="21">
        <f t="shared" si="367"/>
        <v>1</v>
      </c>
      <c r="GC62" s="21">
        <f t="shared" si="367"/>
        <v>1</v>
      </c>
      <c r="GD62" s="21">
        <f t="shared" si="367"/>
        <v>1</v>
      </c>
      <c r="GE62" s="21">
        <f t="shared" si="367"/>
        <v>1</v>
      </c>
      <c r="GF62" s="21">
        <f t="shared" si="367"/>
        <v>1</v>
      </c>
      <c r="GG62" s="21">
        <f t="shared" si="367"/>
        <v>1</v>
      </c>
      <c r="GH62" s="21">
        <f t="shared" si="367"/>
        <v>1</v>
      </c>
      <c r="GI62" s="21">
        <f t="shared" si="367"/>
        <v>1</v>
      </c>
      <c r="GJ62" s="21">
        <f t="shared" si="367"/>
        <v>1</v>
      </c>
      <c r="GK62" s="21">
        <f t="shared" si="367"/>
        <v>1</v>
      </c>
      <c r="GL62" s="21">
        <f t="shared" si="367"/>
        <v>1</v>
      </c>
      <c r="GM62" s="21">
        <f t="shared" si="367"/>
        <v>1</v>
      </c>
      <c r="GN62" s="21">
        <f t="shared" si="367"/>
        <v>1</v>
      </c>
      <c r="GO62" s="21">
        <f t="shared" si="367"/>
        <v>1</v>
      </c>
      <c r="GP62" s="21">
        <f t="shared" si="367"/>
        <v>1</v>
      </c>
      <c r="GQ62" s="21">
        <f t="shared" si="367"/>
        <v>1</v>
      </c>
      <c r="GR62" s="21">
        <f t="shared" si="367"/>
        <v>1</v>
      </c>
      <c r="GS62" s="21">
        <f t="shared" si="367"/>
        <v>1</v>
      </c>
      <c r="GT62" s="21">
        <f t="shared" si="367"/>
        <v>1</v>
      </c>
      <c r="GU62" s="21">
        <f t="shared" si="367"/>
        <v>1</v>
      </c>
      <c r="GV62" s="21">
        <f t="shared" si="367"/>
        <v>1</v>
      </c>
      <c r="GW62" s="21">
        <f t="shared" si="367"/>
        <v>1</v>
      </c>
      <c r="GX62" s="21">
        <f t="shared" si="367"/>
        <v>1</v>
      </c>
      <c r="GY62" s="21">
        <f t="shared" si="367"/>
        <v>1</v>
      </c>
      <c r="GZ62" s="21">
        <f t="shared" si="367"/>
        <v>1</v>
      </c>
      <c r="HA62" s="21">
        <f t="shared" si="367"/>
        <v>1</v>
      </c>
      <c r="HB62" s="21">
        <f t="shared" si="367"/>
        <v>1</v>
      </c>
      <c r="HC62" s="21">
        <f t="shared" si="367"/>
        <v>1</v>
      </c>
      <c r="HD62" s="21">
        <f t="shared" si="367"/>
        <v>1</v>
      </c>
      <c r="HE62" s="21">
        <f t="shared" si="367"/>
        <v>1</v>
      </c>
      <c r="HF62" s="21">
        <f t="shared" si="367"/>
        <v>1</v>
      </c>
      <c r="HG62" s="21">
        <f t="shared" si="367"/>
        <v>1</v>
      </c>
      <c r="HH62" s="21">
        <f t="shared" si="367"/>
        <v>1</v>
      </c>
      <c r="HI62" s="21">
        <f t="shared" si="367"/>
        <v>1</v>
      </c>
      <c r="HJ62" s="21">
        <f t="shared" si="367"/>
        <v>1</v>
      </c>
      <c r="HK62" s="21">
        <f t="shared" si="367"/>
        <v>1</v>
      </c>
      <c r="HL62" s="21">
        <f t="shared" si="367"/>
        <v>1</v>
      </c>
      <c r="HM62" s="21">
        <f t="shared" si="367"/>
        <v>1</v>
      </c>
      <c r="HN62" s="21">
        <f t="shared" si="367"/>
        <v>1</v>
      </c>
      <c r="HO62" s="21">
        <f t="shared" si="367"/>
        <v>1</v>
      </c>
      <c r="HP62" s="21">
        <f t="shared" si="367"/>
        <v>1</v>
      </c>
      <c r="HQ62" s="21">
        <f t="shared" si="367"/>
        <v>1</v>
      </c>
      <c r="HR62" s="21">
        <f t="shared" si="367"/>
        <v>1</v>
      </c>
      <c r="HS62" s="21">
        <f t="shared" si="367"/>
        <v>1</v>
      </c>
      <c r="HT62" s="21">
        <f t="shared" si="367"/>
        <v>1</v>
      </c>
      <c r="HU62" s="21">
        <f t="shared" si="367"/>
        <v>1</v>
      </c>
      <c r="HV62" s="21">
        <f t="shared" si="367"/>
        <v>1</v>
      </c>
      <c r="HW62" s="21">
        <f t="shared" si="367"/>
        <v>1</v>
      </c>
      <c r="HX62" s="21">
        <f t="shared" si="367"/>
        <v>1</v>
      </c>
      <c r="HY62" s="21">
        <f t="shared" si="367"/>
        <v>1</v>
      </c>
      <c r="HZ62" s="21">
        <f t="shared" si="367"/>
        <v>1</v>
      </c>
      <c r="IA62" s="21">
        <f t="shared" si="367"/>
        <v>1</v>
      </c>
      <c r="IB62" s="21">
        <f t="shared" si="367"/>
        <v>1</v>
      </c>
      <c r="IC62" s="21">
        <f t="shared" si="367"/>
        <v>1</v>
      </c>
      <c r="ID62" s="21">
        <f t="shared" si="367"/>
        <v>1</v>
      </c>
      <c r="IE62" s="21">
        <f t="shared" si="367"/>
        <v>1</v>
      </c>
      <c r="IF62" s="21">
        <f t="shared" si="367"/>
        <v>1</v>
      </c>
      <c r="IG62" s="21">
        <f t="shared" si="367"/>
        <v>1</v>
      </c>
      <c r="IH62" s="21">
        <f t="shared" si="367"/>
        <v>1</v>
      </c>
      <c r="II62" s="21" t="b">
        <f t="shared" si="367"/>
        <v>0</v>
      </c>
      <c r="IJ62" s="21">
        <f t="shared" ref="IJ62:KU62" si="368">IF(AND(IJ30="VALID",IJ31="DPV_OPERATIONAL_E"),1,IF(AND(IJ30="INVALID",IJ31="DPV_NON_OPERATIONAL_E"),1))</f>
        <v>1</v>
      </c>
      <c r="IK62" s="21">
        <f t="shared" si="368"/>
        <v>1</v>
      </c>
      <c r="IL62" s="21">
        <f t="shared" si="368"/>
        <v>1</v>
      </c>
      <c r="IM62" s="40">
        <f t="shared" si="368"/>
        <v>1</v>
      </c>
      <c r="IN62" s="40">
        <f t="shared" si="368"/>
        <v>1</v>
      </c>
      <c r="IO62" s="40">
        <f t="shared" si="368"/>
        <v>1</v>
      </c>
      <c r="IP62" s="21">
        <f t="shared" si="368"/>
        <v>1</v>
      </c>
      <c r="IQ62" s="21">
        <f t="shared" si="368"/>
        <v>1</v>
      </c>
      <c r="IR62" s="21">
        <f t="shared" si="368"/>
        <v>1</v>
      </c>
      <c r="IS62" s="21">
        <f t="shared" si="368"/>
        <v>1</v>
      </c>
      <c r="IT62" s="21">
        <f t="shared" si="368"/>
        <v>1</v>
      </c>
      <c r="IU62" s="21">
        <f t="shared" si="368"/>
        <v>1</v>
      </c>
      <c r="IV62" s="21">
        <f t="shared" si="368"/>
        <v>1</v>
      </c>
      <c r="IW62" s="21">
        <f t="shared" si="368"/>
        <v>1</v>
      </c>
      <c r="IX62" s="21">
        <f t="shared" si="368"/>
        <v>1</v>
      </c>
      <c r="IY62" s="21">
        <f t="shared" si="368"/>
        <v>1</v>
      </c>
      <c r="IZ62" s="21">
        <f t="shared" si="368"/>
        <v>1</v>
      </c>
      <c r="JA62" s="21">
        <f t="shared" si="368"/>
        <v>1</v>
      </c>
      <c r="JB62" s="21">
        <f t="shared" si="368"/>
        <v>1</v>
      </c>
      <c r="JC62" s="21">
        <f t="shared" si="368"/>
        <v>1</v>
      </c>
      <c r="JD62" s="21">
        <f t="shared" si="368"/>
        <v>1</v>
      </c>
      <c r="JE62" s="21">
        <f t="shared" si="368"/>
        <v>1</v>
      </c>
      <c r="JF62" s="21">
        <f t="shared" si="368"/>
        <v>1</v>
      </c>
      <c r="JG62" s="21">
        <f t="shared" si="368"/>
        <v>1</v>
      </c>
      <c r="JH62" s="21">
        <f t="shared" si="368"/>
        <v>1</v>
      </c>
      <c r="JI62" s="21">
        <f t="shared" si="368"/>
        <v>1</v>
      </c>
      <c r="JJ62" s="21">
        <f t="shared" si="368"/>
        <v>1</v>
      </c>
      <c r="JK62" s="21">
        <f t="shared" si="368"/>
        <v>1</v>
      </c>
      <c r="JL62" s="21">
        <f t="shared" si="368"/>
        <v>1</v>
      </c>
      <c r="JM62" s="21">
        <f t="shared" si="368"/>
        <v>1</v>
      </c>
      <c r="JN62" s="21">
        <f t="shared" si="368"/>
        <v>1</v>
      </c>
      <c r="JO62" s="21">
        <f t="shared" si="368"/>
        <v>1</v>
      </c>
      <c r="JP62" s="21">
        <f t="shared" si="368"/>
        <v>1</v>
      </c>
      <c r="JQ62" s="21">
        <f t="shared" si="368"/>
        <v>1</v>
      </c>
      <c r="JR62" s="21">
        <f t="shared" si="368"/>
        <v>1</v>
      </c>
      <c r="JS62" s="21">
        <f t="shared" si="368"/>
        <v>1</v>
      </c>
      <c r="JT62" s="21">
        <f t="shared" si="368"/>
        <v>1</v>
      </c>
      <c r="JU62" s="21">
        <f t="shared" si="368"/>
        <v>1</v>
      </c>
      <c r="JV62" s="21">
        <f t="shared" si="368"/>
        <v>1</v>
      </c>
      <c r="JW62" s="21">
        <f t="shared" si="368"/>
        <v>1</v>
      </c>
      <c r="JX62" s="21">
        <f t="shared" si="368"/>
        <v>1</v>
      </c>
      <c r="JY62" s="21">
        <f t="shared" si="368"/>
        <v>1</v>
      </c>
      <c r="JZ62" s="21">
        <f t="shared" si="368"/>
        <v>1</v>
      </c>
      <c r="KA62" s="21">
        <f t="shared" si="368"/>
        <v>1</v>
      </c>
      <c r="KB62" s="21">
        <f t="shared" si="368"/>
        <v>1</v>
      </c>
      <c r="KC62" s="21">
        <f t="shared" si="368"/>
        <v>1</v>
      </c>
      <c r="KD62" s="21">
        <f t="shared" si="368"/>
        <v>1</v>
      </c>
      <c r="KE62" s="21">
        <f t="shared" si="368"/>
        <v>1</v>
      </c>
      <c r="KF62" s="21">
        <f t="shared" si="368"/>
        <v>1</v>
      </c>
      <c r="KG62" s="21">
        <f t="shared" si="368"/>
        <v>1</v>
      </c>
      <c r="KH62" s="21">
        <f t="shared" si="368"/>
        <v>1</v>
      </c>
      <c r="KI62" s="21">
        <f t="shared" si="368"/>
        <v>1</v>
      </c>
      <c r="KJ62" s="21">
        <f t="shared" si="368"/>
        <v>1</v>
      </c>
      <c r="KK62" s="21">
        <f t="shared" si="368"/>
        <v>1</v>
      </c>
      <c r="KL62" s="21">
        <f t="shared" si="368"/>
        <v>1</v>
      </c>
      <c r="KM62" s="21">
        <f t="shared" si="368"/>
        <v>1</v>
      </c>
      <c r="KN62" s="21">
        <f t="shared" si="368"/>
        <v>1</v>
      </c>
      <c r="KO62" s="21">
        <f t="shared" si="368"/>
        <v>1</v>
      </c>
      <c r="KP62" s="21">
        <f t="shared" si="368"/>
        <v>1</v>
      </c>
      <c r="KQ62" s="21">
        <f t="shared" si="368"/>
        <v>1</v>
      </c>
      <c r="KR62" s="21">
        <f t="shared" si="368"/>
        <v>1</v>
      </c>
      <c r="KS62" s="21">
        <f t="shared" si="368"/>
        <v>1</v>
      </c>
      <c r="KT62" s="21">
        <f t="shared" si="368"/>
        <v>1</v>
      </c>
      <c r="KU62" s="21">
        <f t="shared" si="368"/>
        <v>1</v>
      </c>
      <c r="KV62" s="21">
        <f t="shared" ref="KV62:ML62" si="369">IF(AND(KV30="VALID",KV31="DPV_OPERATIONAL_E"),1,IF(AND(KV30="INVALID",KV31="DPV_NON_OPERATIONAL_E"),1))</f>
        <v>1</v>
      </c>
      <c r="KW62" s="21">
        <f t="shared" si="369"/>
        <v>1</v>
      </c>
      <c r="KX62" s="21">
        <f t="shared" si="369"/>
        <v>1</v>
      </c>
      <c r="KY62" s="21">
        <f t="shared" si="369"/>
        <v>1</v>
      </c>
      <c r="KZ62" s="21">
        <f t="shared" si="369"/>
        <v>1</v>
      </c>
      <c r="LA62" s="21">
        <f t="shared" si="369"/>
        <v>1</v>
      </c>
      <c r="LB62" s="21">
        <f t="shared" si="369"/>
        <v>1</v>
      </c>
      <c r="LC62" s="21">
        <f t="shared" si="369"/>
        <v>1</v>
      </c>
      <c r="LD62" s="21">
        <f t="shared" si="369"/>
        <v>1</v>
      </c>
      <c r="LE62" s="21">
        <f t="shared" si="369"/>
        <v>1</v>
      </c>
      <c r="LF62" s="21">
        <f t="shared" si="369"/>
        <v>1</v>
      </c>
      <c r="LG62" s="21">
        <f t="shared" si="369"/>
        <v>1</v>
      </c>
      <c r="LH62" s="21">
        <f t="shared" si="369"/>
        <v>1</v>
      </c>
      <c r="LI62" s="21">
        <f t="shared" si="369"/>
        <v>1</v>
      </c>
      <c r="LJ62" s="21">
        <f t="shared" si="369"/>
        <v>1</v>
      </c>
      <c r="LK62" s="21">
        <f t="shared" si="369"/>
        <v>1</v>
      </c>
      <c r="LL62" s="21">
        <f t="shared" si="369"/>
        <v>1</v>
      </c>
      <c r="LM62" s="21">
        <f t="shared" si="369"/>
        <v>1</v>
      </c>
      <c r="LN62" s="21">
        <f t="shared" si="369"/>
        <v>1</v>
      </c>
      <c r="LO62" s="21">
        <f t="shared" si="369"/>
        <v>1</v>
      </c>
      <c r="LP62" s="21">
        <f t="shared" si="369"/>
        <v>1</v>
      </c>
      <c r="LQ62" s="21">
        <f t="shared" si="369"/>
        <v>1</v>
      </c>
      <c r="LR62" s="21">
        <f t="shared" si="369"/>
        <v>1</v>
      </c>
      <c r="LS62" s="21">
        <f t="shared" si="369"/>
        <v>1</v>
      </c>
      <c r="LT62" s="21">
        <f t="shared" si="369"/>
        <v>1</v>
      </c>
      <c r="LU62" s="21">
        <f t="shared" si="369"/>
        <v>1</v>
      </c>
      <c r="LV62" s="21">
        <f t="shared" si="369"/>
        <v>1</v>
      </c>
      <c r="LW62" s="21">
        <f t="shared" si="369"/>
        <v>1</v>
      </c>
      <c r="LX62" s="21">
        <f t="shared" si="369"/>
        <v>1</v>
      </c>
      <c r="LY62" s="21">
        <f t="shared" si="369"/>
        <v>1</v>
      </c>
      <c r="LZ62" s="21">
        <f t="shared" si="369"/>
        <v>1</v>
      </c>
      <c r="MA62" s="21">
        <f t="shared" si="369"/>
        <v>1</v>
      </c>
      <c r="MB62" s="21">
        <f t="shared" si="369"/>
        <v>1</v>
      </c>
      <c r="MC62" s="21">
        <f t="shared" si="369"/>
        <v>1</v>
      </c>
      <c r="MD62" s="21">
        <f t="shared" si="369"/>
        <v>1</v>
      </c>
      <c r="ME62" s="21">
        <f t="shared" si="369"/>
        <v>1</v>
      </c>
      <c r="MF62" s="21">
        <f t="shared" si="369"/>
        <v>1</v>
      </c>
      <c r="MG62" s="21">
        <f t="shared" si="369"/>
        <v>1</v>
      </c>
      <c r="MH62" s="21">
        <f t="shared" si="369"/>
        <v>1</v>
      </c>
      <c r="MI62" s="21">
        <f t="shared" si="369"/>
        <v>1</v>
      </c>
      <c r="MJ62" s="21">
        <f t="shared" si="369"/>
        <v>1</v>
      </c>
      <c r="MK62" s="21">
        <f t="shared" si="369"/>
        <v>1</v>
      </c>
      <c r="ML62" s="21">
        <f t="shared" si="369"/>
        <v>1</v>
      </c>
    </row>
  </sheetData>
  <mergeCells count="7">
    <mergeCell ref="A8:B8"/>
    <mergeCell ref="A9:B9"/>
    <mergeCell ref="A3:B3"/>
    <mergeCell ref="A4:B4"/>
    <mergeCell ref="A5:B5"/>
    <mergeCell ref="A6:B6"/>
    <mergeCell ref="A7:B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K53"/>
  <sheetViews>
    <sheetView workbookViewId="0">
      <selection activeCell="I36" sqref="I36"/>
    </sheetView>
  </sheetViews>
  <sheetFormatPr defaultRowHeight="15" customHeight="1" x14ac:dyDescent="0.25"/>
  <cols>
    <col min="1" max="1" width="17.42578125" style="1" bestFit="1" customWidth="1"/>
    <col min="2" max="2" width="22.85546875" style="1" customWidth="1"/>
    <col min="3" max="3" width="24.7109375" style="1" customWidth="1"/>
    <col min="4" max="4" width="14.85546875" style="1" customWidth="1"/>
    <col min="5" max="5" width="11.5703125" style="1" bestFit="1" customWidth="1"/>
    <col min="6" max="6" width="14.42578125" style="1" bestFit="1" customWidth="1"/>
    <col min="7" max="7" width="13.28515625" style="1" bestFit="1" customWidth="1"/>
    <col min="8" max="8" width="13.28515625" style="1" customWidth="1"/>
    <col min="9" max="9" width="11.140625" style="1" bestFit="1" customWidth="1"/>
    <col min="10" max="10" width="12.140625" style="1" bestFit="1" customWidth="1"/>
    <col min="11" max="16384" width="9.140625" style="1"/>
  </cols>
  <sheetData>
    <row r="2" spans="1:8" ht="15" customHeight="1" x14ac:dyDescent="0.25">
      <c r="A2" s="1" t="s">
        <v>55</v>
      </c>
      <c r="B2" s="31" t="s">
        <v>457</v>
      </c>
      <c r="C2" s="31" t="s">
        <v>192</v>
      </c>
      <c r="E2" s="1" t="s">
        <v>72</v>
      </c>
      <c r="F2" s="31" t="s">
        <v>241</v>
      </c>
      <c r="G2" s="31" t="s">
        <v>535</v>
      </c>
      <c r="H2" s="31" t="s">
        <v>536</v>
      </c>
    </row>
    <row r="3" spans="1:8" s="27" customFormat="1" ht="15" customHeight="1" x14ac:dyDescent="0.25">
      <c r="A3" s="27" t="s">
        <v>56</v>
      </c>
      <c r="B3" s="28" t="s">
        <v>458</v>
      </c>
      <c r="C3" s="28" t="s">
        <v>541</v>
      </c>
      <c r="E3" s="27" t="s">
        <v>72</v>
      </c>
      <c r="F3" s="28" t="s">
        <v>509</v>
      </c>
      <c r="G3" s="28" t="s">
        <v>537</v>
      </c>
      <c r="H3" s="28" t="s">
        <v>538</v>
      </c>
    </row>
    <row r="4" spans="1:8" ht="15" customHeight="1" x14ac:dyDescent="0.25">
      <c r="A4" s="1" t="s">
        <v>57</v>
      </c>
      <c r="B4" s="31" t="s">
        <v>459</v>
      </c>
      <c r="C4" s="31" t="s">
        <v>460</v>
      </c>
      <c r="E4" s="1" t="s">
        <v>72</v>
      </c>
      <c r="F4" s="31" t="s">
        <v>510</v>
      </c>
      <c r="G4" s="31" t="s">
        <v>242</v>
      </c>
      <c r="H4" s="31" t="s">
        <v>255</v>
      </c>
    </row>
    <row r="5" spans="1:8" s="27" customFormat="1" ht="15" customHeight="1" x14ac:dyDescent="0.25">
      <c r="A5" s="27" t="s">
        <v>94</v>
      </c>
      <c r="B5" s="28" t="s">
        <v>461</v>
      </c>
      <c r="C5" s="28" t="s">
        <v>542</v>
      </c>
      <c r="E5" s="27" t="s">
        <v>72</v>
      </c>
      <c r="F5" s="28" t="s">
        <v>511</v>
      </c>
      <c r="G5" s="28" t="s">
        <v>256</v>
      </c>
      <c r="H5" s="28" t="s">
        <v>257</v>
      </c>
    </row>
    <row r="6" spans="1:8" ht="15" customHeight="1" x14ac:dyDescent="0.25">
      <c r="A6" s="1" t="s">
        <v>95</v>
      </c>
      <c r="B6" s="31" t="s">
        <v>462</v>
      </c>
      <c r="C6" s="31" t="s">
        <v>463</v>
      </c>
      <c r="E6" s="1" t="s">
        <v>72</v>
      </c>
      <c r="F6" s="31" t="s">
        <v>512</v>
      </c>
      <c r="G6" s="31" t="s">
        <v>258</v>
      </c>
      <c r="H6" s="31" t="s">
        <v>259</v>
      </c>
    </row>
    <row r="7" spans="1:8" ht="15" customHeight="1" x14ac:dyDescent="0.25">
      <c r="A7" s="1" t="s">
        <v>96</v>
      </c>
      <c r="B7" s="31" t="s">
        <v>464</v>
      </c>
      <c r="C7" s="31" t="s">
        <v>465</v>
      </c>
      <c r="E7" s="1" t="s">
        <v>72</v>
      </c>
      <c r="F7" s="31" t="s">
        <v>513</v>
      </c>
      <c r="G7" s="31" t="s">
        <v>244</v>
      </c>
      <c r="H7" s="31" t="s">
        <v>260</v>
      </c>
    </row>
    <row r="8" spans="1:8" ht="15" customHeight="1" x14ac:dyDescent="0.25">
      <c r="A8" s="1" t="s">
        <v>97</v>
      </c>
      <c r="B8" s="31" t="s">
        <v>466</v>
      </c>
      <c r="C8" s="31" t="s">
        <v>467</v>
      </c>
      <c r="E8" s="1" t="s">
        <v>72</v>
      </c>
      <c r="F8" s="31" t="s">
        <v>514</v>
      </c>
      <c r="G8" s="31" t="s">
        <v>113</v>
      </c>
      <c r="H8" s="31" t="s">
        <v>261</v>
      </c>
    </row>
    <row r="9" spans="1:8" ht="15" customHeight="1" x14ac:dyDescent="0.25">
      <c r="B9" s="31" t="s">
        <v>468</v>
      </c>
      <c r="C9" s="31" t="s">
        <v>469</v>
      </c>
      <c r="E9" s="1" t="s">
        <v>72</v>
      </c>
      <c r="F9" s="31" t="s">
        <v>515</v>
      </c>
      <c r="G9" s="31"/>
    </row>
    <row r="10" spans="1:8" ht="15" customHeight="1" x14ac:dyDescent="0.25">
      <c r="B10" s="31" t="s">
        <v>470</v>
      </c>
      <c r="C10" s="31" t="s">
        <v>471</v>
      </c>
      <c r="E10" s="1" t="s">
        <v>72</v>
      </c>
      <c r="F10" s="31" t="s">
        <v>516</v>
      </c>
      <c r="G10" s="31"/>
    </row>
    <row r="11" spans="1:8" ht="15" customHeight="1" x14ac:dyDescent="0.25">
      <c r="B11" s="31" t="s">
        <v>472</v>
      </c>
      <c r="C11" s="31" t="s">
        <v>473</v>
      </c>
      <c r="E11" s="1" t="s">
        <v>72</v>
      </c>
      <c r="F11" s="31" t="s">
        <v>517</v>
      </c>
      <c r="G11" s="31"/>
    </row>
    <row r="12" spans="1:8" ht="15" customHeight="1" x14ac:dyDescent="0.25">
      <c r="B12" s="31" t="s">
        <v>474</v>
      </c>
      <c r="C12" s="31" t="s">
        <v>475</v>
      </c>
      <c r="E12" s="1" t="s">
        <v>72</v>
      </c>
      <c r="F12" s="31" t="s">
        <v>518</v>
      </c>
      <c r="G12" s="31"/>
    </row>
    <row r="13" spans="1:8" ht="15" customHeight="1" x14ac:dyDescent="0.25">
      <c r="B13" s="31" t="s">
        <v>476</v>
      </c>
      <c r="C13" s="31" t="s">
        <v>477</v>
      </c>
      <c r="E13" s="1" t="s">
        <v>72</v>
      </c>
      <c r="F13" s="31" t="s">
        <v>519</v>
      </c>
      <c r="G13" s="31"/>
    </row>
    <row r="14" spans="1:8" ht="15" customHeight="1" x14ac:dyDescent="0.25">
      <c r="B14" s="31" t="s">
        <v>478</v>
      </c>
      <c r="C14" s="31" t="s">
        <v>479</v>
      </c>
      <c r="E14" s="1" t="s">
        <v>72</v>
      </c>
      <c r="F14" s="31" t="s">
        <v>520</v>
      </c>
      <c r="G14" s="31"/>
    </row>
    <row r="15" spans="1:8" ht="15" customHeight="1" x14ac:dyDescent="0.25">
      <c r="B15" s="31" t="s">
        <v>480</v>
      </c>
      <c r="C15" s="31" t="s">
        <v>481</v>
      </c>
      <c r="E15" s="1" t="s">
        <v>72</v>
      </c>
      <c r="F15" s="31" t="s">
        <v>521</v>
      </c>
      <c r="G15" s="31"/>
    </row>
    <row r="16" spans="1:8" ht="15" customHeight="1" x14ac:dyDescent="0.25">
      <c r="B16" s="31" t="s">
        <v>482</v>
      </c>
      <c r="C16" s="31" t="s">
        <v>483</v>
      </c>
      <c r="E16" s="1" t="s">
        <v>72</v>
      </c>
      <c r="F16" s="31" t="s">
        <v>522</v>
      </c>
      <c r="G16" s="31"/>
    </row>
    <row r="17" spans="2:8" ht="15" customHeight="1" x14ac:dyDescent="0.25">
      <c r="B17" s="31" t="s">
        <v>484</v>
      </c>
      <c r="C17" s="31" t="s">
        <v>485</v>
      </c>
      <c r="E17" s="1" t="s">
        <v>72</v>
      </c>
      <c r="F17" s="31" t="s">
        <v>523</v>
      </c>
      <c r="G17" s="31"/>
    </row>
    <row r="18" spans="2:8" ht="15" customHeight="1" x14ac:dyDescent="0.25">
      <c r="B18" s="31" t="s">
        <v>223</v>
      </c>
      <c r="C18" s="31" t="s">
        <v>224</v>
      </c>
      <c r="E18" s="1" t="s">
        <v>154</v>
      </c>
      <c r="F18" s="31" t="s">
        <v>245</v>
      </c>
      <c r="G18" s="31" t="s">
        <v>262</v>
      </c>
      <c r="H18" s="31" t="s">
        <v>263</v>
      </c>
    </row>
    <row r="19" spans="2:8" ht="15" customHeight="1" x14ac:dyDescent="0.25">
      <c r="B19" s="31" t="s">
        <v>225</v>
      </c>
      <c r="C19" s="31" t="s">
        <v>226</v>
      </c>
      <c r="E19" s="1" t="s">
        <v>154</v>
      </c>
      <c r="F19" s="31" t="s">
        <v>246</v>
      </c>
      <c r="G19" s="31"/>
    </row>
    <row r="20" spans="2:8" ht="15" customHeight="1" x14ac:dyDescent="0.25">
      <c r="B20" s="31" t="s">
        <v>227</v>
      </c>
      <c r="C20" s="31" t="s">
        <v>228</v>
      </c>
      <c r="E20" s="1" t="s">
        <v>154</v>
      </c>
      <c r="F20" s="31" t="s">
        <v>247</v>
      </c>
      <c r="G20" s="31" t="s">
        <v>153</v>
      </c>
      <c r="H20" s="1">
        <v>13208</v>
      </c>
    </row>
    <row r="21" spans="2:8" ht="15" customHeight="1" x14ac:dyDescent="0.25">
      <c r="B21" s="31" t="s">
        <v>229</v>
      </c>
      <c r="C21" s="31" t="s">
        <v>230</v>
      </c>
      <c r="E21" s="1" t="s">
        <v>154</v>
      </c>
      <c r="F21" s="31" t="s">
        <v>248</v>
      </c>
      <c r="G21" s="31"/>
    </row>
    <row r="22" spans="2:8" ht="15" customHeight="1" x14ac:dyDescent="0.25">
      <c r="B22" s="31" t="s">
        <v>231</v>
      </c>
      <c r="C22" s="31" t="s">
        <v>232</v>
      </c>
      <c r="E22" s="1" t="s">
        <v>154</v>
      </c>
      <c r="F22" s="31" t="s">
        <v>249</v>
      </c>
      <c r="G22" s="31"/>
    </row>
    <row r="23" spans="2:8" ht="15" customHeight="1" x14ac:dyDescent="0.25">
      <c r="B23" s="31" t="s">
        <v>233</v>
      </c>
      <c r="C23" s="31" t="s">
        <v>234</v>
      </c>
      <c r="E23" s="1" t="s">
        <v>154</v>
      </c>
      <c r="F23" s="31" t="s">
        <v>250</v>
      </c>
      <c r="G23" s="31"/>
    </row>
    <row r="24" spans="2:8" ht="15" customHeight="1" x14ac:dyDescent="0.25">
      <c r="B24" s="31" t="s">
        <v>235</v>
      </c>
      <c r="C24" s="31" t="s">
        <v>236</v>
      </c>
      <c r="E24" s="1" t="s">
        <v>154</v>
      </c>
      <c r="F24" s="31" t="s">
        <v>251</v>
      </c>
      <c r="G24" s="31"/>
    </row>
    <row r="25" spans="2:8" ht="15" customHeight="1" x14ac:dyDescent="0.25">
      <c r="B25" s="31" t="s">
        <v>237</v>
      </c>
      <c r="C25" s="31" t="s">
        <v>238</v>
      </c>
      <c r="E25" s="1" t="s">
        <v>154</v>
      </c>
      <c r="F25" s="31" t="s">
        <v>252</v>
      </c>
      <c r="G25" s="31"/>
    </row>
    <row r="26" spans="2:8" ht="15" customHeight="1" x14ac:dyDescent="0.25">
      <c r="B26" s="31" t="s">
        <v>239</v>
      </c>
      <c r="C26" s="31" t="s">
        <v>240</v>
      </c>
      <c r="E26" s="1" t="s">
        <v>154</v>
      </c>
      <c r="F26" s="31" t="s">
        <v>253</v>
      </c>
      <c r="G26" s="31"/>
    </row>
    <row r="27" spans="2:8" s="27" customFormat="1" ht="15" customHeight="1" x14ac:dyDescent="0.25">
      <c r="B27" s="28" t="s">
        <v>486</v>
      </c>
      <c r="C27" s="28" t="s">
        <v>543</v>
      </c>
      <c r="E27" s="27" t="s">
        <v>178</v>
      </c>
      <c r="F27" s="28" t="s">
        <v>254</v>
      </c>
      <c r="G27" s="28" t="s">
        <v>539</v>
      </c>
      <c r="H27" s="28" t="s">
        <v>540</v>
      </c>
    </row>
    <row r="28" spans="2:8" ht="15" customHeight="1" x14ac:dyDescent="0.25">
      <c r="B28" s="31" t="s">
        <v>487</v>
      </c>
      <c r="C28" s="31" t="s">
        <v>488</v>
      </c>
      <c r="E28" s="1" t="s">
        <v>178</v>
      </c>
      <c r="F28" s="31" t="s">
        <v>524</v>
      </c>
      <c r="G28" s="31" t="s">
        <v>176</v>
      </c>
      <c r="H28" s="31">
        <v>4523</v>
      </c>
    </row>
    <row r="29" spans="2:8" ht="15" customHeight="1" x14ac:dyDescent="0.25">
      <c r="B29" s="31" t="s">
        <v>489</v>
      </c>
      <c r="C29" s="31" t="s">
        <v>490</v>
      </c>
      <c r="E29" s="1" t="s">
        <v>178</v>
      </c>
      <c r="F29" s="31" t="s">
        <v>525</v>
      </c>
      <c r="G29" s="31" t="s">
        <v>177</v>
      </c>
      <c r="H29" s="31" t="s">
        <v>264</v>
      </c>
    </row>
    <row r="30" spans="2:8" ht="15" customHeight="1" x14ac:dyDescent="0.25">
      <c r="B30" s="31" t="s">
        <v>491</v>
      </c>
      <c r="C30" s="31" t="s">
        <v>492</v>
      </c>
      <c r="E30" s="1" t="s">
        <v>178</v>
      </c>
      <c r="F30" s="31" t="s">
        <v>526</v>
      </c>
      <c r="G30" s="31"/>
      <c r="H30" s="31"/>
    </row>
    <row r="31" spans="2:8" ht="15" customHeight="1" x14ac:dyDescent="0.25">
      <c r="B31" s="31" t="s">
        <v>493</v>
      </c>
      <c r="C31" s="31" t="s">
        <v>494</v>
      </c>
      <c r="E31" s="1" t="s">
        <v>178</v>
      </c>
      <c r="F31" s="31" t="s">
        <v>527</v>
      </c>
      <c r="G31" s="31"/>
    </row>
    <row r="32" spans="2:8" ht="15" customHeight="1" x14ac:dyDescent="0.25">
      <c r="B32" s="31" t="s">
        <v>495</v>
      </c>
      <c r="C32" s="31" t="s">
        <v>496</v>
      </c>
      <c r="E32" s="1" t="s">
        <v>178</v>
      </c>
      <c r="F32" s="31" t="s">
        <v>528</v>
      </c>
      <c r="G32" s="31"/>
    </row>
    <row r="33" spans="2:11" ht="15" customHeight="1" x14ac:dyDescent="0.25">
      <c r="B33" s="31" t="s">
        <v>497</v>
      </c>
      <c r="C33" s="31" t="s">
        <v>498</v>
      </c>
      <c r="E33" s="1" t="s">
        <v>178</v>
      </c>
      <c r="F33" s="31" t="s">
        <v>529</v>
      </c>
      <c r="G33" s="31"/>
    </row>
    <row r="34" spans="2:11" ht="15" customHeight="1" x14ac:dyDescent="0.25">
      <c r="B34" s="31" t="s">
        <v>499</v>
      </c>
      <c r="C34" s="31" t="s">
        <v>500</v>
      </c>
      <c r="E34" s="1" t="s">
        <v>178</v>
      </c>
      <c r="F34" s="31" t="s">
        <v>530</v>
      </c>
      <c r="G34" s="31"/>
    </row>
    <row r="35" spans="2:11" ht="15" customHeight="1" x14ac:dyDescent="0.25">
      <c r="B35" s="31" t="s">
        <v>501</v>
      </c>
      <c r="C35" s="31" t="s">
        <v>502</v>
      </c>
      <c r="E35" s="1" t="s">
        <v>178</v>
      </c>
      <c r="F35" s="31" t="s">
        <v>531</v>
      </c>
      <c r="G35" s="31"/>
    </row>
    <row r="36" spans="2:11" ht="15" customHeight="1" x14ac:dyDescent="0.25">
      <c r="B36" s="31" t="s">
        <v>503</v>
      </c>
      <c r="C36" s="31" t="s">
        <v>504</v>
      </c>
      <c r="E36" s="1" t="s">
        <v>178</v>
      </c>
      <c r="F36" s="31" t="s">
        <v>532</v>
      </c>
      <c r="G36" s="31"/>
    </row>
    <row r="37" spans="2:11" ht="15" customHeight="1" x14ac:dyDescent="0.25">
      <c r="B37" s="31" t="s">
        <v>505</v>
      </c>
      <c r="C37" s="31" t="s">
        <v>506</v>
      </c>
      <c r="E37" s="1" t="s">
        <v>178</v>
      </c>
      <c r="F37" s="31" t="s">
        <v>533</v>
      </c>
      <c r="G37" s="31"/>
    </row>
    <row r="38" spans="2:11" ht="15" customHeight="1" x14ac:dyDescent="0.25">
      <c r="B38" s="1" t="s">
        <v>507</v>
      </c>
      <c r="C38" s="1" t="s">
        <v>508</v>
      </c>
      <c r="E38" s="1" t="s">
        <v>178</v>
      </c>
      <c r="F38" s="31" t="s">
        <v>534</v>
      </c>
    </row>
    <row r="39" spans="2:11" ht="15" customHeight="1" x14ac:dyDescent="0.25">
      <c r="F39" s="31"/>
    </row>
    <row r="42" spans="2:11" ht="15" customHeight="1" x14ac:dyDescent="0.25">
      <c r="G42" s="31"/>
      <c r="H42" s="31"/>
    </row>
    <row r="44" spans="2:11" ht="15" customHeight="1" x14ac:dyDescent="0.25">
      <c r="G44" s="31"/>
      <c r="H44" s="31"/>
      <c r="K44" s="31"/>
    </row>
    <row r="46" spans="2:11" ht="15" customHeight="1" x14ac:dyDescent="0.25">
      <c r="G46" s="31"/>
      <c r="H46" s="31"/>
    </row>
    <row r="48" spans="2:11" ht="15" customHeight="1" x14ac:dyDescent="0.25">
      <c r="G48" s="31"/>
    </row>
    <row r="49" spans="7:11" ht="15" customHeight="1" x14ac:dyDescent="0.25">
      <c r="G49" s="31"/>
      <c r="H49" s="31"/>
    </row>
    <row r="50" spans="7:11" ht="15" customHeight="1" x14ac:dyDescent="0.25">
      <c r="G50" s="31"/>
      <c r="H50" s="31"/>
    </row>
    <row r="51" spans="7:11" ht="15" customHeight="1" x14ac:dyDescent="0.25">
      <c r="H51" s="31"/>
      <c r="K51" s="31"/>
    </row>
    <row r="52" spans="7:11" ht="15" customHeight="1" x14ac:dyDescent="0.25">
      <c r="H52" s="31"/>
    </row>
    <row r="53" spans="7:11" ht="15" customHeight="1" x14ac:dyDescent="0.25">
      <c r="H53" s="3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1427"/>
  <sheetViews>
    <sheetView topLeftCell="A239" workbookViewId="0">
      <selection activeCell="N265" sqref="N265"/>
    </sheetView>
  </sheetViews>
  <sheetFormatPr defaultRowHeight="15" x14ac:dyDescent="0.25"/>
  <cols>
    <col min="8" max="15" width="9.140625" style="27"/>
  </cols>
  <sheetData>
    <row r="1" spans="1:32" x14ac:dyDescent="0.25">
      <c r="D1" t="s">
        <v>24</v>
      </c>
      <c r="E1" t="s">
        <v>25</v>
      </c>
      <c r="F1" t="s">
        <v>26</v>
      </c>
      <c r="G1" t="s">
        <v>27</v>
      </c>
      <c r="H1" s="27" t="s">
        <v>28</v>
      </c>
      <c r="I1" s="27" t="s">
        <v>29</v>
      </c>
      <c r="J1" s="27" t="s">
        <v>30</v>
      </c>
      <c r="K1" s="27" t="s">
        <v>31</v>
      </c>
      <c r="L1" s="27" t="s">
        <v>32</v>
      </c>
      <c r="M1" s="27" t="s">
        <v>33</v>
      </c>
      <c r="N1" s="27" t="s">
        <v>34</v>
      </c>
      <c r="O1" s="27" t="s">
        <v>35</v>
      </c>
      <c r="P1" t="s">
        <v>36</v>
      </c>
      <c r="Q1" t="s">
        <v>37</v>
      </c>
      <c r="R1" t="s">
        <v>38</v>
      </c>
      <c r="S1" t="s">
        <v>39</v>
      </c>
      <c r="T1" t="s">
        <v>40</v>
      </c>
      <c r="U1" t="s">
        <v>41</v>
      </c>
      <c r="V1" t="s">
        <v>42</v>
      </c>
      <c r="W1" t="s">
        <v>43</v>
      </c>
      <c r="X1" t="s">
        <v>44</v>
      </c>
      <c r="Y1" t="s">
        <v>45</v>
      </c>
      <c r="Z1" t="s">
        <v>46</v>
      </c>
      <c r="AA1" t="s">
        <v>47</v>
      </c>
      <c r="AB1" t="s">
        <v>48</v>
      </c>
      <c r="AC1" t="s">
        <v>49</v>
      </c>
      <c r="AD1" t="s">
        <v>50</v>
      </c>
      <c r="AE1" t="s">
        <v>51</v>
      </c>
      <c r="AF1" t="s">
        <v>52</v>
      </c>
    </row>
    <row r="2" spans="1:32" x14ac:dyDescent="0.25">
      <c r="A2" t="s">
        <v>7</v>
      </c>
      <c r="B2" t="s">
        <v>8</v>
      </c>
      <c r="C2" t="s">
        <v>9</v>
      </c>
    </row>
    <row r="3" spans="1:32" x14ac:dyDescent="0.25">
      <c r="A3">
        <v>1</v>
      </c>
      <c r="B3">
        <v>0</v>
      </c>
      <c r="C3" t="s">
        <v>10</v>
      </c>
    </row>
    <row r="4" spans="1:32" x14ac:dyDescent="0.25">
      <c r="A4">
        <v>1</v>
      </c>
      <c r="B4">
        <v>10</v>
      </c>
      <c r="C4" t="s">
        <v>12</v>
      </c>
      <c r="D4">
        <v>0</v>
      </c>
      <c r="E4">
        <v>0</v>
      </c>
      <c r="F4">
        <v>100</v>
      </c>
      <c r="G4">
        <v>100</v>
      </c>
      <c r="H4" s="27">
        <v>1</v>
      </c>
      <c r="I4" s="27">
        <v>0</v>
      </c>
      <c r="J4" s="27">
        <v>0</v>
      </c>
      <c r="K4" s="27">
        <v>0</v>
      </c>
      <c r="L4" s="27">
        <v>0</v>
      </c>
      <c r="M4" s="27">
        <v>0</v>
      </c>
      <c r="N4" s="27">
        <v>0</v>
      </c>
      <c r="O4" s="27">
        <v>0</v>
      </c>
      <c r="P4" t="s">
        <v>13</v>
      </c>
      <c r="Q4" t="s">
        <v>13</v>
      </c>
      <c r="R4" t="s">
        <v>13</v>
      </c>
      <c r="S4" t="s">
        <v>13</v>
      </c>
      <c r="T4" t="s">
        <v>13</v>
      </c>
      <c r="U4" t="s">
        <v>13</v>
      </c>
      <c r="V4" t="s">
        <v>13</v>
      </c>
      <c r="W4" t="s">
        <v>13</v>
      </c>
      <c r="X4" t="s">
        <v>13</v>
      </c>
      <c r="Y4" t="s">
        <v>13</v>
      </c>
      <c r="Z4" t="s">
        <v>13</v>
      </c>
      <c r="AA4" t="s">
        <v>13</v>
      </c>
      <c r="AB4" t="s">
        <v>13</v>
      </c>
      <c r="AC4" t="s">
        <v>13</v>
      </c>
      <c r="AD4" t="s">
        <v>13</v>
      </c>
      <c r="AE4" t="s">
        <v>13</v>
      </c>
      <c r="AF4" t="s">
        <v>13</v>
      </c>
    </row>
    <row r="5" spans="1:32" x14ac:dyDescent="0.25">
      <c r="A5">
        <v>1</v>
      </c>
      <c r="B5">
        <v>10</v>
      </c>
      <c r="C5" t="s">
        <v>12</v>
      </c>
      <c r="D5">
        <v>0</v>
      </c>
      <c r="E5">
        <v>0</v>
      </c>
      <c r="F5">
        <v>30</v>
      </c>
      <c r="G5">
        <v>250</v>
      </c>
      <c r="H5" s="27">
        <v>1</v>
      </c>
      <c r="I5" s="27">
        <v>0</v>
      </c>
      <c r="J5" s="27">
        <v>0</v>
      </c>
      <c r="K5" s="27">
        <v>0</v>
      </c>
      <c r="L5" s="27">
        <v>0</v>
      </c>
      <c r="M5" s="27">
        <v>0</v>
      </c>
      <c r="N5" s="27">
        <v>0</v>
      </c>
      <c r="O5" s="27">
        <v>0</v>
      </c>
      <c r="P5">
        <v>0</v>
      </c>
      <c r="Q5">
        <v>250</v>
      </c>
      <c r="R5" t="s">
        <v>86</v>
      </c>
      <c r="S5" t="s">
        <v>88</v>
      </c>
      <c r="T5">
        <v>1</v>
      </c>
      <c r="U5">
        <v>0</v>
      </c>
      <c r="V5">
        <v>0</v>
      </c>
      <c r="W5">
        <v>0</v>
      </c>
      <c r="X5">
        <v>0</v>
      </c>
      <c r="Y5">
        <v>0</v>
      </c>
      <c r="Z5">
        <v>0</v>
      </c>
      <c r="AA5">
        <v>0</v>
      </c>
      <c r="AB5">
        <v>0</v>
      </c>
      <c r="AC5">
        <v>0</v>
      </c>
      <c r="AD5">
        <v>0</v>
      </c>
      <c r="AE5">
        <v>0</v>
      </c>
      <c r="AF5">
        <v>0</v>
      </c>
    </row>
    <row r="6" spans="1:32" x14ac:dyDescent="0.25">
      <c r="A6">
        <v>1</v>
      </c>
      <c r="B6">
        <v>20</v>
      </c>
      <c r="C6" t="s">
        <v>12</v>
      </c>
      <c r="D6">
        <v>0</v>
      </c>
      <c r="E6">
        <v>0</v>
      </c>
      <c r="F6" t="s">
        <v>13</v>
      </c>
      <c r="G6" t="s">
        <v>13</v>
      </c>
      <c r="H6" s="27" t="s">
        <v>13</v>
      </c>
      <c r="I6" s="27" t="s">
        <v>13</v>
      </c>
      <c r="J6" s="27" t="s">
        <v>13</v>
      </c>
      <c r="K6" s="27" t="s">
        <v>13</v>
      </c>
      <c r="L6" s="27" t="s">
        <v>13</v>
      </c>
      <c r="M6" s="27" t="s">
        <v>13</v>
      </c>
      <c r="N6" s="27" t="s">
        <v>13</v>
      </c>
      <c r="O6" s="27" t="s">
        <v>13</v>
      </c>
      <c r="P6">
        <v>0</v>
      </c>
      <c r="Q6">
        <v>235</v>
      </c>
      <c r="R6" t="s">
        <v>86</v>
      </c>
      <c r="S6" t="s">
        <v>88</v>
      </c>
      <c r="T6">
        <v>1</v>
      </c>
      <c r="U6">
        <v>0</v>
      </c>
      <c r="V6">
        <v>0</v>
      </c>
      <c r="W6">
        <v>0</v>
      </c>
      <c r="X6">
        <v>0</v>
      </c>
      <c r="Y6">
        <v>0</v>
      </c>
      <c r="Z6">
        <v>0</v>
      </c>
      <c r="AA6">
        <v>0</v>
      </c>
      <c r="AB6">
        <v>0</v>
      </c>
      <c r="AC6">
        <v>0</v>
      </c>
      <c r="AD6">
        <v>0</v>
      </c>
      <c r="AE6">
        <v>0</v>
      </c>
      <c r="AF6">
        <v>0</v>
      </c>
    </row>
    <row r="7" spans="1:32" x14ac:dyDescent="0.25">
      <c r="A7">
        <v>1</v>
      </c>
      <c r="B7" s="25">
        <v>30</v>
      </c>
      <c r="C7" t="s">
        <v>12</v>
      </c>
      <c r="D7">
        <v>0</v>
      </c>
      <c r="E7">
        <v>0</v>
      </c>
      <c r="F7" t="s">
        <v>13</v>
      </c>
      <c r="G7" t="s">
        <v>13</v>
      </c>
      <c r="H7" s="27" t="s">
        <v>13</v>
      </c>
      <c r="I7" s="27" t="s">
        <v>13</v>
      </c>
      <c r="J7" s="27" t="s">
        <v>13</v>
      </c>
      <c r="K7" s="27" t="s">
        <v>13</v>
      </c>
      <c r="L7" s="27" t="s">
        <v>13</v>
      </c>
      <c r="M7" s="27" t="s">
        <v>13</v>
      </c>
      <c r="N7" s="27" t="s">
        <v>13</v>
      </c>
      <c r="O7" s="27" t="s">
        <v>13</v>
      </c>
      <c r="P7">
        <v>0</v>
      </c>
      <c r="Q7">
        <v>235</v>
      </c>
      <c r="R7" t="s">
        <v>86</v>
      </c>
      <c r="S7" t="s">
        <v>88</v>
      </c>
      <c r="T7">
        <v>1</v>
      </c>
      <c r="U7">
        <v>0</v>
      </c>
      <c r="V7">
        <v>0</v>
      </c>
      <c r="W7">
        <v>0</v>
      </c>
      <c r="X7">
        <v>0</v>
      </c>
      <c r="Y7">
        <v>0</v>
      </c>
      <c r="Z7">
        <v>0</v>
      </c>
      <c r="AA7">
        <v>0</v>
      </c>
      <c r="AB7">
        <v>0</v>
      </c>
      <c r="AC7">
        <v>0</v>
      </c>
      <c r="AD7">
        <v>0</v>
      </c>
      <c r="AE7">
        <v>0</v>
      </c>
      <c r="AF7">
        <v>0</v>
      </c>
    </row>
    <row r="8" spans="1:32" x14ac:dyDescent="0.25">
      <c r="A8">
        <v>1</v>
      </c>
      <c r="B8" s="25">
        <v>40</v>
      </c>
      <c r="C8" t="s">
        <v>12</v>
      </c>
      <c r="D8">
        <v>0</v>
      </c>
      <c r="E8">
        <v>0</v>
      </c>
      <c r="F8" t="s">
        <v>13</v>
      </c>
      <c r="G8" t="s">
        <v>13</v>
      </c>
      <c r="H8" s="27" t="s">
        <v>13</v>
      </c>
      <c r="I8" s="27" t="s">
        <v>13</v>
      </c>
      <c r="J8" s="27" t="s">
        <v>13</v>
      </c>
      <c r="K8" s="27" t="s">
        <v>13</v>
      </c>
      <c r="L8" s="27" t="s">
        <v>13</v>
      </c>
      <c r="M8" s="27" t="s">
        <v>13</v>
      </c>
      <c r="N8" s="27" t="s">
        <v>13</v>
      </c>
      <c r="O8" s="27" t="s">
        <v>13</v>
      </c>
      <c r="P8">
        <v>0</v>
      </c>
      <c r="Q8">
        <v>235</v>
      </c>
      <c r="R8" t="s">
        <v>87</v>
      </c>
      <c r="S8" t="s">
        <v>89</v>
      </c>
      <c r="T8">
        <v>1</v>
      </c>
      <c r="U8">
        <v>0</v>
      </c>
      <c r="V8">
        <v>0</v>
      </c>
      <c r="W8">
        <v>0</v>
      </c>
      <c r="X8">
        <v>0</v>
      </c>
      <c r="Y8">
        <v>0</v>
      </c>
      <c r="Z8">
        <v>0</v>
      </c>
      <c r="AA8">
        <v>0</v>
      </c>
      <c r="AB8">
        <v>0</v>
      </c>
      <c r="AC8">
        <v>0</v>
      </c>
      <c r="AD8">
        <v>0</v>
      </c>
      <c r="AE8">
        <v>0</v>
      </c>
      <c r="AF8">
        <v>0</v>
      </c>
    </row>
    <row r="9" spans="1:32" x14ac:dyDescent="0.25">
      <c r="A9">
        <v>1</v>
      </c>
      <c r="B9" s="25">
        <v>50</v>
      </c>
      <c r="C9" t="s">
        <v>12</v>
      </c>
      <c r="D9">
        <v>0</v>
      </c>
      <c r="E9">
        <v>0</v>
      </c>
      <c r="F9">
        <v>300</v>
      </c>
      <c r="G9">
        <v>-250</v>
      </c>
      <c r="H9" s="27">
        <v>1</v>
      </c>
      <c r="I9" s="27">
        <v>0</v>
      </c>
      <c r="J9" s="27">
        <v>0</v>
      </c>
      <c r="K9" s="27">
        <v>0</v>
      </c>
      <c r="L9" s="27">
        <v>0</v>
      </c>
      <c r="M9" s="27">
        <v>0</v>
      </c>
      <c r="N9" s="27">
        <v>0</v>
      </c>
      <c r="O9" s="27">
        <v>0</v>
      </c>
      <c r="P9">
        <v>270</v>
      </c>
      <c r="Q9">
        <v>-250</v>
      </c>
      <c r="R9" t="s">
        <v>87</v>
      </c>
      <c r="S9" t="s">
        <v>89</v>
      </c>
      <c r="T9">
        <v>1</v>
      </c>
      <c r="U9">
        <v>0</v>
      </c>
      <c r="V9">
        <v>0</v>
      </c>
      <c r="W9">
        <v>0</v>
      </c>
      <c r="X9">
        <v>0</v>
      </c>
      <c r="Y9">
        <v>0</v>
      </c>
      <c r="Z9">
        <v>0</v>
      </c>
      <c r="AA9">
        <v>0</v>
      </c>
      <c r="AB9">
        <v>0</v>
      </c>
      <c r="AC9">
        <v>0</v>
      </c>
      <c r="AD9">
        <v>0</v>
      </c>
      <c r="AE9">
        <v>0</v>
      </c>
      <c r="AF9">
        <v>0</v>
      </c>
    </row>
    <row r="10" spans="1:32" x14ac:dyDescent="0.25">
      <c r="A10">
        <v>1</v>
      </c>
      <c r="B10" s="25">
        <v>60</v>
      </c>
      <c r="C10" t="s">
        <v>12</v>
      </c>
      <c r="D10">
        <v>0</v>
      </c>
      <c r="E10">
        <v>0</v>
      </c>
      <c r="F10">
        <v>300</v>
      </c>
      <c r="G10">
        <v>-250</v>
      </c>
      <c r="H10" s="27">
        <v>1</v>
      </c>
      <c r="I10" s="27">
        <v>0</v>
      </c>
      <c r="J10" s="27">
        <v>0</v>
      </c>
      <c r="K10" s="27">
        <v>0</v>
      </c>
      <c r="L10" s="27">
        <v>0</v>
      </c>
      <c r="M10" s="27">
        <v>0</v>
      </c>
      <c r="N10" s="27">
        <v>0</v>
      </c>
      <c r="O10" s="27">
        <v>0</v>
      </c>
      <c r="P10">
        <v>270</v>
      </c>
      <c r="Q10">
        <v>-250</v>
      </c>
      <c r="R10" t="s">
        <v>87</v>
      </c>
      <c r="S10" t="s">
        <v>89</v>
      </c>
      <c r="T10">
        <v>1</v>
      </c>
      <c r="U10">
        <v>0</v>
      </c>
      <c r="V10">
        <v>0</v>
      </c>
      <c r="W10">
        <v>0</v>
      </c>
      <c r="X10">
        <v>0</v>
      </c>
      <c r="Y10">
        <v>0</v>
      </c>
      <c r="Z10">
        <v>0</v>
      </c>
      <c r="AA10">
        <v>0</v>
      </c>
      <c r="AB10">
        <v>0</v>
      </c>
      <c r="AC10">
        <v>0</v>
      </c>
      <c r="AD10">
        <v>0</v>
      </c>
      <c r="AE10">
        <v>0</v>
      </c>
      <c r="AF10">
        <v>0</v>
      </c>
    </row>
    <row r="11" spans="1:32" x14ac:dyDescent="0.25">
      <c r="A11">
        <v>1</v>
      </c>
      <c r="B11" s="25">
        <v>70</v>
      </c>
      <c r="C11" t="s">
        <v>12</v>
      </c>
      <c r="D11">
        <v>0</v>
      </c>
      <c r="E11">
        <v>0</v>
      </c>
      <c r="F11">
        <v>300</v>
      </c>
      <c r="G11">
        <v>-250</v>
      </c>
      <c r="H11" s="27">
        <v>1</v>
      </c>
      <c r="I11" s="27">
        <v>0</v>
      </c>
      <c r="J11" s="27">
        <v>0</v>
      </c>
      <c r="K11" s="27">
        <v>0</v>
      </c>
      <c r="L11" s="27">
        <v>0</v>
      </c>
      <c r="M11" s="27">
        <v>0</v>
      </c>
      <c r="N11" s="27">
        <v>0</v>
      </c>
      <c r="O11" s="27">
        <v>0</v>
      </c>
      <c r="P11">
        <v>270</v>
      </c>
      <c r="Q11">
        <v>-250</v>
      </c>
      <c r="R11" t="s">
        <v>86</v>
      </c>
      <c r="S11" t="s">
        <v>88</v>
      </c>
      <c r="T11">
        <v>1</v>
      </c>
      <c r="U11">
        <v>0</v>
      </c>
      <c r="V11">
        <v>0</v>
      </c>
      <c r="W11">
        <v>0</v>
      </c>
      <c r="X11">
        <v>0</v>
      </c>
      <c r="Y11">
        <v>0</v>
      </c>
      <c r="Z11">
        <v>0</v>
      </c>
      <c r="AA11">
        <v>0</v>
      </c>
      <c r="AB11">
        <v>0</v>
      </c>
      <c r="AC11">
        <v>0</v>
      </c>
      <c r="AD11">
        <v>0</v>
      </c>
      <c r="AE11">
        <v>0</v>
      </c>
      <c r="AF11">
        <v>0</v>
      </c>
    </row>
    <row r="12" spans="1:32" x14ac:dyDescent="0.25">
      <c r="A12">
        <v>2</v>
      </c>
      <c r="B12" s="25">
        <v>80</v>
      </c>
      <c r="C12" t="s">
        <v>12</v>
      </c>
      <c r="D12" t="s">
        <v>13</v>
      </c>
      <c r="E12" t="s">
        <v>13</v>
      </c>
      <c r="F12">
        <v>250</v>
      </c>
      <c r="G12">
        <v>0</v>
      </c>
      <c r="H12" s="27">
        <v>1</v>
      </c>
      <c r="I12" s="27">
        <v>0</v>
      </c>
      <c r="J12" s="27">
        <v>0</v>
      </c>
      <c r="K12" s="27">
        <v>0</v>
      </c>
      <c r="L12" s="27">
        <v>0</v>
      </c>
      <c r="M12" s="27">
        <v>0</v>
      </c>
      <c r="N12" s="27">
        <v>0</v>
      </c>
      <c r="O12" s="27">
        <v>0</v>
      </c>
      <c r="P12">
        <v>220</v>
      </c>
      <c r="Q12">
        <v>0</v>
      </c>
      <c r="R12" t="s">
        <v>86</v>
      </c>
      <c r="S12" t="s">
        <v>88</v>
      </c>
      <c r="T12">
        <v>1</v>
      </c>
      <c r="U12">
        <v>0</v>
      </c>
      <c r="V12">
        <v>0</v>
      </c>
      <c r="W12">
        <v>0</v>
      </c>
      <c r="X12">
        <v>0</v>
      </c>
      <c r="Y12">
        <v>0</v>
      </c>
      <c r="Z12">
        <v>0</v>
      </c>
      <c r="AA12">
        <v>0</v>
      </c>
      <c r="AB12">
        <v>0</v>
      </c>
      <c r="AC12">
        <v>0</v>
      </c>
      <c r="AD12">
        <v>0</v>
      </c>
      <c r="AE12">
        <v>0</v>
      </c>
      <c r="AF12">
        <v>0</v>
      </c>
    </row>
    <row r="13" spans="1:32" x14ac:dyDescent="0.25">
      <c r="A13">
        <v>2</v>
      </c>
      <c r="B13" s="25">
        <v>90</v>
      </c>
      <c r="C13" t="s">
        <v>12</v>
      </c>
      <c r="D13" t="s">
        <v>84</v>
      </c>
      <c r="E13">
        <v>0</v>
      </c>
      <c r="F13">
        <v>333</v>
      </c>
      <c r="G13">
        <v>-123</v>
      </c>
      <c r="H13" s="27">
        <v>1</v>
      </c>
      <c r="I13" s="27">
        <v>0</v>
      </c>
      <c r="J13" s="27">
        <v>0</v>
      </c>
      <c r="K13" s="27">
        <v>0</v>
      </c>
      <c r="L13" s="27">
        <v>0</v>
      </c>
      <c r="M13" s="27">
        <v>0</v>
      </c>
      <c r="N13" s="27">
        <v>0</v>
      </c>
      <c r="O13" s="27">
        <v>0</v>
      </c>
      <c r="P13">
        <v>320</v>
      </c>
      <c r="Q13">
        <v>235</v>
      </c>
      <c r="R13" t="s">
        <v>86</v>
      </c>
      <c r="S13" t="s">
        <v>88</v>
      </c>
      <c r="T13">
        <v>1</v>
      </c>
      <c r="U13">
        <v>0</v>
      </c>
      <c r="V13">
        <v>0</v>
      </c>
      <c r="W13">
        <v>0</v>
      </c>
      <c r="X13">
        <v>0</v>
      </c>
      <c r="Y13">
        <v>0</v>
      </c>
      <c r="Z13">
        <v>0</v>
      </c>
      <c r="AA13">
        <v>0</v>
      </c>
      <c r="AB13" t="s">
        <v>84</v>
      </c>
      <c r="AC13">
        <v>0</v>
      </c>
      <c r="AD13">
        <v>0</v>
      </c>
      <c r="AE13">
        <v>1</v>
      </c>
      <c r="AF13">
        <v>0</v>
      </c>
    </row>
    <row r="14" spans="1:32" x14ac:dyDescent="0.25">
      <c r="A14">
        <v>2</v>
      </c>
      <c r="B14" s="25">
        <v>100</v>
      </c>
      <c r="C14" t="s">
        <v>12</v>
      </c>
      <c r="D14" t="s">
        <v>84</v>
      </c>
      <c r="E14">
        <v>0</v>
      </c>
      <c r="F14">
        <v>333</v>
      </c>
      <c r="G14">
        <v>-123</v>
      </c>
      <c r="H14" s="27">
        <v>1</v>
      </c>
      <c r="I14" s="27">
        <v>0</v>
      </c>
      <c r="J14" s="27">
        <v>0</v>
      </c>
      <c r="K14" s="27">
        <v>0</v>
      </c>
      <c r="L14" s="27">
        <v>0</v>
      </c>
      <c r="M14" s="27">
        <v>0</v>
      </c>
      <c r="N14" s="27">
        <v>0</v>
      </c>
      <c r="O14" s="27">
        <v>0</v>
      </c>
      <c r="P14">
        <v>320</v>
      </c>
      <c r="Q14">
        <v>235</v>
      </c>
      <c r="R14" t="s">
        <v>86</v>
      </c>
      <c r="S14" t="s">
        <v>88</v>
      </c>
      <c r="T14">
        <v>1</v>
      </c>
      <c r="U14">
        <v>0</v>
      </c>
      <c r="V14">
        <v>0</v>
      </c>
      <c r="W14">
        <v>0</v>
      </c>
      <c r="X14">
        <v>0</v>
      </c>
      <c r="Y14">
        <v>0</v>
      </c>
      <c r="Z14">
        <v>0</v>
      </c>
      <c r="AA14">
        <v>0</v>
      </c>
      <c r="AB14" t="s">
        <v>84</v>
      </c>
      <c r="AC14">
        <v>0</v>
      </c>
      <c r="AD14">
        <v>0</v>
      </c>
      <c r="AE14">
        <v>1</v>
      </c>
      <c r="AF14">
        <v>0</v>
      </c>
    </row>
    <row r="15" spans="1:32" x14ac:dyDescent="0.25">
      <c r="A15">
        <v>2</v>
      </c>
      <c r="B15" s="25">
        <v>110</v>
      </c>
      <c r="C15" t="s">
        <v>12</v>
      </c>
      <c r="D15" t="s">
        <v>84</v>
      </c>
      <c r="E15">
        <v>0</v>
      </c>
      <c r="F15">
        <v>333</v>
      </c>
      <c r="G15">
        <v>-123</v>
      </c>
      <c r="H15" s="27">
        <v>1</v>
      </c>
      <c r="I15" s="27">
        <v>0</v>
      </c>
      <c r="J15" s="27">
        <v>0</v>
      </c>
      <c r="K15" s="27">
        <v>0</v>
      </c>
      <c r="L15" s="27">
        <v>0</v>
      </c>
      <c r="M15" s="27">
        <v>0</v>
      </c>
      <c r="N15" s="27">
        <v>0</v>
      </c>
      <c r="O15" s="27">
        <v>0</v>
      </c>
      <c r="P15">
        <v>320</v>
      </c>
      <c r="Q15">
        <v>235</v>
      </c>
      <c r="R15" t="s">
        <v>87</v>
      </c>
      <c r="S15" t="s">
        <v>89</v>
      </c>
      <c r="T15">
        <v>1</v>
      </c>
      <c r="U15">
        <v>0</v>
      </c>
      <c r="V15">
        <v>0</v>
      </c>
      <c r="W15">
        <v>0</v>
      </c>
      <c r="X15">
        <v>0</v>
      </c>
      <c r="Y15">
        <v>0</v>
      </c>
      <c r="Z15">
        <v>0</v>
      </c>
      <c r="AA15">
        <v>0</v>
      </c>
      <c r="AB15" t="s">
        <v>84</v>
      </c>
      <c r="AC15">
        <v>0</v>
      </c>
      <c r="AD15">
        <v>0</v>
      </c>
      <c r="AE15">
        <v>1</v>
      </c>
      <c r="AF15">
        <v>0</v>
      </c>
    </row>
    <row r="16" spans="1:32" x14ac:dyDescent="0.25">
      <c r="A16">
        <v>2</v>
      </c>
      <c r="B16" s="25">
        <v>120</v>
      </c>
      <c r="C16" t="s">
        <v>12</v>
      </c>
      <c r="D16">
        <v>0</v>
      </c>
      <c r="E16">
        <v>0</v>
      </c>
      <c r="F16">
        <v>350</v>
      </c>
      <c r="G16">
        <v>125</v>
      </c>
      <c r="H16" s="27">
        <v>1</v>
      </c>
      <c r="I16" s="27">
        <v>0</v>
      </c>
      <c r="J16" s="27">
        <v>0</v>
      </c>
      <c r="K16" s="27">
        <v>0</v>
      </c>
      <c r="L16" s="27">
        <v>0</v>
      </c>
      <c r="M16" s="27">
        <v>0</v>
      </c>
      <c r="N16" s="27">
        <v>0</v>
      </c>
      <c r="O16" s="27">
        <v>0</v>
      </c>
      <c r="P16">
        <v>320</v>
      </c>
      <c r="Q16">
        <v>125</v>
      </c>
      <c r="R16" t="s">
        <v>87</v>
      </c>
      <c r="S16" t="s">
        <v>89</v>
      </c>
      <c r="T16">
        <v>1</v>
      </c>
      <c r="U16">
        <v>0</v>
      </c>
      <c r="V16">
        <v>0</v>
      </c>
      <c r="W16">
        <v>0</v>
      </c>
      <c r="X16">
        <v>0</v>
      </c>
      <c r="Y16">
        <v>0</v>
      </c>
      <c r="Z16">
        <v>0</v>
      </c>
      <c r="AA16">
        <v>0</v>
      </c>
      <c r="AB16">
        <v>0</v>
      </c>
      <c r="AC16">
        <v>0</v>
      </c>
      <c r="AD16">
        <v>0</v>
      </c>
      <c r="AE16">
        <v>0</v>
      </c>
      <c r="AF16">
        <v>0</v>
      </c>
    </row>
    <row r="17" spans="1:32" x14ac:dyDescent="0.25">
      <c r="A17">
        <v>2</v>
      </c>
      <c r="B17" s="25">
        <v>130</v>
      </c>
      <c r="C17" t="s">
        <v>12</v>
      </c>
      <c r="D17">
        <v>0</v>
      </c>
      <c r="E17">
        <v>0</v>
      </c>
      <c r="F17">
        <v>350</v>
      </c>
      <c r="G17">
        <v>125</v>
      </c>
      <c r="H17" s="27">
        <v>1</v>
      </c>
      <c r="I17" s="27">
        <v>0</v>
      </c>
      <c r="J17" s="27">
        <v>0</v>
      </c>
      <c r="K17" s="27">
        <v>0</v>
      </c>
      <c r="L17" s="27">
        <v>0</v>
      </c>
      <c r="M17" s="27">
        <v>0</v>
      </c>
      <c r="N17" s="27">
        <v>0</v>
      </c>
      <c r="O17" s="27">
        <v>0</v>
      </c>
      <c r="P17">
        <v>320</v>
      </c>
      <c r="Q17">
        <v>125</v>
      </c>
      <c r="R17" t="s">
        <v>87</v>
      </c>
      <c r="S17" t="s">
        <v>89</v>
      </c>
      <c r="T17">
        <v>1</v>
      </c>
      <c r="U17">
        <v>0</v>
      </c>
      <c r="V17">
        <v>0</v>
      </c>
      <c r="W17">
        <v>0</v>
      </c>
      <c r="X17">
        <v>0</v>
      </c>
      <c r="Y17">
        <v>0</v>
      </c>
      <c r="Z17">
        <v>0</v>
      </c>
      <c r="AA17">
        <v>0</v>
      </c>
      <c r="AB17">
        <v>0</v>
      </c>
      <c r="AC17">
        <v>0</v>
      </c>
      <c r="AD17">
        <v>0</v>
      </c>
      <c r="AE17">
        <v>0</v>
      </c>
      <c r="AF17">
        <v>0</v>
      </c>
    </row>
    <row r="18" spans="1:32" x14ac:dyDescent="0.25">
      <c r="A18">
        <v>2</v>
      </c>
      <c r="B18" s="25">
        <v>140</v>
      </c>
      <c r="C18" t="s">
        <v>12</v>
      </c>
      <c r="D18">
        <v>0</v>
      </c>
      <c r="E18">
        <v>0</v>
      </c>
      <c r="F18">
        <v>350</v>
      </c>
      <c r="G18">
        <v>125</v>
      </c>
      <c r="H18" s="27">
        <v>1</v>
      </c>
      <c r="I18" s="27">
        <v>0</v>
      </c>
      <c r="J18" s="27">
        <v>0</v>
      </c>
      <c r="K18" s="27">
        <v>0</v>
      </c>
      <c r="L18" s="27">
        <v>0</v>
      </c>
      <c r="M18" s="27">
        <v>0</v>
      </c>
      <c r="N18" s="27">
        <v>0</v>
      </c>
      <c r="O18" s="27">
        <v>0</v>
      </c>
      <c r="P18">
        <v>320</v>
      </c>
      <c r="Q18">
        <v>125</v>
      </c>
      <c r="R18" t="s">
        <v>86</v>
      </c>
      <c r="S18" t="s">
        <v>88</v>
      </c>
      <c r="T18">
        <v>1</v>
      </c>
      <c r="U18">
        <v>0</v>
      </c>
      <c r="V18">
        <v>0</v>
      </c>
      <c r="W18">
        <v>0</v>
      </c>
      <c r="X18">
        <v>0</v>
      </c>
      <c r="Y18">
        <v>0</v>
      </c>
      <c r="Z18">
        <v>0</v>
      </c>
      <c r="AA18">
        <v>0</v>
      </c>
      <c r="AB18">
        <v>0</v>
      </c>
      <c r="AC18">
        <v>0</v>
      </c>
      <c r="AD18">
        <v>0</v>
      </c>
      <c r="AE18">
        <v>0</v>
      </c>
      <c r="AF18">
        <v>0</v>
      </c>
    </row>
    <row r="19" spans="1:32" x14ac:dyDescent="0.25">
      <c r="A19">
        <v>56</v>
      </c>
      <c r="B19" s="25">
        <v>150</v>
      </c>
      <c r="C19" t="s">
        <v>12</v>
      </c>
      <c r="D19">
        <v>0</v>
      </c>
      <c r="E19">
        <v>0</v>
      </c>
      <c r="F19">
        <v>0</v>
      </c>
      <c r="G19">
        <v>225</v>
      </c>
      <c r="H19" s="27">
        <v>0</v>
      </c>
      <c r="I19" s="27">
        <v>0</v>
      </c>
      <c r="J19" s="27">
        <v>0</v>
      </c>
      <c r="K19" s="27">
        <v>0</v>
      </c>
      <c r="L19" s="27">
        <v>0</v>
      </c>
      <c r="M19" s="27">
        <v>0</v>
      </c>
      <c r="N19" s="27">
        <v>0</v>
      </c>
      <c r="O19" s="27">
        <v>0</v>
      </c>
      <c r="P19">
        <v>320</v>
      </c>
      <c r="Q19">
        <v>235</v>
      </c>
      <c r="R19" t="s">
        <v>86</v>
      </c>
      <c r="S19" t="s">
        <v>88</v>
      </c>
      <c r="T19">
        <v>0</v>
      </c>
      <c r="U19">
        <v>0</v>
      </c>
      <c r="V19">
        <v>0</v>
      </c>
      <c r="W19">
        <v>0</v>
      </c>
      <c r="X19">
        <v>0</v>
      </c>
      <c r="Y19">
        <v>0</v>
      </c>
      <c r="Z19">
        <v>0</v>
      </c>
      <c r="AA19">
        <v>0</v>
      </c>
      <c r="AB19">
        <v>0</v>
      </c>
      <c r="AC19">
        <v>0</v>
      </c>
      <c r="AD19">
        <v>0</v>
      </c>
      <c r="AE19">
        <v>1</v>
      </c>
      <c r="AF19">
        <v>0</v>
      </c>
    </row>
    <row r="20" spans="1:32" x14ac:dyDescent="0.25">
      <c r="A20" s="25">
        <v>56</v>
      </c>
      <c r="B20" s="25">
        <v>160</v>
      </c>
      <c r="C20" t="s">
        <v>12</v>
      </c>
      <c r="D20">
        <v>0</v>
      </c>
      <c r="E20">
        <v>0</v>
      </c>
      <c r="F20">
        <v>0</v>
      </c>
      <c r="G20">
        <v>225</v>
      </c>
      <c r="H20" s="27">
        <v>0</v>
      </c>
      <c r="I20" s="27">
        <v>0</v>
      </c>
      <c r="J20" s="27">
        <v>0</v>
      </c>
      <c r="K20" s="27">
        <v>0</v>
      </c>
      <c r="L20" s="27">
        <v>0</v>
      </c>
      <c r="M20" s="27">
        <v>0</v>
      </c>
      <c r="N20" s="27">
        <v>0</v>
      </c>
      <c r="O20" s="27">
        <v>0</v>
      </c>
      <c r="P20">
        <v>320</v>
      </c>
      <c r="Q20">
        <v>235</v>
      </c>
      <c r="R20" t="s">
        <v>86</v>
      </c>
      <c r="S20" t="s">
        <v>88</v>
      </c>
      <c r="T20">
        <v>0</v>
      </c>
      <c r="U20">
        <v>0</v>
      </c>
      <c r="V20">
        <v>0</v>
      </c>
      <c r="W20">
        <v>0</v>
      </c>
      <c r="X20">
        <v>0</v>
      </c>
      <c r="Y20">
        <v>0</v>
      </c>
      <c r="Z20">
        <v>0</v>
      </c>
      <c r="AA20">
        <v>0</v>
      </c>
      <c r="AB20">
        <v>0</v>
      </c>
      <c r="AC20">
        <v>0</v>
      </c>
      <c r="AD20">
        <v>0</v>
      </c>
      <c r="AE20">
        <v>1</v>
      </c>
      <c r="AF20">
        <v>0</v>
      </c>
    </row>
    <row r="21" spans="1:32" x14ac:dyDescent="0.25">
      <c r="A21" s="25">
        <v>56</v>
      </c>
      <c r="B21" s="25">
        <v>170</v>
      </c>
      <c r="C21" t="s">
        <v>12</v>
      </c>
      <c r="D21">
        <v>0</v>
      </c>
      <c r="E21">
        <v>0</v>
      </c>
      <c r="F21">
        <v>0</v>
      </c>
      <c r="G21">
        <v>225</v>
      </c>
      <c r="H21" s="27">
        <v>0</v>
      </c>
      <c r="I21" s="27">
        <v>0</v>
      </c>
      <c r="J21" s="27">
        <v>0</v>
      </c>
      <c r="K21" s="27">
        <v>0</v>
      </c>
      <c r="L21" s="27">
        <v>0</v>
      </c>
      <c r="M21" s="27">
        <v>0</v>
      </c>
      <c r="N21" s="27">
        <v>0</v>
      </c>
      <c r="O21" s="27">
        <v>0</v>
      </c>
      <c r="P21">
        <v>320</v>
      </c>
      <c r="Q21">
        <v>235</v>
      </c>
      <c r="R21" t="s">
        <v>87</v>
      </c>
      <c r="S21" t="s">
        <v>89</v>
      </c>
      <c r="T21">
        <v>0</v>
      </c>
      <c r="U21">
        <v>0</v>
      </c>
      <c r="V21">
        <v>0</v>
      </c>
      <c r="W21">
        <v>0</v>
      </c>
      <c r="X21">
        <v>0</v>
      </c>
      <c r="Y21">
        <v>0</v>
      </c>
      <c r="Z21">
        <v>0</v>
      </c>
      <c r="AA21">
        <v>0</v>
      </c>
      <c r="AB21">
        <v>0</v>
      </c>
      <c r="AC21">
        <v>0</v>
      </c>
      <c r="AD21">
        <v>0</v>
      </c>
      <c r="AE21">
        <v>1</v>
      </c>
      <c r="AF21">
        <v>0</v>
      </c>
    </row>
    <row r="22" spans="1:32" x14ac:dyDescent="0.25">
      <c r="A22" s="25">
        <v>56</v>
      </c>
      <c r="B22" s="25">
        <v>180</v>
      </c>
      <c r="C22" t="s">
        <v>12</v>
      </c>
      <c r="D22">
        <v>0</v>
      </c>
      <c r="E22">
        <v>0</v>
      </c>
      <c r="F22">
        <v>300</v>
      </c>
      <c r="G22">
        <v>-250</v>
      </c>
      <c r="H22" s="27">
        <v>1</v>
      </c>
      <c r="I22" s="27">
        <v>0</v>
      </c>
      <c r="J22" s="27">
        <v>0</v>
      </c>
      <c r="K22" s="27">
        <v>0</v>
      </c>
      <c r="L22" s="27">
        <v>0</v>
      </c>
      <c r="M22" s="27">
        <v>0</v>
      </c>
      <c r="N22" s="27">
        <v>0</v>
      </c>
      <c r="O22" s="27">
        <v>0</v>
      </c>
      <c r="P22">
        <v>270</v>
      </c>
      <c r="Q22">
        <v>-250</v>
      </c>
      <c r="R22" t="s">
        <v>87</v>
      </c>
      <c r="S22" t="s">
        <v>89</v>
      </c>
      <c r="T22">
        <v>1</v>
      </c>
      <c r="U22">
        <v>0</v>
      </c>
      <c r="V22">
        <v>0</v>
      </c>
      <c r="W22">
        <v>0</v>
      </c>
      <c r="X22">
        <v>0</v>
      </c>
      <c r="Y22">
        <v>0</v>
      </c>
      <c r="Z22">
        <v>0</v>
      </c>
      <c r="AA22">
        <v>0</v>
      </c>
      <c r="AB22">
        <v>0</v>
      </c>
      <c r="AC22">
        <v>0</v>
      </c>
      <c r="AD22">
        <v>0</v>
      </c>
      <c r="AE22">
        <v>0</v>
      </c>
      <c r="AF22">
        <v>0</v>
      </c>
    </row>
    <row r="23" spans="1:32" x14ac:dyDescent="0.25">
      <c r="A23" s="25">
        <v>56</v>
      </c>
      <c r="B23" s="25">
        <v>190</v>
      </c>
      <c r="C23" t="s">
        <v>12</v>
      </c>
      <c r="D23">
        <v>0</v>
      </c>
      <c r="E23">
        <v>0</v>
      </c>
      <c r="F23">
        <v>300</v>
      </c>
      <c r="G23">
        <v>-250</v>
      </c>
      <c r="H23" s="27">
        <v>1</v>
      </c>
      <c r="I23" s="27">
        <v>0</v>
      </c>
      <c r="J23" s="27">
        <v>0</v>
      </c>
      <c r="K23" s="27">
        <v>0</v>
      </c>
      <c r="L23" s="27">
        <v>0</v>
      </c>
      <c r="M23" s="27">
        <v>0</v>
      </c>
      <c r="N23" s="27">
        <v>0</v>
      </c>
      <c r="O23" s="27">
        <v>0</v>
      </c>
      <c r="P23">
        <v>270</v>
      </c>
      <c r="Q23">
        <v>-250</v>
      </c>
      <c r="R23" t="s">
        <v>87</v>
      </c>
      <c r="S23" t="s">
        <v>89</v>
      </c>
      <c r="T23">
        <v>1</v>
      </c>
      <c r="U23">
        <v>0</v>
      </c>
      <c r="V23">
        <v>0</v>
      </c>
      <c r="W23">
        <v>0</v>
      </c>
      <c r="X23">
        <v>0</v>
      </c>
      <c r="Y23">
        <v>0</v>
      </c>
      <c r="Z23">
        <v>0</v>
      </c>
      <c r="AA23">
        <v>0</v>
      </c>
      <c r="AB23">
        <v>0</v>
      </c>
      <c r="AC23">
        <v>0</v>
      </c>
      <c r="AD23">
        <v>0</v>
      </c>
      <c r="AE23">
        <v>0</v>
      </c>
      <c r="AF23">
        <v>0</v>
      </c>
    </row>
    <row r="24" spans="1:32" x14ac:dyDescent="0.25">
      <c r="A24" s="25">
        <v>56</v>
      </c>
      <c r="B24" s="25">
        <v>200</v>
      </c>
      <c r="C24" t="s">
        <v>12</v>
      </c>
      <c r="D24">
        <v>0</v>
      </c>
      <c r="E24">
        <v>0</v>
      </c>
      <c r="F24">
        <v>300</v>
      </c>
      <c r="G24">
        <v>-250</v>
      </c>
      <c r="H24" s="27">
        <v>1</v>
      </c>
      <c r="I24" s="27">
        <v>0</v>
      </c>
      <c r="J24" s="27">
        <v>0</v>
      </c>
      <c r="K24" s="27">
        <v>0</v>
      </c>
      <c r="L24" s="27">
        <v>0</v>
      </c>
      <c r="M24" s="27">
        <v>0</v>
      </c>
      <c r="N24" s="27">
        <v>0</v>
      </c>
      <c r="O24" s="27">
        <v>0</v>
      </c>
      <c r="P24">
        <v>270</v>
      </c>
      <c r="Q24">
        <v>-250</v>
      </c>
      <c r="R24" t="s">
        <v>86</v>
      </c>
      <c r="S24" t="s">
        <v>88</v>
      </c>
      <c r="T24">
        <v>1</v>
      </c>
      <c r="U24">
        <v>0</v>
      </c>
      <c r="V24">
        <v>0</v>
      </c>
      <c r="W24">
        <v>0</v>
      </c>
      <c r="X24">
        <v>0</v>
      </c>
      <c r="Y24">
        <v>0</v>
      </c>
      <c r="Z24">
        <v>0</v>
      </c>
      <c r="AA24">
        <v>0</v>
      </c>
      <c r="AB24">
        <v>0</v>
      </c>
      <c r="AC24">
        <v>0</v>
      </c>
      <c r="AD24">
        <v>0</v>
      </c>
      <c r="AE24">
        <v>0</v>
      </c>
      <c r="AF24">
        <v>0</v>
      </c>
    </row>
    <row r="25" spans="1:32" x14ac:dyDescent="0.25">
      <c r="A25" s="25">
        <v>57</v>
      </c>
      <c r="B25" s="25">
        <v>210</v>
      </c>
      <c r="C25" t="s">
        <v>12</v>
      </c>
      <c r="D25">
        <v>0</v>
      </c>
      <c r="E25">
        <v>0</v>
      </c>
      <c r="F25">
        <v>555</v>
      </c>
      <c r="G25">
        <v>-249</v>
      </c>
      <c r="H25" s="27">
        <v>1</v>
      </c>
      <c r="I25" s="27">
        <v>1</v>
      </c>
      <c r="J25" s="27">
        <v>0</v>
      </c>
      <c r="K25" s="27">
        <v>0</v>
      </c>
      <c r="L25" s="27">
        <v>0</v>
      </c>
      <c r="M25" s="27">
        <v>0</v>
      </c>
      <c r="N25" s="27">
        <v>0</v>
      </c>
      <c r="O25" s="27">
        <v>0</v>
      </c>
      <c r="P25">
        <v>270</v>
      </c>
      <c r="Q25">
        <v>235</v>
      </c>
      <c r="R25" t="s">
        <v>86</v>
      </c>
      <c r="S25" t="s">
        <v>88</v>
      </c>
      <c r="T25">
        <v>1</v>
      </c>
      <c r="U25">
        <v>1</v>
      </c>
      <c r="V25">
        <v>0</v>
      </c>
      <c r="W25">
        <v>0</v>
      </c>
      <c r="X25">
        <v>0</v>
      </c>
      <c r="Y25">
        <v>0</v>
      </c>
      <c r="Z25">
        <v>0</v>
      </c>
      <c r="AA25">
        <v>0</v>
      </c>
      <c r="AB25">
        <v>0</v>
      </c>
      <c r="AC25">
        <v>0</v>
      </c>
      <c r="AD25">
        <v>0</v>
      </c>
      <c r="AE25">
        <v>1</v>
      </c>
      <c r="AF25">
        <v>0</v>
      </c>
    </row>
    <row r="26" spans="1:32" x14ac:dyDescent="0.25">
      <c r="A26" s="25">
        <v>57</v>
      </c>
      <c r="B26" s="25">
        <v>220</v>
      </c>
      <c r="C26" t="s">
        <v>12</v>
      </c>
      <c r="D26">
        <v>0</v>
      </c>
      <c r="E26">
        <v>0</v>
      </c>
      <c r="F26">
        <v>555</v>
      </c>
      <c r="G26">
        <v>-249</v>
      </c>
      <c r="H26" s="27">
        <v>1</v>
      </c>
      <c r="I26" s="27">
        <v>1</v>
      </c>
      <c r="J26" s="27">
        <v>0</v>
      </c>
      <c r="K26" s="27">
        <v>0</v>
      </c>
      <c r="L26" s="27">
        <v>0</v>
      </c>
      <c r="M26" s="27">
        <v>0</v>
      </c>
      <c r="N26" s="27">
        <v>0</v>
      </c>
      <c r="O26" s="27">
        <v>0</v>
      </c>
      <c r="P26">
        <v>270</v>
      </c>
      <c r="Q26">
        <v>235</v>
      </c>
      <c r="R26" t="s">
        <v>86</v>
      </c>
      <c r="S26" t="s">
        <v>88</v>
      </c>
      <c r="T26">
        <v>1</v>
      </c>
      <c r="U26">
        <v>1</v>
      </c>
      <c r="V26">
        <v>0</v>
      </c>
      <c r="W26">
        <v>0</v>
      </c>
      <c r="X26">
        <v>0</v>
      </c>
      <c r="Y26">
        <v>0</v>
      </c>
      <c r="Z26">
        <v>0</v>
      </c>
      <c r="AA26">
        <v>0</v>
      </c>
      <c r="AB26">
        <v>0</v>
      </c>
      <c r="AC26">
        <v>0</v>
      </c>
      <c r="AD26">
        <v>0</v>
      </c>
      <c r="AE26">
        <v>1</v>
      </c>
      <c r="AF26">
        <v>0</v>
      </c>
    </row>
    <row r="27" spans="1:32" s="25" customFormat="1" x14ac:dyDescent="0.25">
      <c r="A27" s="25">
        <v>57</v>
      </c>
      <c r="B27" s="25">
        <v>230</v>
      </c>
      <c r="C27" s="25" t="s">
        <v>12</v>
      </c>
      <c r="D27" s="25">
        <v>0</v>
      </c>
      <c r="E27" s="25">
        <v>0</v>
      </c>
      <c r="F27" s="25">
        <v>555</v>
      </c>
      <c r="G27" s="25">
        <v>-249</v>
      </c>
      <c r="H27" s="27">
        <v>1</v>
      </c>
      <c r="I27" s="27">
        <v>1</v>
      </c>
      <c r="J27" s="27">
        <v>0</v>
      </c>
      <c r="K27" s="27">
        <v>0</v>
      </c>
      <c r="L27" s="27">
        <v>0</v>
      </c>
      <c r="M27" s="27">
        <v>0</v>
      </c>
      <c r="N27" s="27">
        <v>0</v>
      </c>
      <c r="O27" s="27">
        <v>0</v>
      </c>
      <c r="P27" s="25">
        <v>270</v>
      </c>
      <c r="Q27" s="25">
        <v>235</v>
      </c>
      <c r="R27" s="25" t="s">
        <v>87</v>
      </c>
      <c r="S27" s="25" t="s">
        <v>89</v>
      </c>
      <c r="T27" s="25">
        <v>1</v>
      </c>
      <c r="U27" s="25">
        <v>1</v>
      </c>
      <c r="V27" s="25">
        <v>0</v>
      </c>
      <c r="W27" s="25">
        <v>0</v>
      </c>
      <c r="X27" s="25">
        <v>0</v>
      </c>
      <c r="Y27" s="25">
        <v>0</v>
      </c>
      <c r="Z27" s="25">
        <v>0</v>
      </c>
      <c r="AA27" s="25">
        <v>0</v>
      </c>
      <c r="AB27" s="25">
        <v>0</v>
      </c>
      <c r="AC27" s="25">
        <v>0</v>
      </c>
      <c r="AD27" s="25">
        <v>0</v>
      </c>
      <c r="AE27" s="25">
        <v>1</v>
      </c>
      <c r="AF27" s="25">
        <v>0</v>
      </c>
    </row>
    <row r="28" spans="1:32" s="25" customFormat="1" x14ac:dyDescent="0.25">
      <c r="A28" s="25">
        <v>57</v>
      </c>
      <c r="B28" s="25">
        <v>240</v>
      </c>
      <c r="C28" s="25" t="s">
        <v>12</v>
      </c>
      <c r="D28" s="25">
        <v>0</v>
      </c>
      <c r="E28" s="25">
        <v>0</v>
      </c>
      <c r="F28" s="25">
        <v>456</v>
      </c>
      <c r="G28" s="25">
        <v>0</v>
      </c>
      <c r="H28" s="27">
        <v>1</v>
      </c>
      <c r="I28" s="27">
        <v>0</v>
      </c>
      <c r="J28" s="27">
        <v>0</v>
      </c>
      <c r="K28" s="27">
        <v>0</v>
      </c>
      <c r="L28" s="27">
        <v>0</v>
      </c>
      <c r="M28" s="27">
        <v>0</v>
      </c>
      <c r="N28" s="27">
        <v>0</v>
      </c>
      <c r="O28" s="27">
        <v>0</v>
      </c>
      <c r="P28" s="25">
        <v>426</v>
      </c>
      <c r="Q28" s="25">
        <v>0</v>
      </c>
      <c r="R28" s="25" t="s">
        <v>87</v>
      </c>
      <c r="S28" s="25" t="s">
        <v>89</v>
      </c>
      <c r="T28" s="25">
        <v>1</v>
      </c>
      <c r="U28" s="25">
        <v>0</v>
      </c>
      <c r="V28" s="25">
        <v>0</v>
      </c>
      <c r="W28" s="25">
        <v>0</v>
      </c>
      <c r="X28" s="25">
        <v>0</v>
      </c>
      <c r="Y28" s="25">
        <v>0</v>
      </c>
      <c r="Z28" s="25">
        <v>0</v>
      </c>
      <c r="AA28" s="25">
        <v>0</v>
      </c>
      <c r="AB28" s="25">
        <v>0</v>
      </c>
      <c r="AC28" s="25">
        <v>0</v>
      </c>
      <c r="AD28" s="25">
        <v>0</v>
      </c>
      <c r="AE28" s="25">
        <v>0</v>
      </c>
      <c r="AF28" s="25">
        <v>0</v>
      </c>
    </row>
    <row r="29" spans="1:32" s="25" customFormat="1" x14ac:dyDescent="0.25">
      <c r="A29" s="25">
        <v>57</v>
      </c>
      <c r="B29" s="25">
        <v>250</v>
      </c>
      <c r="C29" s="25" t="s">
        <v>12</v>
      </c>
      <c r="D29" s="25">
        <v>0</v>
      </c>
      <c r="E29" s="25">
        <v>0</v>
      </c>
      <c r="F29" s="25">
        <v>456</v>
      </c>
      <c r="G29" s="25">
        <v>0</v>
      </c>
      <c r="H29" s="27">
        <v>1</v>
      </c>
      <c r="I29" s="27">
        <v>0</v>
      </c>
      <c r="J29" s="27">
        <v>0</v>
      </c>
      <c r="K29" s="27">
        <v>0</v>
      </c>
      <c r="L29" s="27">
        <v>0</v>
      </c>
      <c r="M29" s="27">
        <v>0</v>
      </c>
      <c r="N29" s="27">
        <v>0</v>
      </c>
      <c r="O29" s="27">
        <v>0</v>
      </c>
      <c r="P29" s="25">
        <v>426</v>
      </c>
      <c r="Q29" s="25">
        <v>0</v>
      </c>
      <c r="R29" s="25" t="s">
        <v>87</v>
      </c>
      <c r="S29" s="25" t="s">
        <v>89</v>
      </c>
      <c r="T29" s="25">
        <v>1</v>
      </c>
      <c r="U29" s="25">
        <v>0</v>
      </c>
      <c r="V29" s="25">
        <v>0</v>
      </c>
      <c r="W29" s="25">
        <v>0</v>
      </c>
      <c r="X29" s="25">
        <v>0</v>
      </c>
      <c r="Y29" s="25">
        <v>0</v>
      </c>
      <c r="Z29" s="25">
        <v>0</v>
      </c>
      <c r="AA29" s="25">
        <v>0</v>
      </c>
      <c r="AB29" s="25">
        <v>0</v>
      </c>
      <c r="AC29" s="25">
        <v>0</v>
      </c>
      <c r="AD29" s="25">
        <v>0</v>
      </c>
      <c r="AE29" s="25">
        <v>0</v>
      </c>
      <c r="AF29" s="25">
        <v>0</v>
      </c>
    </row>
    <row r="30" spans="1:32" x14ac:dyDescent="0.25">
      <c r="A30" s="25">
        <v>57</v>
      </c>
      <c r="B30" s="25">
        <v>260</v>
      </c>
      <c r="C30" t="s">
        <v>12</v>
      </c>
      <c r="D30">
        <v>0</v>
      </c>
      <c r="E30">
        <v>0</v>
      </c>
      <c r="F30">
        <v>456</v>
      </c>
      <c r="G30">
        <v>0</v>
      </c>
      <c r="H30" s="27">
        <v>1</v>
      </c>
      <c r="I30" s="27">
        <v>0</v>
      </c>
      <c r="J30" s="27">
        <v>0</v>
      </c>
      <c r="K30" s="27">
        <v>0</v>
      </c>
      <c r="L30" s="27">
        <v>0</v>
      </c>
      <c r="M30" s="27">
        <v>0</v>
      </c>
      <c r="N30" s="27">
        <v>0</v>
      </c>
      <c r="O30" s="27">
        <v>0</v>
      </c>
      <c r="P30">
        <v>426</v>
      </c>
      <c r="Q30">
        <v>0</v>
      </c>
      <c r="R30" t="s">
        <v>86</v>
      </c>
      <c r="S30" t="s">
        <v>88</v>
      </c>
      <c r="T30">
        <v>1</v>
      </c>
      <c r="U30">
        <v>0</v>
      </c>
      <c r="V30">
        <v>0</v>
      </c>
      <c r="W30">
        <v>0</v>
      </c>
      <c r="X30">
        <v>0</v>
      </c>
      <c r="Y30">
        <v>0</v>
      </c>
      <c r="Z30">
        <v>0</v>
      </c>
      <c r="AA30">
        <v>0</v>
      </c>
      <c r="AB30">
        <v>0</v>
      </c>
      <c r="AC30">
        <v>0</v>
      </c>
      <c r="AD30">
        <v>0</v>
      </c>
      <c r="AE30">
        <v>0</v>
      </c>
      <c r="AF30">
        <v>0</v>
      </c>
    </row>
    <row r="31" spans="1:32" x14ac:dyDescent="0.25">
      <c r="A31" s="25">
        <v>58</v>
      </c>
      <c r="B31" s="25">
        <v>270</v>
      </c>
      <c r="C31" t="s">
        <v>12</v>
      </c>
      <c r="D31">
        <v>0</v>
      </c>
      <c r="E31">
        <v>0</v>
      </c>
      <c r="F31">
        <v>500</v>
      </c>
      <c r="G31">
        <v>155</v>
      </c>
      <c r="H31" s="27">
        <v>1</v>
      </c>
      <c r="I31" s="27">
        <v>0</v>
      </c>
      <c r="J31" s="27">
        <v>0</v>
      </c>
      <c r="K31" s="27">
        <v>1</v>
      </c>
      <c r="L31" s="27">
        <v>0</v>
      </c>
      <c r="M31" s="27">
        <v>0</v>
      </c>
      <c r="N31" s="27">
        <v>0</v>
      </c>
      <c r="O31" s="27">
        <v>0</v>
      </c>
      <c r="P31">
        <v>426</v>
      </c>
      <c r="Q31">
        <v>235</v>
      </c>
      <c r="R31" t="s">
        <v>86</v>
      </c>
      <c r="S31" t="s">
        <v>88</v>
      </c>
      <c r="T31">
        <v>1</v>
      </c>
      <c r="U31">
        <v>0</v>
      </c>
      <c r="V31">
        <v>0</v>
      </c>
      <c r="W31">
        <v>1</v>
      </c>
      <c r="X31">
        <v>0</v>
      </c>
      <c r="Y31">
        <v>0</v>
      </c>
      <c r="Z31">
        <v>0</v>
      </c>
      <c r="AA31">
        <v>0</v>
      </c>
      <c r="AB31">
        <v>0</v>
      </c>
      <c r="AC31">
        <v>0</v>
      </c>
      <c r="AD31">
        <v>0</v>
      </c>
      <c r="AE31">
        <v>1</v>
      </c>
      <c r="AF31">
        <v>0</v>
      </c>
    </row>
    <row r="32" spans="1:32" x14ac:dyDescent="0.25">
      <c r="A32" s="25">
        <v>58</v>
      </c>
      <c r="B32" s="25">
        <v>280</v>
      </c>
      <c r="C32" t="s">
        <v>12</v>
      </c>
      <c r="D32">
        <v>0</v>
      </c>
      <c r="E32">
        <v>0</v>
      </c>
      <c r="F32">
        <v>500</v>
      </c>
      <c r="G32">
        <v>155</v>
      </c>
      <c r="H32" s="27">
        <v>1</v>
      </c>
      <c r="I32" s="27">
        <v>0</v>
      </c>
      <c r="J32" s="27">
        <v>0</v>
      </c>
      <c r="K32" s="27">
        <v>1</v>
      </c>
      <c r="L32" s="27">
        <v>0</v>
      </c>
      <c r="M32" s="27">
        <v>0</v>
      </c>
      <c r="N32" s="27">
        <v>0</v>
      </c>
      <c r="O32" s="27">
        <v>0</v>
      </c>
      <c r="P32">
        <v>426</v>
      </c>
      <c r="Q32">
        <v>235</v>
      </c>
      <c r="R32" t="s">
        <v>86</v>
      </c>
      <c r="S32" t="s">
        <v>88</v>
      </c>
      <c r="T32">
        <v>1</v>
      </c>
      <c r="U32">
        <v>0</v>
      </c>
      <c r="V32">
        <v>0</v>
      </c>
      <c r="W32">
        <v>1</v>
      </c>
      <c r="X32">
        <v>0</v>
      </c>
      <c r="Y32">
        <v>0</v>
      </c>
      <c r="Z32">
        <v>0</v>
      </c>
      <c r="AA32">
        <v>0</v>
      </c>
      <c r="AB32">
        <v>0</v>
      </c>
      <c r="AC32">
        <v>0</v>
      </c>
      <c r="AD32">
        <v>0</v>
      </c>
      <c r="AE32">
        <v>1</v>
      </c>
      <c r="AF32">
        <v>0</v>
      </c>
    </row>
    <row r="33" spans="1:32" x14ac:dyDescent="0.25">
      <c r="A33" s="25">
        <v>58</v>
      </c>
      <c r="B33" s="25">
        <v>290</v>
      </c>
      <c r="C33" t="s">
        <v>12</v>
      </c>
      <c r="D33">
        <v>0</v>
      </c>
      <c r="E33">
        <v>0</v>
      </c>
      <c r="F33">
        <v>500</v>
      </c>
      <c r="G33">
        <v>155</v>
      </c>
      <c r="H33" s="27">
        <v>1</v>
      </c>
      <c r="I33" s="27">
        <v>0</v>
      </c>
      <c r="J33" s="27">
        <v>0</v>
      </c>
      <c r="K33" s="27">
        <v>1</v>
      </c>
      <c r="L33" s="27">
        <v>0</v>
      </c>
      <c r="M33" s="27">
        <v>0</v>
      </c>
      <c r="N33" s="27">
        <v>0</v>
      </c>
      <c r="O33" s="27">
        <v>0</v>
      </c>
      <c r="P33">
        <v>426</v>
      </c>
      <c r="Q33">
        <v>235</v>
      </c>
      <c r="R33" t="s">
        <v>87</v>
      </c>
      <c r="S33" t="s">
        <v>89</v>
      </c>
      <c r="T33">
        <v>1</v>
      </c>
      <c r="U33">
        <v>0</v>
      </c>
      <c r="V33">
        <v>0</v>
      </c>
      <c r="W33">
        <v>1</v>
      </c>
      <c r="X33">
        <v>0</v>
      </c>
      <c r="Y33">
        <v>0</v>
      </c>
      <c r="Z33">
        <v>0</v>
      </c>
      <c r="AA33">
        <v>0</v>
      </c>
      <c r="AB33">
        <v>0</v>
      </c>
      <c r="AC33">
        <v>0</v>
      </c>
      <c r="AD33">
        <v>0</v>
      </c>
      <c r="AE33">
        <v>1</v>
      </c>
      <c r="AF33">
        <v>0</v>
      </c>
    </row>
    <row r="34" spans="1:32" x14ac:dyDescent="0.25">
      <c r="A34" s="25">
        <v>58</v>
      </c>
      <c r="B34" s="25">
        <v>300</v>
      </c>
      <c r="C34" t="s">
        <v>12</v>
      </c>
      <c r="D34">
        <v>0</v>
      </c>
      <c r="E34">
        <v>0</v>
      </c>
      <c r="F34">
        <v>590</v>
      </c>
      <c r="G34">
        <v>1</v>
      </c>
      <c r="H34" s="27">
        <v>1</v>
      </c>
      <c r="I34" s="27">
        <v>0</v>
      </c>
      <c r="J34" s="27">
        <v>0</v>
      </c>
      <c r="K34" s="27">
        <v>0</v>
      </c>
      <c r="L34" s="27">
        <v>0</v>
      </c>
      <c r="M34" s="27">
        <v>0</v>
      </c>
      <c r="N34" s="27">
        <v>0</v>
      </c>
      <c r="O34" s="27">
        <v>0</v>
      </c>
      <c r="P34">
        <v>560</v>
      </c>
      <c r="Q34">
        <v>1</v>
      </c>
      <c r="R34" t="s">
        <v>87</v>
      </c>
      <c r="S34" t="s">
        <v>89</v>
      </c>
      <c r="T34">
        <v>1</v>
      </c>
      <c r="U34">
        <v>0</v>
      </c>
      <c r="V34">
        <v>0</v>
      </c>
      <c r="W34">
        <v>0</v>
      </c>
      <c r="X34">
        <v>0</v>
      </c>
      <c r="Y34">
        <v>0</v>
      </c>
      <c r="Z34">
        <v>0</v>
      </c>
      <c r="AA34">
        <v>0</v>
      </c>
      <c r="AB34">
        <v>0</v>
      </c>
      <c r="AC34">
        <v>0</v>
      </c>
      <c r="AD34">
        <v>0</v>
      </c>
      <c r="AE34">
        <v>0</v>
      </c>
      <c r="AF34">
        <v>0</v>
      </c>
    </row>
    <row r="35" spans="1:32" x14ac:dyDescent="0.25">
      <c r="A35" s="25">
        <v>58</v>
      </c>
      <c r="B35" s="25">
        <v>310</v>
      </c>
      <c r="C35" t="s">
        <v>12</v>
      </c>
      <c r="D35">
        <v>0</v>
      </c>
      <c r="E35">
        <v>0</v>
      </c>
      <c r="F35">
        <v>590</v>
      </c>
      <c r="G35">
        <v>1</v>
      </c>
      <c r="H35" s="27">
        <v>1</v>
      </c>
      <c r="I35" s="27">
        <v>0</v>
      </c>
      <c r="J35" s="27">
        <v>0</v>
      </c>
      <c r="K35" s="27">
        <v>0</v>
      </c>
      <c r="L35" s="27">
        <v>0</v>
      </c>
      <c r="M35" s="27">
        <v>0</v>
      </c>
      <c r="N35" s="27">
        <v>0</v>
      </c>
      <c r="O35" s="27">
        <v>0</v>
      </c>
      <c r="P35">
        <v>560</v>
      </c>
      <c r="Q35">
        <v>1</v>
      </c>
      <c r="R35" t="s">
        <v>87</v>
      </c>
      <c r="S35" t="s">
        <v>89</v>
      </c>
      <c r="T35">
        <v>1</v>
      </c>
      <c r="U35">
        <v>0</v>
      </c>
      <c r="V35">
        <v>0</v>
      </c>
      <c r="W35">
        <v>0</v>
      </c>
      <c r="X35">
        <v>0</v>
      </c>
      <c r="Y35">
        <v>0</v>
      </c>
      <c r="Z35">
        <v>0</v>
      </c>
      <c r="AA35">
        <v>0</v>
      </c>
      <c r="AB35">
        <v>0</v>
      </c>
      <c r="AC35">
        <v>0</v>
      </c>
      <c r="AD35">
        <v>0</v>
      </c>
      <c r="AE35">
        <v>0</v>
      </c>
      <c r="AF35">
        <v>0</v>
      </c>
    </row>
    <row r="36" spans="1:32" x14ac:dyDescent="0.25">
      <c r="A36" s="25">
        <v>58</v>
      </c>
      <c r="B36" s="25">
        <v>320</v>
      </c>
      <c r="C36" t="s">
        <v>12</v>
      </c>
      <c r="D36">
        <v>0</v>
      </c>
      <c r="E36">
        <v>0</v>
      </c>
      <c r="F36">
        <v>590</v>
      </c>
      <c r="G36">
        <v>1</v>
      </c>
      <c r="H36" s="27">
        <v>1</v>
      </c>
      <c r="I36" s="27">
        <v>0</v>
      </c>
      <c r="J36" s="27">
        <v>0</v>
      </c>
      <c r="K36" s="27">
        <v>0</v>
      </c>
      <c r="L36" s="27">
        <v>0</v>
      </c>
      <c r="M36" s="27">
        <v>0</v>
      </c>
      <c r="N36" s="27">
        <v>0</v>
      </c>
      <c r="O36" s="27">
        <v>0</v>
      </c>
      <c r="P36">
        <v>560</v>
      </c>
      <c r="Q36">
        <v>1</v>
      </c>
      <c r="R36" t="s">
        <v>86</v>
      </c>
      <c r="S36" t="s">
        <v>88</v>
      </c>
      <c r="T36">
        <v>1</v>
      </c>
      <c r="U36">
        <v>0</v>
      </c>
      <c r="V36">
        <v>0</v>
      </c>
      <c r="W36">
        <v>0</v>
      </c>
      <c r="X36">
        <v>0</v>
      </c>
      <c r="Y36">
        <v>0</v>
      </c>
      <c r="Z36">
        <v>0</v>
      </c>
      <c r="AA36">
        <v>0</v>
      </c>
      <c r="AB36">
        <v>0</v>
      </c>
      <c r="AC36">
        <v>0</v>
      </c>
      <c r="AD36">
        <v>0</v>
      </c>
      <c r="AE36">
        <v>0</v>
      </c>
      <c r="AF36">
        <v>0</v>
      </c>
    </row>
    <row r="37" spans="1:32" x14ac:dyDescent="0.25">
      <c r="A37">
        <v>59</v>
      </c>
      <c r="B37" s="25">
        <v>330</v>
      </c>
      <c r="C37" t="s">
        <v>12</v>
      </c>
      <c r="D37">
        <v>0</v>
      </c>
      <c r="E37">
        <v>0</v>
      </c>
      <c r="F37">
        <v>500</v>
      </c>
      <c r="G37">
        <v>155</v>
      </c>
      <c r="H37" s="27">
        <v>1</v>
      </c>
      <c r="I37" s="27">
        <v>0</v>
      </c>
      <c r="J37" s="27">
        <v>0</v>
      </c>
      <c r="K37" s="27">
        <v>0</v>
      </c>
      <c r="L37" s="27">
        <v>1</v>
      </c>
      <c r="M37" s="27">
        <v>0</v>
      </c>
      <c r="N37" s="27">
        <v>0</v>
      </c>
      <c r="O37" s="27">
        <v>0</v>
      </c>
      <c r="P37">
        <v>560</v>
      </c>
      <c r="Q37">
        <v>235</v>
      </c>
      <c r="R37" t="s">
        <v>86</v>
      </c>
      <c r="S37" t="s">
        <v>88</v>
      </c>
      <c r="T37">
        <v>1</v>
      </c>
      <c r="U37">
        <v>0</v>
      </c>
      <c r="V37">
        <v>0</v>
      </c>
      <c r="W37">
        <v>0</v>
      </c>
      <c r="X37">
        <v>1</v>
      </c>
      <c r="Y37">
        <v>0</v>
      </c>
      <c r="Z37">
        <v>0</v>
      </c>
      <c r="AA37">
        <v>0</v>
      </c>
      <c r="AB37">
        <v>0</v>
      </c>
      <c r="AC37">
        <v>0</v>
      </c>
      <c r="AD37">
        <v>0</v>
      </c>
      <c r="AE37">
        <v>1</v>
      </c>
      <c r="AF37">
        <v>0</v>
      </c>
    </row>
    <row r="38" spans="1:32" x14ac:dyDescent="0.25">
      <c r="A38" s="25">
        <v>59</v>
      </c>
      <c r="B38" s="25">
        <v>340</v>
      </c>
      <c r="C38" t="s">
        <v>12</v>
      </c>
      <c r="D38">
        <v>0</v>
      </c>
      <c r="E38">
        <v>0</v>
      </c>
      <c r="F38">
        <v>500</v>
      </c>
      <c r="G38">
        <v>155</v>
      </c>
      <c r="H38" s="27">
        <v>1</v>
      </c>
      <c r="I38" s="27">
        <v>0</v>
      </c>
      <c r="J38" s="27">
        <v>0</v>
      </c>
      <c r="K38" s="27">
        <v>0</v>
      </c>
      <c r="L38" s="27">
        <v>1</v>
      </c>
      <c r="M38" s="27">
        <v>0</v>
      </c>
      <c r="N38" s="27">
        <v>0</v>
      </c>
      <c r="O38" s="27">
        <v>0</v>
      </c>
      <c r="P38">
        <v>560</v>
      </c>
      <c r="Q38">
        <v>235</v>
      </c>
      <c r="R38" t="s">
        <v>86</v>
      </c>
      <c r="S38" t="s">
        <v>88</v>
      </c>
      <c r="T38">
        <v>1</v>
      </c>
      <c r="U38">
        <v>0</v>
      </c>
      <c r="V38">
        <v>0</v>
      </c>
      <c r="W38">
        <v>0</v>
      </c>
      <c r="X38">
        <v>1</v>
      </c>
      <c r="Y38">
        <v>0</v>
      </c>
      <c r="Z38">
        <v>0</v>
      </c>
      <c r="AA38">
        <v>0</v>
      </c>
      <c r="AB38">
        <v>0</v>
      </c>
      <c r="AC38">
        <v>0</v>
      </c>
      <c r="AD38">
        <v>0</v>
      </c>
      <c r="AE38">
        <v>1</v>
      </c>
      <c r="AF38">
        <v>0</v>
      </c>
    </row>
    <row r="39" spans="1:32" x14ac:dyDescent="0.25">
      <c r="A39" s="25">
        <v>59</v>
      </c>
      <c r="B39" s="25">
        <v>350</v>
      </c>
      <c r="C39" t="s">
        <v>12</v>
      </c>
      <c r="D39">
        <v>0</v>
      </c>
      <c r="E39">
        <v>0</v>
      </c>
      <c r="F39">
        <v>500</v>
      </c>
      <c r="G39">
        <v>155</v>
      </c>
      <c r="H39" s="27">
        <v>1</v>
      </c>
      <c r="I39" s="27">
        <v>0</v>
      </c>
      <c r="J39" s="27">
        <v>0</v>
      </c>
      <c r="K39" s="27">
        <v>0</v>
      </c>
      <c r="L39" s="27">
        <v>1</v>
      </c>
      <c r="M39" s="27">
        <v>0</v>
      </c>
      <c r="N39" s="27">
        <v>0</v>
      </c>
      <c r="O39" s="27">
        <v>0</v>
      </c>
      <c r="P39">
        <v>560</v>
      </c>
      <c r="Q39">
        <v>235</v>
      </c>
      <c r="R39" t="s">
        <v>87</v>
      </c>
      <c r="S39" t="s">
        <v>89</v>
      </c>
      <c r="T39">
        <v>1</v>
      </c>
      <c r="U39">
        <v>0</v>
      </c>
      <c r="V39">
        <v>0</v>
      </c>
      <c r="W39">
        <v>0</v>
      </c>
      <c r="X39">
        <v>1</v>
      </c>
      <c r="Y39">
        <v>0</v>
      </c>
      <c r="Z39">
        <v>0</v>
      </c>
      <c r="AA39">
        <v>0</v>
      </c>
      <c r="AB39">
        <v>0</v>
      </c>
      <c r="AC39">
        <v>0</v>
      </c>
      <c r="AD39">
        <v>0</v>
      </c>
      <c r="AE39">
        <v>1</v>
      </c>
      <c r="AF39">
        <v>0</v>
      </c>
    </row>
    <row r="40" spans="1:32" x14ac:dyDescent="0.25">
      <c r="A40" s="25">
        <v>59</v>
      </c>
      <c r="B40" s="25">
        <v>360</v>
      </c>
      <c r="C40" t="s">
        <v>12</v>
      </c>
      <c r="D40">
        <v>0</v>
      </c>
      <c r="E40">
        <v>0</v>
      </c>
      <c r="F40">
        <v>450</v>
      </c>
      <c r="G40">
        <v>-1</v>
      </c>
      <c r="H40" s="27">
        <v>1</v>
      </c>
      <c r="I40" s="27">
        <v>0</v>
      </c>
      <c r="J40" s="27">
        <v>0</v>
      </c>
      <c r="K40" s="27">
        <v>0</v>
      </c>
      <c r="L40" s="27">
        <v>0</v>
      </c>
      <c r="M40" s="27">
        <v>0</v>
      </c>
      <c r="N40" s="27">
        <v>0</v>
      </c>
      <c r="O40" s="27">
        <v>0</v>
      </c>
      <c r="P40">
        <v>420</v>
      </c>
      <c r="Q40">
        <v>-1</v>
      </c>
      <c r="R40" t="s">
        <v>87</v>
      </c>
      <c r="S40" t="s">
        <v>89</v>
      </c>
      <c r="T40">
        <v>1</v>
      </c>
      <c r="U40">
        <v>0</v>
      </c>
      <c r="V40">
        <v>0</v>
      </c>
      <c r="W40">
        <v>0</v>
      </c>
      <c r="X40">
        <v>0</v>
      </c>
      <c r="Y40">
        <v>0</v>
      </c>
      <c r="Z40">
        <v>0</v>
      </c>
      <c r="AA40">
        <v>0</v>
      </c>
      <c r="AB40">
        <v>0</v>
      </c>
      <c r="AC40">
        <v>0</v>
      </c>
      <c r="AD40">
        <v>0</v>
      </c>
      <c r="AE40">
        <v>0</v>
      </c>
      <c r="AF40">
        <v>0</v>
      </c>
    </row>
    <row r="41" spans="1:32" x14ac:dyDescent="0.25">
      <c r="A41" s="25">
        <v>59</v>
      </c>
      <c r="B41" s="25">
        <v>370</v>
      </c>
      <c r="C41" t="s">
        <v>12</v>
      </c>
      <c r="D41">
        <v>0</v>
      </c>
      <c r="E41">
        <v>0</v>
      </c>
      <c r="F41">
        <v>450</v>
      </c>
      <c r="G41">
        <v>-1</v>
      </c>
      <c r="H41" s="27">
        <v>1</v>
      </c>
      <c r="I41" s="27">
        <v>0</v>
      </c>
      <c r="J41" s="27">
        <v>0</v>
      </c>
      <c r="K41" s="27">
        <v>0</v>
      </c>
      <c r="L41" s="27">
        <v>0</v>
      </c>
      <c r="M41" s="27">
        <v>0</v>
      </c>
      <c r="N41" s="27">
        <v>0</v>
      </c>
      <c r="O41" s="27">
        <v>0</v>
      </c>
      <c r="P41">
        <v>420</v>
      </c>
      <c r="Q41">
        <v>-1</v>
      </c>
      <c r="R41" t="s">
        <v>87</v>
      </c>
      <c r="S41" t="s">
        <v>89</v>
      </c>
      <c r="T41">
        <v>1</v>
      </c>
      <c r="U41">
        <v>0</v>
      </c>
      <c r="V41">
        <v>0</v>
      </c>
      <c r="W41">
        <v>0</v>
      </c>
      <c r="X41">
        <v>0</v>
      </c>
      <c r="Y41">
        <v>0</v>
      </c>
      <c r="Z41">
        <v>0</v>
      </c>
      <c r="AA41">
        <v>0</v>
      </c>
      <c r="AB41">
        <v>0</v>
      </c>
      <c r="AC41">
        <v>0</v>
      </c>
      <c r="AD41">
        <v>0</v>
      </c>
      <c r="AE41">
        <v>0</v>
      </c>
      <c r="AF41">
        <v>0</v>
      </c>
    </row>
    <row r="42" spans="1:32" x14ac:dyDescent="0.25">
      <c r="A42" s="25">
        <v>59</v>
      </c>
      <c r="B42" s="25">
        <v>380</v>
      </c>
      <c r="C42" t="s">
        <v>12</v>
      </c>
      <c r="D42">
        <v>0</v>
      </c>
      <c r="E42">
        <v>0</v>
      </c>
      <c r="F42">
        <v>450</v>
      </c>
      <c r="G42">
        <v>-1</v>
      </c>
      <c r="H42" s="27">
        <v>1</v>
      </c>
      <c r="I42" s="27">
        <v>0</v>
      </c>
      <c r="J42" s="27">
        <v>0</v>
      </c>
      <c r="K42" s="27">
        <v>0</v>
      </c>
      <c r="L42" s="27">
        <v>0</v>
      </c>
      <c r="M42" s="27">
        <v>0</v>
      </c>
      <c r="N42" s="27">
        <v>0</v>
      </c>
      <c r="O42" s="27">
        <v>0</v>
      </c>
      <c r="P42">
        <v>420</v>
      </c>
      <c r="Q42">
        <v>-1</v>
      </c>
      <c r="R42" t="s">
        <v>86</v>
      </c>
      <c r="S42" t="s">
        <v>88</v>
      </c>
      <c r="T42">
        <v>1</v>
      </c>
      <c r="U42">
        <v>0</v>
      </c>
      <c r="V42">
        <v>0</v>
      </c>
      <c r="W42">
        <v>0</v>
      </c>
      <c r="X42">
        <v>0</v>
      </c>
      <c r="Y42">
        <v>0</v>
      </c>
      <c r="Z42">
        <v>0</v>
      </c>
      <c r="AA42">
        <v>0</v>
      </c>
      <c r="AB42">
        <v>0</v>
      </c>
      <c r="AC42">
        <v>0</v>
      </c>
      <c r="AD42">
        <v>0</v>
      </c>
      <c r="AE42">
        <v>0</v>
      </c>
      <c r="AF42">
        <v>0</v>
      </c>
    </row>
    <row r="43" spans="1:32" x14ac:dyDescent="0.25">
      <c r="A43" s="25">
        <v>60</v>
      </c>
      <c r="B43" s="25">
        <v>390</v>
      </c>
      <c r="C43" t="s">
        <v>12</v>
      </c>
      <c r="D43">
        <v>0</v>
      </c>
      <c r="E43">
        <v>0</v>
      </c>
      <c r="F43">
        <v>500</v>
      </c>
      <c r="G43">
        <v>155</v>
      </c>
      <c r="H43" s="27">
        <v>1</v>
      </c>
      <c r="I43" s="27">
        <v>0</v>
      </c>
      <c r="J43" s="27">
        <v>1</v>
      </c>
      <c r="K43" s="27">
        <v>0</v>
      </c>
      <c r="L43" s="27">
        <v>0</v>
      </c>
      <c r="M43" s="27">
        <v>0</v>
      </c>
      <c r="N43" s="27">
        <v>0</v>
      </c>
      <c r="O43" s="27">
        <v>0</v>
      </c>
      <c r="P43">
        <v>420</v>
      </c>
      <c r="Q43">
        <v>235</v>
      </c>
      <c r="R43" t="s">
        <v>86</v>
      </c>
      <c r="S43" t="s">
        <v>88</v>
      </c>
      <c r="T43">
        <v>1</v>
      </c>
      <c r="U43">
        <v>0</v>
      </c>
      <c r="V43">
        <v>1</v>
      </c>
      <c r="W43">
        <v>0</v>
      </c>
      <c r="X43">
        <v>0</v>
      </c>
      <c r="Y43">
        <v>0</v>
      </c>
      <c r="Z43">
        <v>0</v>
      </c>
      <c r="AA43">
        <v>0</v>
      </c>
      <c r="AB43">
        <v>0</v>
      </c>
      <c r="AC43">
        <v>0</v>
      </c>
      <c r="AD43">
        <v>0</v>
      </c>
      <c r="AE43">
        <v>1</v>
      </c>
      <c r="AF43">
        <v>0</v>
      </c>
    </row>
    <row r="44" spans="1:32" x14ac:dyDescent="0.25">
      <c r="A44" s="25">
        <v>60</v>
      </c>
      <c r="B44" s="25">
        <v>400</v>
      </c>
      <c r="C44" t="s">
        <v>12</v>
      </c>
      <c r="D44">
        <v>0</v>
      </c>
      <c r="E44">
        <v>0</v>
      </c>
      <c r="F44">
        <v>500</v>
      </c>
      <c r="G44">
        <v>155</v>
      </c>
      <c r="H44" s="27">
        <v>1</v>
      </c>
      <c r="I44" s="27">
        <v>0</v>
      </c>
      <c r="J44" s="27">
        <v>1</v>
      </c>
      <c r="K44" s="27">
        <v>0</v>
      </c>
      <c r="L44" s="27">
        <v>0</v>
      </c>
      <c r="M44" s="27">
        <v>0</v>
      </c>
      <c r="N44" s="27">
        <v>0</v>
      </c>
      <c r="O44" s="27">
        <v>0</v>
      </c>
      <c r="P44">
        <v>420</v>
      </c>
      <c r="Q44">
        <v>235</v>
      </c>
      <c r="R44" t="s">
        <v>86</v>
      </c>
      <c r="S44" t="s">
        <v>88</v>
      </c>
      <c r="T44">
        <v>1</v>
      </c>
      <c r="U44">
        <v>0</v>
      </c>
      <c r="V44">
        <v>1</v>
      </c>
      <c r="W44">
        <v>0</v>
      </c>
      <c r="X44">
        <v>0</v>
      </c>
      <c r="Y44">
        <v>0</v>
      </c>
      <c r="Z44">
        <v>0</v>
      </c>
      <c r="AA44">
        <v>0</v>
      </c>
      <c r="AB44">
        <v>0</v>
      </c>
      <c r="AC44">
        <v>0</v>
      </c>
      <c r="AD44">
        <v>0</v>
      </c>
      <c r="AE44">
        <v>1</v>
      </c>
      <c r="AF44">
        <v>0</v>
      </c>
    </row>
    <row r="45" spans="1:32" s="25" customFormat="1" x14ac:dyDescent="0.25">
      <c r="A45" s="25">
        <v>60</v>
      </c>
      <c r="B45" s="25">
        <v>410</v>
      </c>
      <c r="C45" s="25" t="s">
        <v>12</v>
      </c>
      <c r="D45" s="25">
        <v>0</v>
      </c>
      <c r="E45" s="25">
        <v>0</v>
      </c>
      <c r="F45" s="25">
        <v>500</v>
      </c>
      <c r="G45" s="25">
        <v>155</v>
      </c>
      <c r="H45" s="27">
        <v>1</v>
      </c>
      <c r="I45" s="27">
        <v>0</v>
      </c>
      <c r="J45" s="27">
        <v>1</v>
      </c>
      <c r="K45" s="27">
        <v>0</v>
      </c>
      <c r="L45" s="27">
        <v>0</v>
      </c>
      <c r="M45" s="27">
        <v>0</v>
      </c>
      <c r="N45" s="27">
        <v>0</v>
      </c>
      <c r="O45" s="27">
        <v>0</v>
      </c>
      <c r="P45" s="25">
        <v>420</v>
      </c>
      <c r="Q45" s="25">
        <v>235</v>
      </c>
      <c r="R45" s="25" t="s">
        <v>87</v>
      </c>
      <c r="S45" s="25" t="s">
        <v>89</v>
      </c>
      <c r="T45" s="25">
        <v>1</v>
      </c>
      <c r="U45" s="25">
        <v>0</v>
      </c>
      <c r="V45" s="25">
        <v>1</v>
      </c>
      <c r="W45" s="25">
        <v>0</v>
      </c>
      <c r="X45" s="25">
        <v>0</v>
      </c>
      <c r="Y45" s="25">
        <v>0</v>
      </c>
      <c r="Z45" s="25">
        <v>0</v>
      </c>
      <c r="AA45" s="25">
        <v>0</v>
      </c>
      <c r="AB45" s="25">
        <v>0</v>
      </c>
      <c r="AC45" s="25">
        <v>0</v>
      </c>
      <c r="AD45" s="25">
        <v>0</v>
      </c>
      <c r="AE45" s="25">
        <v>1</v>
      </c>
      <c r="AF45" s="25">
        <v>0</v>
      </c>
    </row>
    <row r="46" spans="1:32" s="25" customFormat="1" x14ac:dyDescent="0.25">
      <c r="A46" s="25">
        <v>60</v>
      </c>
      <c r="B46" s="25">
        <v>420</v>
      </c>
      <c r="C46" s="25" t="s">
        <v>12</v>
      </c>
      <c r="D46" s="25" t="s">
        <v>13</v>
      </c>
      <c r="E46" s="25" t="s">
        <v>13</v>
      </c>
      <c r="F46" s="25">
        <v>250</v>
      </c>
      <c r="G46" s="25">
        <v>0</v>
      </c>
      <c r="H46" s="27">
        <v>1</v>
      </c>
      <c r="I46" s="27">
        <v>0</v>
      </c>
      <c r="J46" s="27">
        <v>0</v>
      </c>
      <c r="K46" s="27">
        <v>0</v>
      </c>
      <c r="L46" s="27">
        <v>0</v>
      </c>
      <c r="M46" s="27">
        <v>0</v>
      </c>
      <c r="N46" s="27">
        <v>0</v>
      </c>
      <c r="O46" s="27">
        <v>0</v>
      </c>
      <c r="P46" s="25">
        <v>220</v>
      </c>
      <c r="Q46" s="25">
        <v>0</v>
      </c>
      <c r="R46" s="25" t="s">
        <v>87</v>
      </c>
      <c r="S46" s="25" t="s">
        <v>89</v>
      </c>
      <c r="T46" s="25">
        <v>1</v>
      </c>
      <c r="U46" s="25">
        <v>0</v>
      </c>
      <c r="V46" s="25">
        <v>0</v>
      </c>
      <c r="W46" s="25">
        <v>0</v>
      </c>
      <c r="X46" s="25">
        <v>0</v>
      </c>
      <c r="Y46" s="25">
        <v>0</v>
      </c>
      <c r="Z46" s="25">
        <v>0</v>
      </c>
      <c r="AA46" s="25">
        <v>0</v>
      </c>
      <c r="AB46" s="25">
        <v>0</v>
      </c>
      <c r="AC46" s="25">
        <v>0</v>
      </c>
      <c r="AD46" s="25">
        <v>0</v>
      </c>
      <c r="AE46" s="25">
        <v>0</v>
      </c>
      <c r="AF46" s="25">
        <v>0</v>
      </c>
    </row>
    <row r="47" spans="1:32" s="25" customFormat="1" x14ac:dyDescent="0.25">
      <c r="A47" s="25">
        <v>60</v>
      </c>
      <c r="B47" s="25">
        <v>430</v>
      </c>
      <c r="C47" s="25" t="s">
        <v>12</v>
      </c>
      <c r="D47" s="25" t="s">
        <v>13</v>
      </c>
      <c r="E47" s="25" t="s">
        <v>13</v>
      </c>
      <c r="F47" s="25">
        <v>250</v>
      </c>
      <c r="G47" s="25">
        <v>0</v>
      </c>
      <c r="H47" s="27">
        <v>1</v>
      </c>
      <c r="I47" s="27">
        <v>0</v>
      </c>
      <c r="J47" s="27">
        <v>0</v>
      </c>
      <c r="K47" s="27">
        <v>0</v>
      </c>
      <c r="L47" s="27">
        <v>0</v>
      </c>
      <c r="M47" s="27">
        <v>0</v>
      </c>
      <c r="N47" s="27">
        <v>0</v>
      </c>
      <c r="O47" s="27">
        <v>0</v>
      </c>
      <c r="P47" s="25">
        <v>220</v>
      </c>
      <c r="Q47" s="25">
        <v>0</v>
      </c>
      <c r="R47" s="25" t="s">
        <v>87</v>
      </c>
      <c r="S47" s="25" t="s">
        <v>89</v>
      </c>
      <c r="T47" s="25">
        <v>1</v>
      </c>
      <c r="U47" s="25">
        <v>0</v>
      </c>
      <c r="V47" s="25">
        <v>0</v>
      </c>
      <c r="W47" s="25">
        <v>0</v>
      </c>
      <c r="X47" s="25">
        <v>0</v>
      </c>
      <c r="Y47" s="25">
        <v>0</v>
      </c>
      <c r="Z47" s="25">
        <v>0</v>
      </c>
      <c r="AA47" s="25">
        <v>0</v>
      </c>
      <c r="AB47" s="25">
        <v>0</v>
      </c>
      <c r="AC47" s="25">
        <v>0</v>
      </c>
      <c r="AD47" s="25">
        <v>0</v>
      </c>
      <c r="AE47" s="25">
        <v>0</v>
      </c>
      <c r="AF47" s="25">
        <v>0</v>
      </c>
    </row>
    <row r="48" spans="1:32" s="25" customFormat="1" x14ac:dyDescent="0.25">
      <c r="A48" s="25">
        <v>60</v>
      </c>
      <c r="B48" s="25">
        <v>440</v>
      </c>
      <c r="C48" s="25" t="s">
        <v>12</v>
      </c>
      <c r="D48" s="25" t="s">
        <v>13</v>
      </c>
      <c r="E48" s="25" t="s">
        <v>13</v>
      </c>
      <c r="F48" s="25">
        <v>250</v>
      </c>
      <c r="G48" s="25">
        <v>0</v>
      </c>
      <c r="H48" s="27">
        <v>1</v>
      </c>
      <c r="I48" s="27">
        <v>0</v>
      </c>
      <c r="J48" s="27">
        <v>0</v>
      </c>
      <c r="K48" s="27">
        <v>0</v>
      </c>
      <c r="L48" s="27">
        <v>0</v>
      </c>
      <c r="M48" s="27">
        <v>0</v>
      </c>
      <c r="N48" s="27">
        <v>0</v>
      </c>
      <c r="O48" s="27">
        <v>0</v>
      </c>
      <c r="P48" s="25">
        <v>220</v>
      </c>
      <c r="Q48" s="25">
        <v>0</v>
      </c>
      <c r="R48" s="25" t="s">
        <v>86</v>
      </c>
      <c r="S48" s="25" t="s">
        <v>88</v>
      </c>
      <c r="T48" s="25">
        <v>1</v>
      </c>
      <c r="U48" s="25">
        <v>0</v>
      </c>
      <c r="V48" s="25">
        <v>0</v>
      </c>
      <c r="W48" s="25">
        <v>0</v>
      </c>
      <c r="X48" s="25">
        <v>0</v>
      </c>
      <c r="Y48" s="25">
        <v>0</v>
      </c>
      <c r="Z48" s="25">
        <v>0</v>
      </c>
      <c r="AA48" s="25">
        <v>0</v>
      </c>
      <c r="AB48" s="25">
        <v>0</v>
      </c>
      <c r="AC48" s="25">
        <v>0</v>
      </c>
      <c r="AD48" s="25">
        <v>0</v>
      </c>
      <c r="AE48" s="25">
        <v>0</v>
      </c>
      <c r="AF48" s="25">
        <v>0</v>
      </c>
    </row>
    <row r="49" spans="1:32" x14ac:dyDescent="0.25">
      <c r="A49" s="25">
        <v>61</v>
      </c>
      <c r="B49" s="25">
        <v>450</v>
      </c>
      <c r="C49" t="s">
        <v>12</v>
      </c>
      <c r="D49">
        <v>0</v>
      </c>
      <c r="E49">
        <v>0</v>
      </c>
      <c r="F49">
        <v>500</v>
      </c>
      <c r="G49">
        <v>155</v>
      </c>
      <c r="H49" s="27">
        <v>1</v>
      </c>
      <c r="I49" s="27">
        <v>0</v>
      </c>
      <c r="J49" s="27">
        <v>0</v>
      </c>
      <c r="K49" s="27">
        <v>0</v>
      </c>
      <c r="L49" s="27">
        <v>0</v>
      </c>
      <c r="M49" s="27">
        <v>1</v>
      </c>
      <c r="N49" s="27">
        <v>0</v>
      </c>
      <c r="O49" s="27">
        <v>0</v>
      </c>
      <c r="P49">
        <v>220</v>
      </c>
      <c r="Q49">
        <v>235</v>
      </c>
      <c r="R49" t="s">
        <v>86</v>
      </c>
      <c r="S49" t="s">
        <v>88</v>
      </c>
      <c r="T49">
        <v>1</v>
      </c>
      <c r="U49">
        <v>0</v>
      </c>
      <c r="V49">
        <v>0</v>
      </c>
      <c r="W49">
        <v>0</v>
      </c>
      <c r="X49">
        <v>0</v>
      </c>
      <c r="Y49">
        <v>1</v>
      </c>
      <c r="Z49">
        <v>0</v>
      </c>
      <c r="AA49">
        <v>0</v>
      </c>
      <c r="AB49">
        <v>0</v>
      </c>
      <c r="AC49">
        <v>0</v>
      </c>
      <c r="AD49">
        <v>0</v>
      </c>
      <c r="AE49">
        <v>1</v>
      </c>
      <c r="AF49">
        <v>0</v>
      </c>
    </row>
    <row r="50" spans="1:32" x14ac:dyDescent="0.25">
      <c r="A50" s="25">
        <v>61</v>
      </c>
      <c r="B50" s="25">
        <v>460</v>
      </c>
      <c r="C50" t="s">
        <v>12</v>
      </c>
      <c r="D50">
        <v>0</v>
      </c>
      <c r="E50">
        <v>0</v>
      </c>
      <c r="F50">
        <v>500</v>
      </c>
      <c r="G50">
        <v>155</v>
      </c>
      <c r="H50" s="27">
        <v>1</v>
      </c>
      <c r="I50" s="27">
        <v>0</v>
      </c>
      <c r="J50" s="27">
        <v>0</v>
      </c>
      <c r="K50" s="27">
        <v>0</v>
      </c>
      <c r="L50" s="27">
        <v>0</v>
      </c>
      <c r="M50" s="27">
        <v>1</v>
      </c>
      <c r="N50" s="27">
        <v>0</v>
      </c>
      <c r="O50" s="27">
        <v>0</v>
      </c>
      <c r="P50">
        <v>220</v>
      </c>
      <c r="Q50">
        <v>235</v>
      </c>
      <c r="R50" t="s">
        <v>86</v>
      </c>
      <c r="S50" t="s">
        <v>88</v>
      </c>
      <c r="T50">
        <v>1</v>
      </c>
      <c r="U50">
        <v>0</v>
      </c>
      <c r="V50">
        <v>0</v>
      </c>
      <c r="W50">
        <v>0</v>
      </c>
      <c r="X50">
        <v>0</v>
      </c>
      <c r="Y50">
        <v>1</v>
      </c>
      <c r="Z50">
        <v>0</v>
      </c>
      <c r="AA50">
        <v>0</v>
      </c>
      <c r="AB50">
        <v>0</v>
      </c>
      <c r="AC50">
        <v>0</v>
      </c>
      <c r="AD50">
        <v>0</v>
      </c>
      <c r="AE50">
        <v>1</v>
      </c>
      <c r="AF50">
        <v>0</v>
      </c>
    </row>
    <row r="51" spans="1:32" x14ac:dyDescent="0.25">
      <c r="A51" s="25">
        <v>61</v>
      </c>
      <c r="B51" s="25">
        <v>470</v>
      </c>
      <c r="C51" t="s">
        <v>12</v>
      </c>
      <c r="D51">
        <v>0</v>
      </c>
      <c r="E51">
        <v>0</v>
      </c>
      <c r="F51">
        <v>500</v>
      </c>
      <c r="G51">
        <v>155</v>
      </c>
      <c r="H51" s="27">
        <v>1</v>
      </c>
      <c r="I51" s="27">
        <v>0</v>
      </c>
      <c r="J51" s="27">
        <v>0</v>
      </c>
      <c r="K51" s="27">
        <v>0</v>
      </c>
      <c r="L51" s="27">
        <v>0</v>
      </c>
      <c r="M51" s="27">
        <v>1</v>
      </c>
      <c r="N51" s="27">
        <v>0</v>
      </c>
      <c r="O51" s="27">
        <v>0</v>
      </c>
      <c r="P51">
        <v>220</v>
      </c>
      <c r="Q51">
        <v>235</v>
      </c>
      <c r="R51" t="s">
        <v>87</v>
      </c>
      <c r="S51" t="s">
        <v>89</v>
      </c>
      <c r="T51">
        <v>1</v>
      </c>
      <c r="U51">
        <v>0</v>
      </c>
      <c r="V51">
        <v>0</v>
      </c>
      <c r="W51">
        <v>0</v>
      </c>
      <c r="X51">
        <v>0</v>
      </c>
      <c r="Y51">
        <v>1</v>
      </c>
      <c r="Z51">
        <v>0</v>
      </c>
      <c r="AA51">
        <v>0</v>
      </c>
      <c r="AB51">
        <v>0</v>
      </c>
      <c r="AC51">
        <v>0</v>
      </c>
      <c r="AD51">
        <v>0</v>
      </c>
      <c r="AE51">
        <v>1</v>
      </c>
      <c r="AF51">
        <v>0</v>
      </c>
    </row>
    <row r="52" spans="1:32" s="25" customFormat="1" x14ac:dyDescent="0.25">
      <c r="A52" s="25">
        <v>61</v>
      </c>
      <c r="B52" s="25">
        <v>480</v>
      </c>
      <c r="C52" s="25" t="s">
        <v>12</v>
      </c>
      <c r="D52" s="25">
        <v>0</v>
      </c>
      <c r="E52" s="25">
        <v>0</v>
      </c>
      <c r="F52" s="25">
        <v>350</v>
      </c>
      <c r="G52" s="25">
        <v>125</v>
      </c>
      <c r="H52" s="27">
        <v>1</v>
      </c>
      <c r="I52" s="27">
        <v>0</v>
      </c>
      <c r="J52" s="27">
        <v>0</v>
      </c>
      <c r="K52" s="27">
        <v>0</v>
      </c>
      <c r="L52" s="27">
        <v>0</v>
      </c>
      <c r="M52" s="27">
        <v>0</v>
      </c>
      <c r="N52" s="27">
        <v>0</v>
      </c>
      <c r="O52" s="27">
        <v>0</v>
      </c>
      <c r="P52" s="25">
        <v>320</v>
      </c>
      <c r="Q52" s="25">
        <v>125</v>
      </c>
      <c r="R52" s="25" t="s">
        <v>87</v>
      </c>
      <c r="S52" s="25" t="s">
        <v>89</v>
      </c>
      <c r="T52" s="25">
        <v>1</v>
      </c>
      <c r="U52" s="25">
        <v>0</v>
      </c>
      <c r="V52" s="25">
        <v>0</v>
      </c>
      <c r="W52" s="25">
        <v>0</v>
      </c>
      <c r="X52" s="25">
        <v>0</v>
      </c>
      <c r="Y52" s="25">
        <v>0</v>
      </c>
      <c r="Z52" s="25">
        <v>0</v>
      </c>
      <c r="AA52" s="25">
        <v>0</v>
      </c>
      <c r="AB52" s="25">
        <v>0</v>
      </c>
      <c r="AC52" s="25">
        <v>0</v>
      </c>
      <c r="AD52" s="25">
        <v>0</v>
      </c>
      <c r="AE52" s="25">
        <v>0</v>
      </c>
      <c r="AF52" s="25">
        <v>0</v>
      </c>
    </row>
    <row r="53" spans="1:32" s="25" customFormat="1" x14ac:dyDescent="0.25">
      <c r="A53" s="25">
        <v>61</v>
      </c>
      <c r="B53" s="25">
        <v>490</v>
      </c>
      <c r="C53" s="25" t="s">
        <v>12</v>
      </c>
      <c r="D53" s="25">
        <v>0</v>
      </c>
      <c r="E53" s="25">
        <v>0</v>
      </c>
      <c r="F53" s="25">
        <v>350</v>
      </c>
      <c r="G53" s="25">
        <v>125</v>
      </c>
      <c r="H53" s="27">
        <v>1</v>
      </c>
      <c r="I53" s="27">
        <v>0</v>
      </c>
      <c r="J53" s="27">
        <v>0</v>
      </c>
      <c r="K53" s="27">
        <v>0</v>
      </c>
      <c r="L53" s="27">
        <v>0</v>
      </c>
      <c r="M53" s="27">
        <v>0</v>
      </c>
      <c r="N53" s="27">
        <v>0</v>
      </c>
      <c r="O53" s="27">
        <v>0</v>
      </c>
      <c r="P53" s="25">
        <v>320</v>
      </c>
      <c r="Q53" s="25">
        <v>125</v>
      </c>
      <c r="R53" s="25" t="s">
        <v>87</v>
      </c>
      <c r="S53" s="25" t="s">
        <v>89</v>
      </c>
      <c r="T53" s="25">
        <v>1</v>
      </c>
      <c r="U53" s="25">
        <v>0</v>
      </c>
      <c r="V53" s="25">
        <v>0</v>
      </c>
      <c r="W53" s="25">
        <v>0</v>
      </c>
      <c r="X53" s="25">
        <v>0</v>
      </c>
      <c r="Y53" s="25">
        <v>0</v>
      </c>
      <c r="Z53" s="25">
        <v>0</v>
      </c>
      <c r="AA53" s="25">
        <v>0</v>
      </c>
      <c r="AB53" s="25">
        <v>0</v>
      </c>
      <c r="AC53" s="25">
        <v>0</v>
      </c>
      <c r="AD53" s="25">
        <v>0</v>
      </c>
      <c r="AE53" s="25">
        <v>0</v>
      </c>
      <c r="AF53" s="25">
        <v>0</v>
      </c>
    </row>
    <row r="54" spans="1:32" s="25" customFormat="1" x14ac:dyDescent="0.25">
      <c r="A54" s="25">
        <v>61</v>
      </c>
      <c r="B54" s="25">
        <v>500</v>
      </c>
      <c r="C54" s="25" t="s">
        <v>12</v>
      </c>
      <c r="D54" s="25">
        <v>0</v>
      </c>
      <c r="E54" s="25">
        <v>0</v>
      </c>
      <c r="F54" s="25">
        <v>350</v>
      </c>
      <c r="G54" s="25">
        <v>125</v>
      </c>
      <c r="H54" s="27">
        <v>1</v>
      </c>
      <c r="I54" s="27">
        <v>0</v>
      </c>
      <c r="J54" s="27">
        <v>0</v>
      </c>
      <c r="K54" s="27">
        <v>0</v>
      </c>
      <c r="L54" s="27">
        <v>0</v>
      </c>
      <c r="M54" s="27">
        <v>0</v>
      </c>
      <c r="N54" s="27">
        <v>0</v>
      </c>
      <c r="O54" s="27">
        <v>0</v>
      </c>
      <c r="P54" s="25">
        <v>320</v>
      </c>
      <c r="Q54" s="25">
        <v>125</v>
      </c>
      <c r="R54" s="25" t="s">
        <v>86</v>
      </c>
      <c r="S54" s="25" t="s">
        <v>88</v>
      </c>
      <c r="T54" s="25">
        <v>1</v>
      </c>
      <c r="U54" s="25">
        <v>0</v>
      </c>
      <c r="V54" s="25">
        <v>0</v>
      </c>
      <c r="W54" s="25">
        <v>0</v>
      </c>
      <c r="X54" s="25">
        <v>0</v>
      </c>
      <c r="Y54" s="25">
        <v>0</v>
      </c>
      <c r="Z54" s="25">
        <v>0</v>
      </c>
      <c r="AA54" s="25">
        <v>0</v>
      </c>
      <c r="AB54" s="25">
        <v>0</v>
      </c>
      <c r="AC54" s="25">
        <v>0</v>
      </c>
      <c r="AD54" s="25">
        <v>0</v>
      </c>
      <c r="AE54" s="25">
        <v>0</v>
      </c>
      <c r="AF54" s="25">
        <v>0</v>
      </c>
    </row>
    <row r="55" spans="1:32" s="25" customFormat="1" x14ac:dyDescent="0.25">
      <c r="A55" s="25">
        <v>62</v>
      </c>
      <c r="B55" s="25">
        <v>510</v>
      </c>
      <c r="C55" s="25" t="s">
        <v>12</v>
      </c>
      <c r="D55" s="25">
        <v>0</v>
      </c>
      <c r="E55" s="25">
        <v>0</v>
      </c>
      <c r="F55" s="25">
        <v>200</v>
      </c>
      <c r="G55" s="25">
        <v>251</v>
      </c>
      <c r="H55" s="27">
        <v>1</v>
      </c>
      <c r="I55" s="27">
        <v>0</v>
      </c>
      <c r="J55" s="27">
        <v>0</v>
      </c>
      <c r="K55" s="27">
        <v>0</v>
      </c>
      <c r="L55" s="27">
        <v>0</v>
      </c>
      <c r="M55" s="27">
        <v>0</v>
      </c>
      <c r="N55" s="27">
        <v>0</v>
      </c>
      <c r="O55" s="27">
        <v>1</v>
      </c>
      <c r="P55" s="25">
        <v>320</v>
      </c>
      <c r="Q55" s="25">
        <v>235</v>
      </c>
      <c r="R55" s="25" t="s">
        <v>86</v>
      </c>
      <c r="S55" s="25" t="s">
        <v>88</v>
      </c>
      <c r="T55" s="25">
        <v>1</v>
      </c>
      <c r="U55" s="25">
        <v>0</v>
      </c>
      <c r="V55" s="25">
        <v>0</v>
      </c>
      <c r="W55" s="25">
        <v>0</v>
      </c>
      <c r="X55" s="25">
        <v>0</v>
      </c>
      <c r="Y55" s="25">
        <v>0</v>
      </c>
      <c r="Z55" s="25">
        <v>0</v>
      </c>
      <c r="AA55" s="25">
        <v>1</v>
      </c>
      <c r="AB55" s="25">
        <v>0</v>
      </c>
      <c r="AC55" s="25">
        <v>0</v>
      </c>
      <c r="AD55" s="25">
        <v>0</v>
      </c>
      <c r="AE55" s="25">
        <v>1</v>
      </c>
      <c r="AF55" s="25">
        <v>0</v>
      </c>
    </row>
    <row r="56" spans="1:32" x14ac:dyDescent="0.25">
      <c r="A56" s="25">
        <v>62</v>
      </c>
      <c r="B56" s="25">
        <v>520</v>
      </c>
      <c r="C56" t="s">
        <v>12</v>
      </c>
      <c r="D56">
        <v>0</v>
      </c>
      <c r="E56">
        <v>0</v>
      </c>
      <c r="F56">
        <v>200</v>
      </c>
      <c r="G56">
        <v>251</v>
      </c>
      <c r="H56" s="27">
        <v>1</v>
      </c>
      <c r="I56" s="27">
        <v>0</v>
      </c>
      <c r="J56" s="27">
        <v>0</v>
      </c>
      <c r="K56" s="27">
        <v>0</v>
      </c>
      <c r="L56" s="27">
        <v>0</v>
      </c>
      <c r="M56" s="27">
        <v>0</v>
      </c>
      <c r="N56" s="27">
        <v>0</v>
      </c>
      <c r="O56" s="27">
        <v>1</v>
      </c>
      <c r="P56">
        <v>320</v>
      </c>
      <c r="Q56">
        <v>235</v>
      </c>
      <c r="R56" t="s">
        <v>86</v>
      </c>
      <c r="S56" t="s">
        <v>88</v>
      </c>
      <c r="T56">
        <v>1</v>
      </c>
      <c r="U56">
        <v>0</v>
      </c>
      <c r="V56">
        <v>0</v>
      </c>
      <c r="W56">
        <v>0</v>
      </c>
      <c r="X56">
        <v>0</v>
      </c>
      <c r="Y56">
        <v>0</v>
      </c>
      <c r="Z56">
        <v>0</v>
      </c>
      <c r="AA56">
        <v>1</v>
      </c>
      <c r="AB56">
        <v>0</v>
      </c>
      <c r="AC56">
        <v>0</v>
      </c>
      <c r="AD56">
        <v>0</v>
      </c>
      <c r="AE56">
        <v>1</v>
      </c>
      <c r="AF56">
        <v>0</v>
      </c>
    </row>
    <row r="57" spans="1:32" x14ac:dyDescent="0.25">
      <c r="A57" s="25">
        <v>62</v>
      </c>
      <c r="B57" s="25">
        <v>530</v>
      </c>
      <c r="C57" t="s">
        <v>12</v>
      </c>
      <c r="D57">
        <v>0</v>
      </c>
      <c r="E57">
        <v>0</v>
      </c>
      <c r="F57">
        <v>200</v>
      </c>
      <c r="G57">
        <v>251</v>
      </c>
      <c r="H57" s="27">
        <v>1</v>
      </c>
      <c r="I57" s="27">
        <v>0</v>
      </c>
      <c r="J57" s="27">
        <v>0</v>
      </c>
      <c r="K57" s="27">
        <v>0</v>
      </c>
      <c r="L57" s="27">
        <v>0</v>
      </c>
      <c r="M57" s="27">
        <v>0</v>
      </c>
      <c r="N57" s="27">
        <v>0</v>
      </c>
      <c r="O57" s="27">
        <v>1</v>
      </c>
      <c r="P57">
        <v>320</v>
      </c>
      <c r="Q57">
        <v>235</v>
      </c>
      <c r="R57" t="s">
        <v>87</v>
      </c>
      <c r="S57" t="s">
        <v>89</v>
      </c>
      <c r="T57">
        <v>1</v>
      </c>
      <c r="U57">
        <v>0</v>
      </c>
      <c r="V57">
        <v>0</v>
      </c>
      <c r="W57">
        <v>0</v>
      </c>
      <c r="X57">
        <v>0</v>
      </c>
      <c r="Y57">
        <v>0</v>
      </c>
      <c r="Z57">
        <v>0</v>
      </c>
      <c r="AA57">
        <v>1</v>
      </c>
      <c r="AB57">
        <v>0</v>
      </c>
      <c r="AC57">
        <v>0</v>
      </c>
      <c r="AD57">
        <v>0</v>
      </c>
      <c r="AE57">
        <v>1</v>
      </c>
      <c r="AF57">
        <v>0</v>
      </c>
    </row>
    <row r="58" spans="1:32" x14ac:dyDescent="0.25">
      <c r="A58" s="25">
        <v>62</v>
      </c>
      <c r="B58" s="25">
        <v>540</v>
      </c>
      <c r="C58" t="s">
        <v>12</v>
      </c>
      <c r="D58">
        <v>0</v>
      </c>
      <c r="E58">
        <v>0</v>
      </c>
      <c r="F58">
        <v>333</v>
      </c>
      <c r="G58">
        <v>0</v>
      </c>
      <c r="H58" s="27">
        <v>1</v>
      </c>
      <c r="I58" s="27">
        <v>0</v>
      </c>
      <c r="J58" s="27">
        <v>0</v>
      </c>
      <c r="K58" s="27">
        <v>0</v>
      </c>
      <c r="L58" s="27">
        <v>0</v>
      </c>
      <c r="M58" s="27">
        <v>0</v>
      </c>
      <c r="N58" s="27">
        <v>0</v>
      </c>
      <c r="O58" s="27">
        <v>0</v>
      </c>
      <c r="P58">
        <v>303</v>
      </c>
      <c r="Q58">
        <v>0</v>
      </c>
      <c r="R58" t="s">
        <v>87</v>
      </c>
      <c r="S58" t="s">
        <v>89</v>
      </c>
      <c r="T58">
        <v>1</v>
      </c>
      <c r="U58">
        <v>0</v>
      </c>
      <c r="V58">
        <v>0</v>
      </c>
      <c r="W58">
        <v>0</v>
      </c>
      <c r="X58">
        <v>0</v>
      </c>
      <c r="Y58">
        <v>0</v>
      </c>
      <c r="Z58">
        <v>0</v>
      </c>
      <c r="AA58">
        <v>0</v>
      </c>
      <c r="AB58">
        <v>0</v>
      </c>
      <c r="AC58">
        <v>0</v>
      </c>
      <c r="AD58">
        <v>0</v>
      </c>
      <c r="AE58">
        <v>0</v>
      </c>
      <c r="AF58">
        <v>0</v>
      </c>
    </row>
    <row r="59" spans="1:32" x14ac:dyDescent="0.25">
      <c r="A59" s="25">
        <v>62</v>
      </c>
      <c r="B59" s="25">
        <v>550</v>
      </c>
      <c r="C59" t="s">
        <v>12</v>
      </c>
      <c r="D59">
        <v>0</v>
      </c>
      <c r="E59">
        <v>0</v>
      </c>
      <c r="F59">
        <v>333</v>
      </c>
      <c r="G59">
        <v>0</v>
      </c>
      <c r="H59" s="27">
        <v>1</v>
      </c>
      <c r="I59" s="27">
        <v>0</v>
      </c>
      <c r="J59" s="27">
        <v>0</v>
      </c>
      <c r="K59" s="27">
        <v>0</v>
      </c>
      <c r="L59" s="27">
        <v>0</v>
      </c>
      <c r="M59" s="27">
        <v>0</v>
      </c>
      <c r="N59" s="27">
        <v>0</v>
      </c>
      <c r="O59" s="27">
        <v>0</v>
      </c>
      <c r="P59">
        <v>303</v>
      </c>
      <c r="Q59">
        <v>0</v>
      </c>
      <c r="R59" t="s">
        <v>87</v>
      </c>
      <c r="S59" t="s">
        <v>89</v>
      </c>
      <c r="T59">
        <v>1</v>
      </c>
      <c r="U59">
        <v>0</v>
      </c>
      <c r="V59">
        <v>0</v>
      </c>
      <c r="W59">
        <v>0</v>
      </c>
      <c r="X59">
        <v>0</v>
      </c>
      <c r="Y59">
        <v>0</v>
      </c>
      <c r="Z59">
        <v>0</v>
      </c>
      <c r="AA59">
        <v>0</v>
      </c>
      <c r="AB59">
        <v>0</v>
      </c>
      <c r="AC59">
        <v>0</v>
      </c>
      <c r="AD59">
        <v>0</v>
      </c>
      <c r="AE59">
        <v>0</v>
      </c>
      <c r="AF59">
        <v>0</v>
      </c>
    </row>
    <row r="60" spans="1:32" x14ac:dyDescent="0.25">
      <c r="A60" s="25">
        <v>62</v>
      </c>
      <c r="B60" s="25">
        <v>560</v>
      </c>
      <c r="C60" t="s">
        <v>12</v>
      </c>
      <c r="D60">
        <v>0</v>
      </c>
      <c r="E60">
        <v>0</v>
      </c>
      <c r="F60">
        <v>333</v>
      </c>
      <c r="G60">
        <v>0</v>
      </c>
      <c r="H60" s="27">
        <v>1</v>
      </c>
      <c r="I60" s="27">
        <v>0</v>
      </c>
      <c r="J60" s="27">
        <v>0</v>
      </c>
      <c r="K60" s="27">
        <v>0</v>
      </c>
      <c r="L60" s="27">
        <v>0</v>
      </c>
      <c r="M60" s="27">
        <v>0</v>
      </c>
      <c r="N60" s="27">
        <v>0</v>
      </c>
      <c r="O60" s="27">
        <v>0</v>
      </c>
      <c r="P60">
        <v>303</v>
      </c>
      <c r="Q60">
        <v>0</v>
      </c>
      <c r="R60" t="s">
        <v>86</v>
      </c>
      <c r="S60" t="s">
        <v>88</v>
      </c>
      <c r="T60">
        <v>1</v>
      </c>
      <c r="U60">
        <v>0</v>
      </c>
      <c r="V60">
        <v>0</v>
      </c>
      <c r="W60">
        <v>0</v>
      </c>
      <c r="X60">
        <v>0</v>
      </c>
      <c r="Y60">
        <v>0</v>
      </c>
      <c r="Z60">
        <v>0</v>
      </c>
      <c r="AA60">
        <v>0</v>
      </c>
      <c r="AB60">
        <v>0</v>
      </c>
      <c r="AC60">
        <v>0</v>
      </c>
      <c r="AD60">
        <v>0</v>
      </c>
      <c r="AE60">
        <v>0</v>
      </c>
      <c r="AF60">
        <v>0</v>
      </c>
    </row>
    <row r="61" spans="1:32" s="25" customFormat="1" x14ac:dyDescent="0.25">
      <c r="A61" s="25">
        <v>63</v>
      </c>
      <c r="B61" s="25">
        <v>570</v>
      </c>
      <c r="C61" s="25" t="s">
        <v>12</v>
      </c>
      <c r="D61" s="25">
        <v>0</v>
      </c>
      <c r="E61" s="25">
        <v>0</v>
      </c>
      <c r="F61" s="25">
        <v>206</v>
      </c>
      <c r="G61" s="25">
        <v>-32768</v>
      </c>
      <c r="H61" s="27">
        <v>1</v>
      </c>
      <c r="I61" s="27">
        <v>0</v>
      </c>
      <c r="J61" s="27">
        <v>0</v>
      </c>
      <c r="K61" s="27">
        <v>0</v>
      </c>
      <c r="L61" s="27">
        <v>0</v>
      </c>
      <c r="M61" s="27">
        <v>0</v>
      </c>
      <c r="N61" s="27">
        <v>1</v>
      </c>
      <c r="O61" s="27">
        <v>0</v>
      </c>
      <c r="P61" s="25">
        <v>303</v>
      </c>
      <c r="Q61" s="25">
        <v>235</v>
      </c>
      <c r="R61" s="25" t="s">
        <v>86</v>
      </c>
      <c r="S61" s="25" t="s">
        <v>88</v>
      </c>
      <c r="T61" s="25">
        <v>1</v>
      </c>
      <c r="U61" s="25">
        <v>0</v>
      </c>
      <c r="V61" s="25">
        <v>0</v>
      </c>
      <c r="W61" s="25">
        <v>0</v>
      </c>
      <c r="X61" s="25">
        <v>0</v>
      </c>
      <c r="Y61" s="25">
        <v>0</v>
      </c>
      <c r="Z61" s="25">
        <v>1</v>
      </c>
      <c r="AA61" s="25">
        <v>0</v>
      </c>
      <c r="AB61" s="25">
        <v>0</v>
      </c>
      <c r="AC61" s="25">
        <v>0</v>
      </c>
      <c r="AD61" s="25">
        <v>0</v>
      </c>
      <c r="AE61" s="25">
        <v>1</v>
      </c>
      <c r="AF61" s="25">
        <v>0</v>
      </c>
    </row>
    <row r="62" spans="1:32" s="25" customFormat="1" x14ac:dyDescent="0.25">
      <c r="A62" s="25">
        <v>63</v>
      </c>
      <c r="B62" s="25">
        <v>580</v>
      </c>
      <c r="C62" s="25" t="s">
        <v>12</v>
      </c>
      <c r="D62" s="25">
        <v>0</v>
      </c>
      <c r="E62" s="25">
        <v>0</v>
      </c>
      <c r="F62" s="25">
        <v>206</v>
      </c>
      <c r="G62" s="25">
        <v>-32768</v>
      </c>
      <c r="H62" s="27">
        <v>1</v>
      </c>
      <c r="I62" s="27">
        <v>0</v>
      </c>
      <c r="J62" s="27">
        <v>0</v>
      </c>
      <c r="K62" s="27">
        <v>0</v>
      </c>
      <c r="L62" s="27">
        <v>0</v>
      </c>
      <c r="M62" s="27">
        <v>0</v>
      </c>
      <c r="N62" s="27">
        <v>1</v>
      </c>
      <c r="O62" s="27">
        <v>0</v>
      </c>
      <c r="P62" s="25">
        <v>303</v>
      </c>
      <c r="Q62" s="25">
        <v>235</v>
      </c>
      <c r="R62" s="25" t="s">
        <v>86</v>
      </c>
      <c r="S62" s="25" t="s">
        <v>88</v>
      </c>
      <c r="T62" s="25">
        <v>1</v>
      </c>
      <c r="U62" s="25">
        <v>0</v>
      </c>
      <c r="V62" s="25">
        <v>0</v>
      </c>
      <c r="W62" s="25">
        <v>0</v>
      </c>
      <c r="X62" s="25">
        <v>0</v>
      </c>
      <c r="Y62" s="25">
        <v>0</v>
      </c>
      <c r="Z62" s="25">
        <v>1</v>
      </c>
      <c r="AA62" s="25">
        <v>0</v>
      </c>
      <c r="AB62" s="25">
        <v>0</v>
      </c>
      <c r="AC62" s="25">
        <v>0</v>
      </c>
      <c r="AD62" s="25">
        <v>0</v>
      </c>
      <c r="AE62" s="25">
        <v>1</v>
      </c>
      <c r="AF62" s="25">
        <v>0</v>
      </c>
    </row>
    <row r="63" spans="1:32" s="25" customFormat="1" x14ac:dyDescent="0.25">
      <c r="A63" s="25">
        <v>63</v>
      </c>
      <c r="B63" s="25">
        <v>590</v>
      </c>
      <c r="C63" s="25" t="s">
        <v>12</v>
      </c>
      <c r="D63" s="25">
        <v>0</v>
      </c>
      <c r="E63" s="25">
        <v>0</v>
      </c>
      <c r="F63" s="25">
        <v>206</v>
      </c>
      <c r="G63" s="25">
        <v>-32768</v>
      </c>
      <c r="H63" s="27">
        <v>1</v>
      </c>
      <c r="I63" s="27">
        <v>0</v>
      </c>
      <c r="J63" s="27">
        <v>0</v>
      </c>
      <c r="K63" s="27">
        <v>0</v>
      </c>
      <c r="L63" s="27">
        <v>0</v>
      </c>
      <c r="M63" s="27">
        <v>0</v>
      </c>
      <c r="N63" s="27">
        <v>1</v>
      </c>
      <c r="O63" s="27">
        <v>0</v>
      </c>
      <c r="P63" s="25">
        <v>303</v>
      </c>
      <c r="Q63" s="25">
        <v>235</v>
      </c>
      <c r="R63" s="25" t="s">
        <v>87</v>
      </c>
      <c r="S63" s="25" t="s">
        <v>89</v>
      </c>
      <c r="T63" s="25">
        <v>1</v>
      </c>
      <c r="U63" s="25">
        <v>0</v>
      </c>
      <c r="V63" s="25">
        <v>0</v>
      </c>
      <c r="W63" s="25">
        <v>0</v>
      </c>
      <c r="X63" s="25">
        <v>0</v>
      </c>
      <c r="Y63" s="25">
        <v>0</v>
      </c>
      <c r="Z63" s="25">
        <v>1</v>
      </c>
      <c r="AA63" s="25">
        <v>0</v>
      </c>
      <c r="AB63" s="25">
        <v>0</v>
      </c>
      <c r="AC63" s="25">
        <v>0</v>
      </c>
      <c r="AD63" s="25">
        <v>0</v>
      </c>
      <c r="AE63" s="25">
        <v>1</v>
      </c>
      <c r="AF63" s="25">
        <v>0</v>
      </c>
    </row>
    <row r="64" spans="1:32" s="25" customFormat="1" x14ac:dyDescent="0.25">
      <c r="A64" s="25">
        <v>63</v>
      </c>
      <c r="B64" s="25">
        <v>600</v>
      </c>
      <c r="C64" s="25" t="s">
        <v>12</v>
      </c>
      <c r="D64" s="25">
        <v>0</v>
      </c>
      <c r="E64" s="25">
        <v>0</v>
      </c>
      <c r="F64" s="25">
        <v>350</v>
      </c>
      <c r="G64" s="25">
        <v>125</v>
      </c>
      <c r="H64" s="27">
        <v>1</v>
      </c>
      <c r="I64" s="27">
        <v>0</v>
      </c>
      <c r="J64" s="27">
        <v>0</v>
      </c>
      <c r="K64" s="27">
        <v>0</v>
      </c>
      <c r="L64" s="27">
        <v>0</v>
      </c>
      <c r="M64" s="27">
        <v>0</v>
      </c>
      <c r="N64" s="27">
        <v>0</v>
      </c>
      <c r="O64" s="27">
        <v>0</v>
      </c>
      <c r="P64" s="25">
        <v>320</v>
      </c>
      <c r="Q64" s="25">
        <v>125</v>
      </c>
      <c r="R64" s="25" t="s">
        <v>87</v>
      </c>
      <c r="S64" s="25" t="s">
        <v>89</v>
      </c>
      <c r="T64" s="25">
        <v>1</v>
      </c>
      <c r="U64" s="25">
        <v>0</v>
      </c>
      <c r="V64" s="25">
        <v>0</v>
      </c>
      <c r="W64" s="25">
        <v>0</v>
      </c>
      <c r="X64" s="25">
        <v>0</v>
      </c>
      <c r="Y64" s="25">
        <v>0</v>
      </c>
      <c r="Z64" s="25">
        <v>0</v>
      </c>
      <c r="AA64" s="25">
        <v>0</v>
      </c>
      <c r="AB64" s="25">
        <v>0</v>
      </c>
      <c r="AC64" s="25">
        <v>0</v>
      </c>
      <c r="AD64" s="25">
        <v>0</v>
      </c>
      <c r="AE64" s="25">
        <v>0</v>
      </c>
      <c r="AF64" s="25">
        <v>0</v>
      </c>
    </row>
    <row r="65" spans="1:32" x14ac:dyDescent="0.25">
      <c r="A65" s="25">
        <v>63</v>
      </c>
      <c r="B65" s="25">
        <v>610</v>
      </c>
      <c r="C65" t="s">
        <v>12</v>
      </c>
      <c r="D65">
        <v>0</v>
      </c>
      <c r="E65">
        <v>0</v>
      </c>
      <c r="F65">
        <v>350</v>
      </c>
      <c r="G65">
        <v>125</v>
      </c>
      <c r="H65" s="27">
        <v>1</v>
      </c>
      <c r="I65" s="27">
        <v>0</v>
      </c>
      <c r="J65" s="27">
        <v>0</v>
      </c>
      <c r="K65" s="27">
        <v>0</v>
      </c>
      <c r="L65" s="27">
        <v>0</v>
      </c>
      <c r="M65" s="27">
        <v>0</v>
      </c>
      <c r="N65" s="27">
        <v>0</v>
      </c>
      <c r="O65" s="27">
        <v>0</v>
      </c>
      <c r="P65">
        <v>320</v>
      </c>
      <c r="Q65">
        <v>125</v>
      </c>
      <c r="R65" t="s">
        <v>87</v>
      </c>
      <c r="S65" t="s">
        <v>89</v>
      </c>
      <c r="T65">
        <v>1</v>
      </c>
      <c r="U65">
        <v>0</v>
      </c>
      <c r="V65">
        <v>0</v>
      </c>
      <c r="W65">
        <v>0</v>
      </c>
      <c r="X65">
        <v>0</v>
      </c>
      <c r="Y65">
        <v>0</v>
      </c>
      <c r="Z65">
        <v>0</v>
      </c>
      <c r="AA65">
        <v>0</v>
      </c>
      <c r="AB65">
        <v>0</v>
      </c>
      <c r="AC65">
        <v>0</v>
      </c>
      <c r="AD65">
        <v>0</v>
      </c>
      <c r="AE65">
        <v>0</v>
      </c>
      <c r="AF65">
        <v>0</v>
      </c>
    </row>
    <row r="66" spans="1:32" x14ac:dyDescent="0.25">
      <c r="A66" s="25">
        <v>63</v>
      </c>
      <c r="B66" s="25">
        <v>620</v>
      </c>
      <c r="C66" t="s">
        <v>12</v>
      </c>
      <c r="D66">
        <v>0</v>
      </c>
      <c r="E66">
        <v>0</v>
      </c>
      <c r="F66">
        <v>350</v>
      </c>
      <c r="G66">
        <v>125</v>
      </c>
      <c r="H66" s="27">
        <v>1</v>
      </c>
      <c r="I66" s="27">
        <v>0</v>
      </c>
      <c r="J66" s="27">
        <v>0</v>
      </c>
      <c r="K66" s="27">
        <v>0</v>
      </c>
      <c r="L66" s="27">
        <v>0</v>
      </c>
      <c r="M66" s="27">
        <v>0</v>
      </c>
      <c r="N66" s="27">
        <v>0</v>
      </c>
      <c r="O66" s="27">
        <v>0</v>
      </c>
      <c r="P66">
        <v>320</v>
      </c>
      <c r="Q66">
        <v>125</v>
      </c>
      <c r="R66" t="s">
        <v>86</v>
      </c>
      <c r="S66" t="s">
        <v>88</v>
      </c>
      <c r="T66">
        <v>1</v>
      </c>
      <c r="U66">
        <v>0</v>
      </c>
      <c r="V66">
        <v>0</v>
      </c>
      <c r="W66">
        <v>0</v>
      </c>
      <c r="X66">
        <v>0</v>
      </c>
      <c r="Y66">
        <v>0</v>
      </c>
      <c r="Z66">
        <v>0</v>
      </c>
      <c r="AA66">
        <v>0</v>
      </c>
      <c r="AB66">
        <v>0</v>
      </c>
      <c r="AC66">
        <v>0</v>
      </c>
      <c r="AD66">
        <v>0</v>
      </c>
      <c r="AE66">
        <v>0</v>
      </c>
      <c r="AF66">
        <v>0</v>
      </c>
    </row>
    <row r="67" spans="1:32" x14ac:dyDescent="0.25">
      <c r="A67" s="25">
        <v>3</v>
      </c>
      <c r="B67" s="25">
        <v>630</v>
      </c>
      <c r="C67" t="s">
        <v>12</v>
      </c>
      <c r="D67">
        <v>0</v>
      </c>
      <c r="E67">
        <v>0</v>
      </c>
      <c r="F67">
        <v>500</v>
      </c>
      <c r="G67">
        <v>155</v>
      </c>
      <c r="H67" s="27">
        <v>1</v>
      </c>
      <c r="I67" s="27">
        <v>0</v>
      </c>
      <c r="J67" s="27">
        <v>1</v>
      </c>
      <c r="K67" s="27">
        <v>0</v>
      </c>
      <c r="L67" s="27">
        <v>0</v>
      </c>
      <c r="M67" s="27">
        <v>0</v>
      </c>
      <c r="N67" s="27">
        <v>0</v>
      </c>
      <c r="O67" s="27">
        <v>0</v>
      </c>
      <c r="P67">
        <v>320</v>
      </c>
      <c r="Q67">
        <v>235</v>
      </c>
      <c r="R67" t="s">
        <v>86</v>
      </c>
      <c r="S67" t="s">
        <v>88</v>
      </c>
      <c r="T67">
        <v>1</v>
      </c>
      <c r="U67">
        <v>0</v>
      </c>
      <c r="V67">
        <v>1</v>
      </c>
      <c r="W67">
        <v>0</v>
      </c>
      <c r="X67">
        <v>0</v>
      </c>
      <c r="Y67">
        <v>0</v>
      </c>
      <c r="Z67">
        <v>0</v>
      </c>
      <c r="AA67">
        <v>0</v>
      </c>
      <c r="AB67">
        <v>0</v>
      </c>
      <c r="AC67">
        <v>0</v>
      </c>
      <c r="AD67">
        <v>0</v>
      </c>
      <c r="AE67">
        <v>1</v>
      </c>
      <c r="AF67">
        <v>0</v>
      </c>
    </row>
    <row r="68" spans="1:32" s="25" customFormat="1" x14ac:dyDescent="0.25">
      <c r="A68" s="25">
        <v>3</v>
      </c>
      <c r="B68" s="25">
        <v>640</v>
      </c>
      <c r="C68" s="25" t="s">
        <v>12</v>
      </c>
      <c r="D68" s="25">
        <v>0</v>
      </c>
      <c r="E68" s="25">
        <v>0</v>
      </c>
      <c r="F68" s="25">
        <v>500</v>
      </c>
      <c r="G68" s="25">
        <v>155</v>
      </c>
      <c r="H68" s="27">
        <v>1</v>
      </c>
      <c r="I68" s="27">
        <v>0</v>
      </c>
      <c r="J68" s="27">
        <v>1</v>
      </c>
      <c r="K68" s="27">
        <v>0</v>
      </c>
      <c r="L68" s="27">
        <v>0</v>
      </c>
      <c r="M68" s="27">
        <v>0</v>
      </c>
      <c r="N68" s="27">
        <v>0</v>
      </c>
      <c r="O68" s="27">
        <v>0</v>
      </c>
      <c r="P68" s="25">
        <v>320</v>
      </c>
      <c r="Q68" s="25">
        <v>235</v>
      </c>
      <c r="R68" s="25" t="s">
        <v>86</v>
      </c>
      <c r="S68" s="25" t="s">
        <v>88</v>
      </c>
      <c r="T68" s="25">
        <v>1</v>
      </c>
      <c r="U68" s="25">
        <v>0</v>
      </c>
      <c r="V68" s="25">
        <v>1</v>
      </c>
      <c r="W68" s="25">
        <v>0</v>
      </c>
      <c r="X68" s="25">
        <v>0</v>
      </c>
      <c r="Y68" s="25">
        <v>0</v>
      </c>
      <c r="Z68" s="25">
        <v>0</v>
      </c>
      <c r="AA68" s="25">
        <v>0</v>
      </c>
      <c r="AB68" s="25">
        <v>0</v>
      </c>
      <c r="AC68" s="25">
        <v>0</v>
      </c>
      <c r="AD68" s="25">
        <v>0</v>
      </c>
      <c r="AE68" s="25">
        <v>1</v>
      </c>
      <c r="AF68" s="25">
        <v>0</v>
      </c>
    </row>
    <row r="69" spans="1:32" s="25" customFormat="1" x14ac:dyDescent="0.25">
      <c r="A69" s="25">
        <v>3</v>
      </c>
      <c r="B69" s="25">
        <v>650</v>
      </c>
      <c r="C69" s="25" t="s">
        <v>12</v>
      </c>
      <c r="D69" s="25">
        <v>0</v>
      </c>
      <c r="E69" s="25">
        <v>0</v>
      </c>
      <c r="F69" s="25">
        <v>500</v>
      </c>
      <c r="G69" s="25">
        <v>155</v>
      </c>
      <c r="H69" s="27">
        <v>1</v>
      </c>
      <c r="I69" s="27">
        <v>0</v>
      </c>
      <c r="J69" s="27">
        <v>1</v>
      </c>
      <c r="K69" s="27">
        <v>0</v>
      </c>
      <c r="L69" s="27">
        <v>0</v>
      </c>
      <c r="M69" s="27">
        <v>0</v>
      </c>
      <c r="N69" s="27">
        <v>0</v>
      </c>
      <c r="O69" s="27">
        <v>0</v>
      </c>
      <c r="P69" s="25">
        <v>320</v>
      </c>
      <c r="Q69" s="25">
        <v>235</v>
      </c>
      <c r="R69" s="25" t="s">
        <v>86</v>
      </c>
      <c r="S69" s="25" t="s">
        <v>88</v>
      </c>
      <c r="T69" s="25">
        <v>1</v>
      </c>
      <c r="U69" s="25">
        <v>0</v>
      </c>
      <c r="V69" s="25">
        <v>1</v>
      </c>
      <c r="W69" s="25">
        <v>0</v>
      </c>
      <c r="X69" s="25">
        <v>0</v>
      </c>
      <c r="Y69" s="25">
        <v>0</v>
      </c>
      <c r="Z69" s="25">
        <v>0</v>
      </c>
      <c r="AA69" s="25">
        <v>0</v>
      </c>
      <c r="AB69" s="25">
        <v>0</v>
      </c>
      <c r="AC69" s="25">
        <v>0</v>
      </c>
      <c r="AD69" s="25">
        <v>0</v>
      </c>
      <c r="AE69" s="25">
        <v>1</v>
      </c>
      <c r="AF69" s="25">
        <v>0</v>
      </c>
    </row>
    <row r="70" spans="1:32" s="25" customFormat="1" x14ac:dyDescent="0.25">
      <c r="A70" s="25">
        <v>3</v>
      </c>
      <c r="B70" s="25">
        <v>660</v>
      </c>
      <c r="C70" s="25" t="s">
        <v>12</v>
      </c>
      <c r="D70" s="25">
        <v>0</v>
      </c>
      <c r="E70" s="25">
        <v>0</v>
      </c>
      <c r="F70" s="25">
        <v>500</v>
      </c>
      <c r="G70" s="25">
        <v>155</v>
      </c>
      <c r="H70" s="27">
        <v>1</v>
      </c>
      <c r="I70" s="27">
        <v>0</v>
      </c>
      <c r="J70" s="27">
        <v>1</v>
      </c>
      <c r="K70" s="27">
        <v>0</v>
      </c>
      <c r="L70" s="27">
        <v>0</v>
      </c>
      <c r="M70" s="27">
        <v>0</v>
      </c>
      <c r="N70" s="27">
        <v>0</v>
      </c>
      <c r="O70" s="27">
        <v>0</v>
      </c>
      <c r="P70" s="25">
        <v>320</v>
      </c>
      <c r="Q70" s="25">
        <v>235</v>
      </c>
      <c r="R70" s="25" t="s">
        <v>87</v>
      </c>
      <c r="S70" s="25" t="s">
        <v>89</v>
      </c>
      <c r="T70" s="25">
        <v>1</v>
      </c>
      <c r="U70" s="25">
        <v>0</v>
      </c>
      <c r="V70" s="25">
        <v>1</v>
      </c>
      <c r="W70" s="25">
        <v>0</v>
      </c>
      <c r="X70" s="25">
        <v>0</v>
      </c>
      <c r="Y70" s="25">
        <v>0</v>
      </c>
      <c r="Z70" s="25">
        <v>0</v>
      </c>
      <c r="AA70" s="25">
        <v>0</v>
      </c>
      <c r="AB70" s="25">
        <v>0</v>
      </c>
      <c r="AC70" s="25">
        <v>0</v>
      </c>
      <c r="AD70" s="25">
        <v>0</v>
      </c>
      <c r="AE70" s="25">
        <v>1</v>
      </c>
      <c r="AF70" s="25">
        <v>0</v>
      </c>
    </row>
    <row r="71" spans="1:32" s="25" customFormat="1" x14ac:dyDescent="0.25">
      <c r="A71" s="25">
        <v>3</v>
      </c>
      <c r="B71" s="25">
        <v>670</v>
      </c>
      <c r="C71" s="25" t="s">
        <v>12</v>
      </c>
      <c r="D71" s="25" t="s">
        <v>13</v>
      </c>
      <c r="E71" s="25" t="s">
        <v>13</v>
      </c>
      <c r="F71" s="25" t="s">
        <v>13</v>
      </c>
      <c r="G71" s="25" t="s">
        <v>13</v>
      </c>
      <c r="H71" s="27" t="s">
        <v>13</v>
      </c>
      <c r="I71" s="27" t="s">
        <v>13</v>
      </c>
      <c r="J71" s="27" t="s">
        <v>13</v>
      </c>
      <c r="K71" s="27" t="s">
        <v>13</v>
      </c>
      <c r="L71" s="27" t="s">
        <v>13</v>
      </c>
      <c r="M71" s="27" t="s">
        <v>13</v>
      </c>
      <c r="N71" s="27" t="s">
        <v>13</v>
      </c>
      <c r="O71" s="27" t="s">
        <v>13</v>
      </c>
      <c r="P71" s="25">
        <v>320</v>
      </c>
      <c r="Q71" s="25">
        <v>235</v>
      </c>
      <c r="R71" s="25" t="s">
        <v>87</v>
      </c>
      <c r="S71" s="25" t="s">
        <v>89</v>
      </c>
      <c r="T71" s="25">
        <v>1</v>
      </c>
      <c r="U71" s="25">
        <v>0</v>
      </c>
      <c r="V71" s="25">
        <v>0</v>
      </c>
      <c r="W71" s="25">
        <v>0</v>
      </c>
      <c r="X71" s="25">
        <v>0</v>
      </c>
      <c r="Y71" s="25">
        <v>1</v>
      </c>
      <c r="Z71" s="25">
        <v>0</v>
      </c>
      <c r="AA71" s="25">
        <v>0</v>
      </c>
      <c r="AB71" s="25">
        <v>0</v>
      </c>
      <c r="AC71" s="25">
        <v>0</v>
      </c>
      <c r="AD71" s="25">
        <v>0</v>
      </c>
      <c r="AE71" s="25">
        <v>1</v>
      </c>
      <c r="AF71" s="25" t="s">
        <v>128</v>
      </c>
    </row>
    <row r="72" spans="1:32" x14ac:dyDescent="0.25">
      <c r="A72" s="25">
        <v>3</v>
      </c>
      <c r="B72" s="25">
        <v>680</v>
      </c>
      <c r="C72" t="s">
        <v>12</v>
      </c>
      <c r="D72" t="s">
        <v>13</v>
      </c>
      <c r="E72" t="s">
        <v>13</v>
      </c>
      <c r="F72" t="s">
        <v>13</v>
      </c>
      <c r="G72" t="s">
        <v>13</v>
      </c>
      <c r="H72" s="27" t="s">
        <v>13</v>
      </c>
      <c r="I72" s="27" t="s">
        <v>13</v>
      </c>
      <c r="J72" s="27" t="s">
        <v>13</v>
      </c>
      <c r="K72" s="27" t="s">
        <v>13</v>
      </c>
      <c r="L72" s="27" t="s">
        <v>13</v>
      </c>
      <c r="M72" s="27" t="s">
        <v>13</v>
      </c>
      <c r="N72" s="27" t="s">
        <v>13</v>
      </c>
      <c r="O72" s="27" t="s">
        <v>13</v>
      </c>
      <c r="P72">
        <v>320</v>
      </c>
      <c r="Q72">
        <v>235</v>
      </c>
      <c r="R72" t="s">
        <v>87</v>
      </c>
      <c r="S72" t="s">
        <v>89</v>
      </c>
      <c r="T72">
        <v>1</v>
      </c>
      <c r="U72">
        <v>0</v>
      </c>
      <c r="V72">
        <v>0</v>
      </c>
      <c r="W72">
        <v>0</v>
      </c>
      <c r="X72">
        <v>0</v>
      </c>
      <c r="Y72">
        <v>1</v>
      </c>
      <c r="Z72">
        <v>0</v>
      </c>
      <c r="AA72">
        <v>0</v>
      </c>
      <c r="AB72">
        <v>0</v>
      </c>
      <c r="AC72">
        <v>0</v>
      </c>
      <c r="AD72">
        <v>0</v>
      </c>
      <c r="AE72">
        <v>1</v>
      </c>
      <c r="AF72" t="s">
        <v>129</v>
      </c>
    </row>
    <row r="73" spans="1:32" x14ac:dyDescent="0.25">
      <c r="A73" s="25">
        <v>3</v>
      </c>
      <c r="B73" s="25">
        <v>690</v>
      </c>
      <c r="C73" t="s">
        <v>12</v>
      </c>
      <c r="D73" t="s">
        <v>13</v>
      </c>
      <c r="E73" t="s">
        <v>13</v>
      </c>
      <c r="F73" t="s">
        <v>13</v>
      </c>
      <c r="G73" t="s">
        <v>13</v>
      </c>
      <c r="H73" s="27" t="s">
        <v>13</v>
      </c>
      <c r="I73" s="27" t="s">
        <v>13</v>
      </c>
      <c r="J73" s="27" t="s">
        <v>13</v>
      </c>
      <c r="K73" s="27" t="s">
        <v>13</v>
      </c>
      <c r="L73" s="27" t="s">
        <v>13</v>
      </c>
      <c r="M73" s="27" t="s">
        <v>13</v>
      </c>
      <c r="N73" s="27" t="s">
        <v>13</v>
      </c>
      <c r="O73" s="27" t="s">
        <v>13</v>
      </c>
      <c r="P73">
        <v>320</v>
      </c>
      <c r="Q73">
        <v>235</v>
      </c>
      <c r="R73" t="s">
        <v>87</v>
      </c>
      <c r="S73" t="s">
        <v>89</v>
      </c>
      <c r="T73">
        <v>1</v>
      </c>
      <c r="U73">
        <v>0</v>
      </c>
      <c r="V73">
        <v>0</v>
      </c>
      <c r="W73">
        <v>0</v>
      </c>
      <c r="X73">
        <v>0</v>
      </c>
      <c r="Y73">
        <v>1</v>
      </c>
      <c r="Z73">
        <v>0</v>
      </c>
      <c r="AA73">
        <v>0</v>
      </c>
      <c r="AB73">
        <v>0</v>
      </c>
      <c r="AC73">
        <v>0</v>
      </c>
      <c r="AD73">
        <v>0</v>
      </c>
      <c r="AE73">
        <v>1</v>
      </c>
      <c r="AF73" t="s">
        <v>130</v>
      </c>
    </row>
    <row r="74" spans="1:32" x14ac:dyDescent="0.25">
      <c r="A74" s="25">
        <v>3</v>
      </c>
      <c r="B74" s="25">
        <v>700</v>
      </c>
      <c r="C74" t="s">
        <v>12</v>
      </c>
      <c r="D74">
        <v>0</v>
      </c>
      <c r="E74">
        <v>0</v>
      </c>
      <c r="F74">
        <v>302</v>
      </c>
      <c r="G74">
        <v>3</v>
      </c>
      <c r="H74" s="27">
        <v>1</v>
      </c>
      <c r="I74" s="27">
        <v>0</v>
      </c>
      <c r="J74" s="27">
        <v>0</v>
      </c>
      <c r="K74" s="27">
        <v>0</v>
      </c>
      <c r="L74" s="27">
        <v>0</v>
      </c>
      <c r="M74" s="27">
        <v>0</v>
      </c>
      <c r="N74" s="27">
        <v>0</v>
      </c>
      <c r="O74" s="27">
        <v>0</v>
      </c>
      <c r="P74">
        <v>272</v>
      </c>
      <c r="Q74">
        <v>3</v>
      </c>
      <c r="R74" t="s">
        <v>87</v>
      </c>
      <c r="S74" t="s">
        <v>89</v>
      </c>
      <c r="T74">
        <v>1</v>
      </c>
      <c r="U74">
        <v>0</v>
      </c>
      <c r="V74">
        <v>0</v>
      </c>
      <c r="W74">
        <v>0</v>
      </c>
      <c r="X74">
        <v>0</v>
      </c>
      <c r="Y74">
        <v>0</v>
      </c>
      <c r="Z74">
        <v>0</v>
      </c>
      <c r="AA74">
        <v>0</v>
      </c>
      <c r="AB74">
        <v>0</v>
      </c>
      <c r="AC74">
        <v>0</v>
      </c>
      <c r="AD74">
        <v>0</v>
      </c>
      <c r="AE74">
        <v>0</v>
      </c>
      <c r="AF74" t="s">
        <v>131</v>
      </c>
    </row>
    <row r="75" spans="1:32" x14ac:dyDescent="0.25">
      <c r="A75" s="25">
        <v>3</v>
      </c>
      <c r="B75" s="25">
        <v>740</v>
      </c>
      <c r="C75" t="s">
        <v>12</v>
      </c>
      <c r="D75">
        <v>0</v>
      </c>
      <c r="E75">
        <v>0</v>
      </c>
      <c r="F75">
        <v>302</v>
      </c>
      <c r="G75">
        <v>3</v>
      </c>
      <c r="H75" s="27">
        <v>1</v>
      </c>
      <c r="I75" s="27">
        <v>0</v>
      </c>
      <c r="J75" s="27">
        <v>0</v>
      </c>
      <c r="K75" s="27">
        <v>0</v>
      </c>
      <c r="L75" s="27">
        <v>0</v>
      </c>
      <c r="M75" s="27">
        <v>0</v>
      </c>
      <c r="N75" s="27">
        <v>0</v>
      </c>
      <c r="O75" s="27">
        <v>0</v>
      </c>
      <c r="P75">
        <v>272</v>
      </c>
      <c r="Q75">
        <v>3</v>
      </c>
      <c r="R75" t="s">
        <v>87</v>
      </c>
      <c r="S75" t="s">
        <v>89</v>
      </c>
      <c r="T75">
        <v>1</v>
      </c>
      <c r="U75">
        <v>0</v>
      </c>
      <c r="V75">
        <v>0</v>
      </c>
      <c r="W75">
        <v>0</v>
      </c>
      <c r="X75">
        <v>0</v>
      </c>
      <c r="Y75">
        <v>0</v>
      </c>
      <c r="Z75">
        <v>0</v>
      </c>
      <c r="AA75">
        <v>0</v>
      </c>
      <c r="AB75">
        <v>0</v>
      </c>
      <c r="AC75">
        <v>0</v>
      </c>
      <c r="AD75">
        <v>0</v>
      </c>
      <c r="AE75">
        <v>0</v>
      </c>
      <c r="AF75" t="s">
        <v>131</v>
      </c>
    </row>
    <row r="76" spans="1:32" x14ac:dyDescent="0.25">
      <c r="A76" s="25">
        <v>3</v>
      </c>
      <c r="B76" s="25">
        <v>750</v>
      </c>
      <c r="C76" t="s">
        <v>12</v>
      </c>
      <c r="D76">
        <v>0</v>
      </c>
      <c r="E76">
        <v>0</v>
      </c>
      <c r="F76">
        <v>303</v>
      </c>
      <c r="G76">
        <v>-1</v>
      </c>
      <c r="H76" s="27">
        <v>1</v>
      </c>
      <c r="I76" s="27">
        <v>0</v>
      </c>
      <c r="J76" s="27">
        <v>0</v>
      </c>
      <c r="K76" s="27">
        <v>0</v>
      </c>
      <c r="L76" s="27">
        <v>0</v>
      </c>
      <c r="M76" s="27">
        <v>0</v>
      </c>
      <c r="N76" s="27">
        <v>0</v>
      </c>
      <c r="O76" s="27">
        <v>0</v>
      </c>
      <c r="P76">
        <v>273</v>
      </c>
      <c r="Q76">
        <v>-1</v>
      </c>
      <c r="R76" t="s">
        <v>87</v>
      </c>
      <c r="S76" t="s">
        <v>89</v>
      </c>
      <c r="T76">
        <v>1</v>
      </c>
      <c r="U76">
        <v>0</v>
      </c>
      <c r="V76">
        <v>0</v>
      </c>
      <c r="W76">
        <v>0</v>
      </c>
      <c r="X76">
        <v>0</v>
      </c>
      <c r="Y76">
        <v>0</v>
      </c>
      <c r="Z76">
        <v>0</v>
      </c>
      <c r="AA76">
        <v>0</v>
      </c>
      <c r="AB76">
        <v>0</v>
      </c>
      <c r="AC76">
        <v>0</v>
      </c>
      <c r="AD76">
        <v>0</v>
      </c>
      <c r="AE76">
        <v>0</v>
      </c>
      <c r="AF76" t="s">
        <v>131</v>
      </c>
    </row>
    <row r="77" spans="1:32" s="25" customFormat="1" x14ac:dyDescent="0.25">
      <c r="A77" s="25">
        <v>3</v>
      </c>
      <c r="B77" s="25">
        <v>760</v>
      </c>
      <c r="C77" s="25" t="s">
        <v>12</v>
      </c>
      <c r="D77" s="25">
        <v>0</v>
      </c>
      <c r="E77" s="25">
        <v>0</v>
      </c>
      <c r="F77" s="25">
        <v>304</v>
      </c>
      <c r="G77" s="25">
        <v>2</v>
      </c>
      <c r="H77" s="27">
        <v>1</v>
      </c>
      <c r="I77" s="27">
        <v>0</v>
      </c>
      <c r="J77" s="27">
        <v>0</v>
      </c>
      <c r="K77" s="27">
        <v>0</v>
      </c>
      <c r="L77" s="27">
        <v>0</v>
      </c>
      <c r="M77" s="27">
        <v>0</v>
      </c>
      <c r="N77" s="27">
        <v>0</v>
      </c>
      <c r="O77" s="27">
        <v>0</v>
      </c>
      <c r="P77" s="25">
        <v>274</v>
      </c>
      <c r="Q77" s="25">
        <v>2</v>
      </c>
      <c r="R77" s="25" t="s">
        <v>87</v>
      </c>
      <c r="S77" s="25" t="s">
        <v>89</v>
      </c>
      <c r="T77" s="25">
        <v>1</v>
      </c>
      <c r="U77" s="25">
        <v>0</v>
      </c>
      <c r="V77" s="25">
        <v>0</v>
      </c>
      <c r="W77" s="25">
        <v>0</v>
      </c>
      <c r="X77" s="25">
        <v>0</v>
      </c>
      <c r="Y77" s="25">
        <v>0</v>
      </c>
      <c r="Z77" s="25">
        <v>0</v>
      </c>
      <c r="AA77" s="25">
        <v>0</v>
      </c>
      <c r="AB77" s="25">
        <v>0</v>
      </c>
      <c r="AC77" s="25">
        <v>0</v>
      </c>
      <c r="AD77" s="25">
        <v>0</v>
      </c>
      <c r="AE77" s="25">
        <v>0</v>
      </c>
      <c r="AF77" s="25" t="s">
        <v>131</v>
      </c>
    </row>
    <row r="78" spans="1:32" s="25" customFormat="1" x14ac:dyDescent="0.25">
      <c r="A78" s="25">
        <v>3</v>
      </c>
      <c r="B78" s="25">
        <v>770</v>
      </c>
      <c r="C78" s="25" t="s">
        <v>12</v>
      </c>
      <c r="D78" s="25">
        <v>0</v>
      </c>
      <c r="E78" s="25">
        <v>0</v>
      </c>
      <c r="F78" s="25">
        <v>0</v>
      </c>
      <c r="G78" s="25">
        <v>5</v>
      </c>
      <c r="H78" s="27">
        <v>1</v>
      </c>
      <c r="I78" s="27">
        <v>0</v>
      </c>
      <c r="J78" s="27">
        <v>0</v>
      </c>
      <c r="K78" s="27">
        <v>0</v>
      </c>
      <c r="L78" s="27">
        <v>0</v>
      </c>
      <c r="M78" s="27">
        <v>0</v>
      </c>
      <c r="N78" s="27">
        <v>0</v>
      </c>
      <c r="O78" s="27">
        <v>0</v>
      </c>
      <c r="P78" s="25">
        <v>274</v>
      </c>
      <c r="Q78" s="25">
        <v>235</v>
      </c>
      <c r="R78" s="25" t="s">
        <v>86</v>
      </c>
      <c r="S78" s="25" t="s">
        <v>88</v>
      </c>
      <c r="T78" s="25">
        <v>1</v>
      </c>
      <c r="U78" s="25">
        <v>0</v>
      </c>
      <c r="V78" s="25">
        <v>0</v>
      </c>
      <c r="W78" s="25">
        <v>0</v>
      </c>
      <c r="X78" s="25">
        <v>0</v>
      </c>
      <c r="Y78" s="25">
        <v>0</v>
      </c>
      <c r="Z78" s="25">
        <v>0</v>
      </c>
      <c r="AA78" s="25">
        <v>0</v>
      </c>
      <c r="AB78" s="25">
        <v>0</v>
      </c>
      <c r="AC78" s="25">
        <v>0</v>
      </c>
      <c r="AD78" s="25">
        <v>0</v>
      </c>
      <c r="AE78" s="25">
        <v>0</v>
      </c>
      <c r="AF78" s="25" t="s">
        <v>131</v>
      </c>
    </row>
    <row r="79" spans="1:32" s="25" customFormat="1" x14ac:dyDescent="0.25">
      <c r="A79" s="25">
        <v>3</v>
      </c>
      <c r="B79" s="25">
        <v>780</v>
      </c>
      <c r="C79" s="25" t="s">
        <v>12</v>
      </c>
      <c r="D79" s="25">
        <v>0</v>
      </c>
      <c r="E79" s="25">
        <v>0</v>
      </c>
      <c r="F79" s="25">
        <v>304</v>
      </c>
      <c r="G79" s="25">
        <v>8</v>
      </c>
      <c r="H79" s="27">
        <v>1</v>
      </c>
      <c r="I79" s="27">
        <v>0</v>
      </c>
      <c r="J79" s="27">
        <v>0</v>
      </c>
      <c r="K79" s="27">
        <v>0</v>
      </c>
      <c r="L79" s="27">
        <v>0</v>
      </c>
      <c r="M79" s="27">
        <v>0</v>
      </c>
      <c r="N79" s="27">
        <v>0</v>
      </c>
      <c r="O79" s="27">
        <v>0</v>
      </c>
      <c r="P79" s="25">
        <v>274</v>
      </c>
      <c r="Q79" s="25">
        <v>8</v>
      </c>
      <c r="R79" s="25" t="s">
        <v>86</v>
      </c>
      <c r="S79" s="25" t="s">
        <v>88</v>
      </c>
      <c r="T79" s="25">
        <v>1</v>
      </c>
      <c r="U79" s="25">
        <v>0</v>
      </c>
      <c r="V79" s="25">
        <v>0</v>
      </c>
      <c r="W79" s="25">
        <v>0</v>
      </c>
      <c r="X79" s="25">
        <v>0</v>
      </c>
      <c r="Y79" s="25">
        <v>0</v>
      </c>
      <c r="Z79" s="25">
        <v>0</v>
      </c>
      <c r="AA79" s="25">
        <v>0</v>
      </c>
      <c r="AB79" s="25">
        <v>0</v>
      </c>
      <c r="AC79" s="25">
        <v>0</v>
      </c>
      <c r="AD79" s="25">
        <v>0</v>
      </c>
      <c r="AE79" s="25">
        <v>0</v>
      </c>
      <c r="AF79" s="25" t="s">
        <v>131</v>
      </c>
    </row>
    <row r="80" spans="1:32" s="25" customFormat="1" x14ac:dyDescent="0.25">
      <c r="A80" s="25">
        <v>3</v>
      </c>
      <c r="B80" s="25">
        <v>790</v>
      </c>
      <c r="C80" s="25" t="s">
        <v>12</v>
      </c>
      <c r="D80" s="25">
        <v>0</v>
      </c>
      <c r="E80" s="25">
        <v>0</v>
      </c>
      <c r="F80" s="25">
        <v>304</v>
      </c>
      <c r="G80" s="25">
        <v>11</v>
      </c>
      <c r="H80" s="27">
        <v>1</v>
      </c>
      <c r="I80" s="27">
        <v>0</v>
      </c>
      <c r="J80" s="27">
        <v>0</v>
      </c>
      <c r="K80" s="27">
        <v>0</v>
      </c>
      <c r="L80" s="27">
        <v>0</v>
      </c>
      <c r="M80" s="27">
        <v>0</v>
      </c>
      <c r="N80" s="27">
        <v>0</v>
      </c>
      <c r="O80" s="27">
        <v>0</v>
      </c>
      <c r="P80" s="25">
        <v>274</v>
      </c>
      <c r="Q80" s="25">
        <v>11</v>
      </c>
      <c r="R80" s="25" t="s">
        <v>86</v>
      </c>
      <c r="S80" s="25" t="s">
        <v>88</v>
      </c>
      <c r="T80" s="25">
        <v>1</v>
      </c>
      <c r="U80" s="25">
        <v>0</v>
      </c>
      <c r="V80" s="25">
        <v>0</v>
      </c>
      <c r="W80" s="25">
        <v>0</v>
      </c>
      <c r="X80" s="25">
        <v>0</v>
      </c>
      <c r="Y80" s="25">
        <v>0</v>
      </c>
      <c r="Z80" s="25">
        <v>0</v>
      </c>
      <c r="AA80" s="25">
        <v>0</v>
      </c>
      <c r="AB80" s="25">
        <v>0</v>
      </c>
      <c r="AC80" s="25">
        <v>0</v>
      </c>
      <c r="AD80" s="25">
        <v>0</v>
      </c>
      <c r="AE80" s="25">
        <v>0</v>
      </c>
      <c r="AF80" s="25" t="s">
        <v>131</v>
      </c>
    </row>
    <row r="81" spans="1:32" x14ac:dyDescent="0.25">
      <c r="A81" s="25">
        <v>3</v>
      </c>
      <c r="B81" s="25">
        <v>800</v>
      </c>
      <c r="C81" t="s">
        <v>12</v>
      </c>
      <c r="D81">
        <v>0</v>
      </c>
      <c r="E81">
        <v>0</v>
      </c>
      <c r="F81">
        <v>304</v>
      </c>
      <c r="G81">
        <v>14</v>
      </c>
      <c r="H81" s="27">
        <v>1</v>
      </c>
      <c r="I81" s="27">
        <v>0</v>
      </c>
      <c r="J81" s="27">
        <v>0</v>
      </c>
      <c r="K81" s="27">
        <v>0</v>
      </c>
      <c r="L81" s="27">
        <v>0</v>
      </c>
      <c r="M81" s="27">
        <v>0</v>
      </c>
      <c r="N81" s="27">
        <v>0</v>
      </c>
      <c r="O81" s="27">
        <v>0</v>
      </c>
      <c r="P81">
        <v>274</v>
      </c>
      <c r="Q81">
        <v>14</v>
      </c>
      <c r="R81" t="s">
        <v>86</v>
      </c>
      <c r="S81" t="s">
        <v>88</v>
      </c>
      <c r="T81">
        <v>1</v>
      </c>
      <c r="U81">
        <v>0</v>
      </c>
      <c r="V81">
        <v>0</v>
      </c>
      <c r="W81">
        <v>0</v>
      </c>
      <c r="X81">
        <v>0</v>
      </c>
      <c r="Y81">
        <v>0</v>
      </c>
      <c r="Z81">
        <v>0</v>
      </c>
      <c r="AA81">
        <v>0</v>
      </c>
      <c r="AB81">
        <v>0</v>
      </c>
      <c r="AC81">
        <v>0</v>
      </c>
      <c r="AD81">
        <v>0</v>
      </c>
      <c r="AE81">
        <v>0</v>
      </c>
      <c r="AF81">
        <v>0</v>
      </c>
    </row>
    <row r="82" spans="1:32" x14ac:dyDescent="0.25">
      <c r="A82" s="25">
        <v>4</v>
      </c>
      <c r="B82" s="25">
        <v>810</v>
      </c>
      <c r="C82" t="s">
        <v>12</v>
      </c>
      <c r="D82">
        <v>0</v>
      </c>
      <c r="E82">
        <v>0</v>
      </c>
      <c r="F82">
        <v>206</v>
      </c>
      <c r="G82">
        <v>-156</v>
      </c>
      <c r="H82" s="27">
        <v>1</v>
      </c>
      <c r="I82" s="27">
        <v>0</v>
      </c>
      <c r="J82" s="27">
        <v>0</v>
      </c>
      <c r="K82" s="27">
        <v>0</v>
      </c>
      <c r="L82" s="27">
        <v>0</v>
      </c>
      <c r="M82" s="27">
        <v>0</v>
      </c>
      <c r="N82" s="27">
        <v>0</v>
      </c>
      <c r="O82" s="27">
        <v>0</v>
      </c>
      <c r="P82">
        <v>176</v>
      </c>
      <c r="Q82">
        <v>-156</v>
      </c>
      <c r="R82" t="s">
        <v>86</v>
      </c>
      <c r="S82" t="s">
        <v>88</v>
      </c>
      <c r="T82">
        <v>1</v>
      </c>
      <c r="U82">
        <v>0</v>
      </c>
      <c r="V82">
        <v>0</v>
      </c>
      <c r="W82">
        <v>0</v>
      </c>
      <c r="X82">
        <v>0</v>
      </c>
      <c r="Y82">
        <v>0</v>
      </c>
      <c r="Z82">
        <v>0</v>
      </c>
      <c r="AA82">
        <v>0</v>
      </c>
      <c r="AB82">
        <v>0</v>
      </c>
      <c r="AC82">
        <v>0</v>
      </c>
      <c r="AD82">
        <v>0</v>
      </c>
      <c r="AE82">
        <v>0</v>
      </c>
      <c r="AF82">
        <v>0</v>
      </c>
    </row>
    <row r="83" spans="1:32" x14ac:dyDescent="0.25">
      <c r="A83" s="25">
        <v>4</v>
      </c>
      <c r="B83" s="25">
        <v>820</v>
      </c>
      <c r="C83" t="s">
        <v>12</v>
      </c>
      <c r="D83">
        <v>0</v>
      </c>
      <c r="E83" t="s">
        <v>126</v>
      </c>
      <c r="F83">
        <v>1</v>
      </c>
      <c r="G83">
        <v>-143</v>
      </c>
      <c r="H83" s="27">
        <v>1</v>
      </c>
      <c r="I83" s="27">
        <v>0</v>
      </c>
      <c r="J83" s="27">
        <v>0</v>
      </c>
      <c r="K83" s="27">
        <v>0</v>
      </c>
      <c r="L83" s="27">
        <v>0</v>
      </c>
      <c r="M83" s="27">
        <v>0</v>
      </c>
      <c r="N83" s="27">
        <v>0</v>
      </c>
      <c r="O83" s="27">
        <v>0</v>
      </c>
      <c r="P83">
        <v>176</v>
      </c>
      <c r="Q83">
        <v>235</v>
      </c>
      <c r="R83" t="s">
        <v>86</v>
      </c>
      <c r="S83" t="s">
        <v>88</v>
      </c>
      <c r="T83">
        <v>1</v>
      </c>
      <c r="U83">
        <v>0</v>
      </c>
      <c r="V83">
        <v>0</v>
      </c>
      <c r="W83">
        <v>0</v>
      </c>
      <c r="X83">
        <v>0</v>
      </c>
      <c r="Y83">
        <v>0</v>
      </c>
      <c r="Z83">
        <v>0</v>
      </c>
      <c r="AA83">
        <v>0</v>
      </c>
      <c r="AB83">
        <v>0</v>
      </c>
      <c r="AC83" t="s">
        <v>126</v>
      </c>
      <c r="AD83">
        <v>0</v>
      </c>
      <c r="AE83">
        <v>1</v>
      </c>
      <c r="AF83">
        <v>0</v>
      </c>
    </row>
    <row r="84" spans="1:32" s="25" customFormat="1" x14ac:dyDescent="0.25">
      <c r="A84" s="25">
        <v>4</v>
      </c>
      <c r="B84" s="25">
        <v>830</v>
      </c>
      <c r="C84" s="25" t="s">
        <v>12</v>
      </c>
      <c r="D84" s="25">
        <v>0</v>
      </c>
      <c r="E84" s="25" t="s">
        <v>127</v>
      </c>
      <c r="F84" s="25">
        <v>600</v>
      </c>
      <c r="G84" s="25">
        <v>1</v>
      </c>
      <c r="H84" s="27">
        <v>1</v>
      </c>
      <c r="I84" s="27">
        <v>0</v>
      </c>
      <c r="J84" s="27">
        <v>0</v>
      </c>
      <c r="K84" s="27">
        <v>0</v>
      </c>
      <c r="L84" s="27">
        <v>0</v>
      </c>
      <c r="M84" s="27">
        <v>0</v>
      </c>
      <c r="N84" s="27">
        <v>0</v>
      </c>
      <c r="O84" s="27">
        <v>0</v>
      </c>
      <c r="P84" s="25">
        <v>176</v>
      </c>
      <c r="Q84" s="25">
        <v>235</v>
      </c>
      <c r="R84" s="25" t="s">
        <v>86</v>
      </c>
      <c r="S84" s="25" t="s">
        <v>88</v>
      </c>
      <c r="T84" s="25">
        <v>1</v>
      </c>
      <c r="U84" s="25">
        <v>0</v>
      </c>
      <c r="V84" s="25">
        <v>0</v>
      </c>
      <c r="W84" s="25">
        <v>0</v>
      </c>
      <c r="X84" s="25">
        <v>0</v>
      </c>
      <c r="Y84" s="25">
        <v>0</v>
      </c>
      <c r="Z84" s="25">
        <v>0</v>
      </c>
      <c r="AA84" s="25">
        <v>0</v>
      </c>
      <c r="AB84" s="25">
        <v>0</v>
      </c>
      <c r="AC84" s="25" t="s">
        <v>127</v>
      </c>
      <c r="AD84" s="25">
        <v>0</v>
      </c>
      <c r="AE84" s="25">
        <v>1</v>
      </c>
      <c r="AF84" s="25">
        <v>0</v>
      </c>
    </row>
    <row r="85" spans="1:32" s="25" customFormat="1" x14ac:dyDescent="0.25">
      <c r="A85" s="25">
        <v>4</v>
      </c>
      <c r="B85" s="25">
        <v>840</v>
      </c>
      <c r="C85" s="25" t="s">
        <v>12</v>
      </c>
      <c r="D85" s="25">
        <v>0</v>
      </c>
      <c r="E85" s="25">
        <v>0</v>
      </c>
      <c r="F85" s="25">
        <v>606</v>
      </c>
      <c r="G85" s="25">
        <v>-251</v>
      </c>
      <c r="H85" s="27">
        <v>1</v>
      </c>
      <c r="I85" s="27">
        <v>0</v>
      </c>
      <c r="J85" s="27">
        <v>0</v>
      </c>
      <c r="K85" s="27">
        <v>0</v>
      </c>
      <c r="L85" s="27">
        <v>0</v>
      </c>
      <c r="M85" s="27">
        <v>0</v>
      </c>
      <c r="N85" s="27">
        <v>0</v>
      </c>
      <c r="O85" s="27">
        <v>0</v>
      </c>
      <c r="P85" s="25">
        <v>176</v>
      </c>
      <c r="Q85" s="25">
        <v>235</v>
      </c>
      <c r="R85" s="25" t="s">
        <v>87</v>
      </c>
      <c r="S85" s="25" t="s">
        <v>89</v>
      </c>
      <c r="T85" s="25">
        <v>1</v>
      </c>
      <c r="U85" s="25">
        <v>0</v>
      </c>
      <c r="V85" s="25">
        <v>0</v>
      </c>
      <c r="W85" s="25">
        <v>0</v>
      </c>
      <c r="X85" s="25">
        <v>0</v>
      </c>
      <c r="Y85" s="25">
        <v>0</v>
      </c>
      <c r="Z85" s="25">
        <v>0</v>
      </c>
      <c r="AA85" s="25">
        <v>0</v>
      </c>
      <c r="AB85" s="25">
        <v>0</v>
      </c>
      <c r="AC85" s="25">
        <v>0</v>
      </c>
      <c r="AD85" s="25">
        <v>0</v>
      </c>
      <c r="AE85" s="25">
        <v>0</v>
      </c>
      <c r="AF85" s="25">
        <v>0</v>
      </c>
    </row>
    <row r="86" spans="1:32" s="25" customFormat="1" x14ac:dyDescent="0.25">
      <c r="A86" s="25">
        <v>4</v>
      </c>
      <c r="B86" s="25">
        <v>850</v>
      </c>
      <c r="C86" s="25" t="s">
        <v>12</v>
      </c>
      <c r="D86" s="25" t="s">
        <v>13</v>
      </c>
      <c r="E86" s="25" t="s">
        <v>13</v>
      </c>
      <c r="F86" s="25" t="s">
        <v>13</v>
      </c>
      <c r="G86" s="25" t="s">
        <v>13</v>
      </c>
      <c r="H86" s="27" t="s">
        <v>13</v>
      </c>
      <c r="I86" s="27" t="s">
        <v>13</v>
      </c>
      <c r="J86" s="27" t="s">
        <v>13</v>
      </c>
      <c r="K86" s="27" t="s">
        <v>13</v>
      </c>
      <c r="L86" s="27" t="s">
        <v>13</v>
      </c>
      <c r="M86" s="27" t="s">
        <v>13</v>
      </c>
      <c r="N86" s="27" t="s">
        <v>13</v>
      </c>
      <c r="O86" s="27" t="s">
        <v>13</v>
      </c>
      <c r="P86" s="25">
        <v>176</v>
      </c>
      <c r="Q86" s="25">
        <v>235</v>
      </c>
      <c r="R86" s="25" t="s">
        <v>87</v>
      </c>
      <c r="S86" s="25" t="s">
        <v>89</v>
      </c>
      <c r="T86" s="25">
        <v>1</v>
      </c>
      <c r="U86" s="25">
        <v>0</v>
      </c>
      <c r="V86" s="25">
        <v>0</v>
      </c>
      <c r="W86" s="25">
        <v>0</v>
      </c>
      <c r="X86" s="25">
        <v>0</v>
      </c>
      <c r="Y86" s="25">
        <v>0</v>
      </c>
      <c r="Z86" s="25">
        <v>0</v>
      </c>
      <c r="AA86" s="25">
        <v>0</v>
      </c>
      <c r="AB86" s="25">
        <v>0</v>
      </c>
      <c r="AC86" s="25">
        <v>0</v>
      </c>
      <c r="AD86" s="25">
        <v>0</v>
      </c>
      <c r="AE86" s="25">
        <v>0</v>
      </c>
      <c r="AF86" s="25" t="s">
        <v>128</v>
      </c>
    </row>
    <row r="87" spans="1:32" s="25" customFormat="1" x14ac:dyDescent="0.25">
      <c r="A87" s="25">
        <v>4</v>
      </c>
      <c r="B87" s="25">
        <v>860</v>
      </c>
      <c r="C87" s="25" t="s">
        <v>12</v>
      </c>
      <c r="D87" s="25" t="s">
        <v>13</v>
      </c>
      <c r="E87" s="25" t="s">
        <v>13</v>
      </c>
      <c r="F87" s="25" t="s">
        <v>13</v>
      </c>
      <c r="G87" s="25" t="s">
        <v>13</v>
      </c>
      <c r="H87" s="27" t="s">
        <v>13</v>
      </c>
      <c r="I87" s="27" t="s">
        <v>13</v>
      </c>
      <c r="J87" s="27" t="s">
        <v>13</v>
      </c>
      <c r="K87" s="27" t="s">
        <v>13</v>
      </c>
      <c r="L87" s="27" t="s">
        <v>13</v>
      </c>
      <c r="M87" s="27" t="s">
        <v>13</v>
      </c>
      <c r="N87" s="27" t="s">
        <v>13</v>
      </c>
      <c r="O87" s="27" t="s">
        <v>13</v>
      </c>
      <c r="P87" s="25">
        <v>176</v>
      </c>
      <c r="Q87" s="25">
        <v>235</v>
      </c>
      <c r="R87" s="25" t="s">
        <v>87</v>
      </c>
      <c r="S87" s="25" t="s">
        <v>89</v>
      </c>
      <c r="T87" s="25">
        <v>1</v>
      </c>
      <c r="U87" s="25">
        <v>0</v>
      </c>
      <c r="V87" s="25">
        <v>0</v>
      </c>
      <c r="W87" s="25">
        <v>0</v>
      </c>
      <c r="X87" s="25">
        <v>0</v>
      </c>
      <c r="Y87" s="25">
        <v>0</v>
      </c>
      <c r="Z87" s="25">
        <v>0</v>
      </c>
      <c r="AA87" s="25">
        <v>0</v>
      </c>
      <c r="AB87" s="25">
        <v>0</v>
      </c>
      <c r="AC87" s="25">
        <v>0</v>
      </c>
      <c r="AD87" s="25">
        <v>0</v>
      </c>
      <c r="AE87" s="25">
        <v>0</v>
      </c>
      <c r="AF87" s="25" t="s">
        <v>129</v>
      </c>
    </row>
    <row r="88" spans="1:32" x14ac:dyDescent="0.25">
      <c r="A88" s="25">
        <v>4</v>
      </c>
      <c r="B88" s="25">
        <v>870</v>
      </c>
      <c r="C88" t="s">
        <v>12</v>
      </c>
      <c r="D88" t="s">
        <v>13</v>
      </c>
      <c r="E88" t="s">
        <v>13</v>
      </c>
      <c r="F88" t="s">
        <v>13</v>
      </c>
      <c r="G88" t="s">
        <v>13</v>
      </c>
      <c r="H88" s="27" t="s">
        <v>13</v>
      </c>
      <c r="I88" s="27" t="s">
        <v>13</v>
      </c>
      <c r="J88" s="27" t="s">
        <v>13</v>
      </c>
      <c r="K88" s="27" t="s">
        <v>13</v>
      </c>
      <c r="L88" s="27" t="s">
        <v>13</v>
      </c>
      <c r="M88" s="27" t="s">
        <v>13</v>
      </c>
      <c r="N88" s="27" t="s">
        <v>13</v>
      </c>
      <c r="O88" s="27" t="s">
        <v>13</v>
      </c>
      <c r="P88">
        <v>176</v>
      </c>
      <c r="Q88">
        <v>235</v>
      </c>
      <c r="R88" t="s">
        <v>87</v>
      </c>
      <c r="S88" t="s">
        <v>89</v>
      </c>
      <c r="T88">
        <v>1</v>
      </c>
      <c r="U88">
        <v>0</v>
      </c>
      <c r="V88">
        <v>0</v>
      </c>
      <c r="W88">
        <v>0</v>
      </c>
      <c r="X88">
        <v>0</v>
      </c>
      <c r="Y88">
        <v>0</v>
      </c>
      <c r="Z88">
        <v>0</v>
      </c>
      <c r="AA88">
        <v>0</v>
      </c>
      <c r="AB88">
        <v>0</v>
      </c>
      <c r="AC88">
        <v>0</v>
      </c>
      <c r="AD88">
        <v>0</v>
      </c>
      <c r="AE88">
        <v>0</v>
      </c>
      <c r="AF88" t="s">
        <v>130</v>
      </c>
    </row>
    <row r="89" spans="1:32" x14ac:dyDescent="0.25">
      <c r="A89" s="25">
        <v>4</v>
      </c>
      <c r="B89" s="25">
        <v>880</v>
      </c>
      <c r="C89" t="s">
        <v>12</v>
      </c>
      <c r="D89">
        <v>0</v>
      </c>
      <c r="E89">
        <v>0</v>
      </c>
      <c r="F89">
        <v>429496729.5</v>
      </c>
      <c r="G89">
        <v>30</v>
      </c>
      <c r="H89" s="27">
        <v>1</v>
      </c>
      <c r="I89" s="27">
        <v>0</v>
      </c>
      <c r="J89" s="27">
        <v>0</v>
      </c>
      <c r="K89" s="27">
        <v>0</v>
      </c>
      <c r="L89" s="27">
        <v>0</v>
      </c>
      <c r="M89" s="27">
        <v>0</v>
      </c>
      <c r="N89" s="27">
        <v>1</v>
      </c>
      <c r="O89" s="27">
        <v>0</v>
      </c>
      <c r="P89">
        <v>176</v>
      </c>
      <c r="Q89">
        <v>235</v>
      </c>
      <c r="R89" t="s">
        <v>87</v>
      </c>
      <c r="S89" t="s">
        <v>89</v>
      </c>
      <c r="T89">
        <v>1</v>
      </c>
      <c r="U89">
        <v>0</v>
      </c>
      <c r="V89">
        <v>0</v>
      </c>
      <c r="W89">
        <v>0</v>
      </c>
      <c r="X89">
        <v>0</v>
      </c>
      <c r="Y89">
        <v>0</v>
      </c>
      <c r="Z89">
        <v>1</v>
      </c>
      <c r="AA89">
        <v>0</v>
      </c>
      <c r="AB89">
        <v>0</v>
      </c>
      <c r="AC89">
        <v>0</v>
      </c>
      <c r="AD89">
        <v>0</v>
      </c>
      <c r="AE89">
        <v>1</v>
      </c>
      <c r="AF89" t="s">
        <v>131</v>
      </c>
    </row>
    <row r="90" spans="1:32" x14ac:dyDescent="0.25">
      <c r="A90" s="25">
        <v>4</v>
      </c>
      <c r="B90" s="25">
        <v>930</v>
      </c>
      <c r="C90" t="s">
        <v>12</v>
      </c>
      <c r="D90">
        <v>0</v>
      </c>
      <c r="E90">
        <v>0</v>
      </c>
      <c r="F90">
        <v>200</v>
      </c>
      <c r="G90">
        <v>251</v>
      </c>
      <c r="H90" s="27">
        <v>1</v>
      </c>
      <c r="I90" s="27">
        <v>0</v>
      </c>
      <c r="J90" s="27">
        <v>0</v>
      </c>
      <c r="K90" s="27">
        <v>0</v>
      </c>
      <c r="L90" s="27">
        <v>0</v>
      </c>
      <c r="M90" s="27">
        <v>0</v>
      </c>
      <c r="N90" s="27">
        <v>0</v>
      </c>
      <c r="O90" s="27">
        <v>1</v>
      </c>
      <c r="P90">
        <v>176</v>
      </c>
      <c r="Q90">
        <v>235</v>
      </c>
      <c r="R90" t="s">
        <v>87</v>
      </c>
      <c r="S90" t="s">
        <v>89</v>
      </c>
      <c r="T90">
        <v>1</v>
      </c>
      <c r="U90">
        <v>0</v>
      </c>
      <c r="V90">
        <v>0</v>
      </c>
      <c r="W90">
        <v>0</v>
      </c>
      <c r="X90">
        <v>0</v>
      </c>
      <c r="Y90">
        <v>0</v>
      </c>
      <c r="Z90">
        <v>0</v>
      </c>
      <c r="AA90">
        <v>1</v>
      </c>
      <c r="AB90">
        <v>0</v>
      </c>
      <c r="AC90">
        <v>0</v>
      </c>
      <c r="AD90">
        <v>0</v>
      </c>
      <c r="AE90">
        <v>1</v>
      </c>
      <c r="AF90" t="s">
        <v>131</v>
      </c>
    </row>
    <row r="91" spans="1:32" x14ac:dyDescent="0.25">
      <c r="A91" s="25">
        <v>4</v>
      </c>
      <c r="B91" s="25">
        <v>940</v>
      </c>
      <c r="C91" t="s">
        <v>12</v>
      </c>
      <c r="D91">
        <v>0</v>
      </c>
      <c r="E91">
        <v>0</v>
      </c>
      <c r="F91">
        <v>206</v>
      </c>
      <c r="G91">
        <v>-32768</v>
      </c>
      <c r="H91" s="27">
        <v>1</v>
      </c>
      <c r="I91" s="27">
        <v>0</v>
      </c>
      <c r="J91" s="27">
        <v>0</v>
      </c>
      <c r="K91" s="27">
        <v>0</v>
      </c>
      <c r="L91" s="27">
        <v>0</v>
      </c>
      <c r="M91" s="27">
        <v>0</v>
      </c>
      <c r="N91" s="27">
        <v>1</v>
      </c>
      <c r="O91" s="27">
        <v>0</v>
      </c>
      <c r="P91">
        <v>176</v>
      </c>
      <c r="Q91">
        <v>235</v>
      </c>
      <c r="R91" t="s">
        <v>87</v>
      </c>
      <c r="S91" t="s">
        <v>89</v>
      </c>
      <c r="T91">
        <v>1</v>
      </c>
      <c r="U91">
        <v>0</v>
      </c>
      <c r="V91">
        <v>0</v>
      </c>
      <c r="W91">
        <v>0</v>
      </c>
      <c r="X91">
        <v>0</v>
      </c>
      <c r="Y91">
        <v>0</v>
      </c>
      <c r="Z91">
        <v>1</v>
      </c>
      <c r="AA91">
        <v>0</v>
      </c>
      <c r="AB91">
        <v>0</v>
      </c>
      <c r="AC91">
        <v>0</v>
      </c>
      <c r="AD91">
        <v>0</v>
      </c>
      <c r="AE91">
        <v>1</v>
      </c>
      <c r="AF91" t="s">
        <v>132</v>
      </c>
    </row>
    <row r="92" spans="1:32" x14ac:dyDescent="0.25">
      <c r="A92" s="25">
        <v>4</v>
      </c>
      <c r="B92" s="25">
        <v>950</v>
      </c>
      <c r="C92" t="s">
        <v>12</v>
      </c>
      <c r="D92">
        <v>0</v>
      </c>
      <c r="E92">
        <v>0</v>
      </c>
      <c r="F92">
        <v>212</v>
      </c>
      <c r="G92">
        <v>32767</v>
      </c>
      <c r="H92" s="27">
        <v>1</v>
      </c>
      <c r="I92" s="27">
        <v>0</v>
      </c>
      <c r="J92" s="27">
        <v>0</v>
      </c>
      <c r="K92" s="27">
        <v>0</v>
      </c>
      <c r="L92" s="27">
        <v>0</v>
      </c>
      <c r="M92" s="27">
        <v>1</v>
      </c>
      <c r="N92" s="27">
        <v>0</v>
      </c>
      <c r="O92" s="27">
        <v>0</v>
      </c>
      <c r="P92">
        <v>176</v>
      </c>
      <c r="Q92">
        <v>235</v>
      </c>
      <c r="R92" t="s">
        <v>87</v>
      </c>
      <c r="S92" t="s">
        <v>89</v>
      </c>
      <c r="T92">
        <v>1</v>
      </c>
      <c r="U92">
        <v>0</v>
      </c>
      <c r="V92">
        <v>0</v>
      </c>
      <c r="W92">
        <v>0</v>
      </c>
      <c r="X92">
        <v>0</v>
      </c>
      <c r="Y92">
        <v>1</v>
      </c>
      <c r="Z92">
        <v>0</v>
      </c>
      <c r="AA92">
        <v>0</v>
      </c>
      <c r="AB92">
        <v>0</v>
      </c>
      <c r="AC92">
        <v>0</v>
      </c>
      <c r="AD92">
        <v>0</v>
      </c>
      <c r="AE92">
        <v>1</v>
      </c>
      <c r="AF92" t="s">
        <v>131</v>
      </c>
    </row>
    <row r="93" spans="1:32" s="25" customFormat="1" x14ac:dyDescent="0.25">
      <c r="A93" s="25">
        <v>4</v>
      </c>
      <c r="B93" s="25">
        <v>1000</v>
      </c>
      <c r="C93" s="25" t="s">
        <v>12</v>
      </c>
      <c r="D93" s="25">
        <v>0</v>
      </c>
      <c r="E93" s="25">
        <v>0</v>
      </c>
      <c r="F93" s="25">
        <v>218</v>
      </c>
      <c r="G93" s="25">
        <v>200</v>
      </c>
      <c r="H93" s="27">
        <v>1</v>
      </c>
      <c r="I93" s="27">
        <v>0</v>
      </c>
      <c r="J93" s="27">
        <v>0</v>
      </c>
      <c r="K93" s="27">
        <v>0</v>
      </c>
      <c r="L93" s="27">
        <v>0</v>
      </c>
      <c r="M93" s="27">
        <v>0</v>
      </c>
      <c r="N93" s="27">
        <v>0</v>
      </c>
      <c r="O93" s="27">
        <v>1</v>
      </c>
      <c r="P93" s="25">
        <v>176</v>
      </c>
      <c r="Q93" s="25">
        <v>235</v>
      </c>
      <c r="R93" s="25" t="s">
        <v>87</v>
      </c>
      <c r="S93" s="25" t="s">
        <v>89</v>
      </c>
      <c r="T93" s="25">
        <v>1</v>
      </c>
      <c r="U93" s="25">
        <v>0</v>
      </c>
      <c r="V93" s="25">
        <v>0</v>
      </c>
      <c r="W93" s="25">
        <v>0</v>
      </c>
      <c r="X93" s="25">
        <v>0</v>
      </c>
      <c r="Y93" s="25">
        <v>0</v>
      </c>
      <c r="Z93" s="25">
        <v>0</v>
      </c>
      <c r="AA93" s="25">
        <v>1</v>
      </c>
      <c r="AB93" s="25">
        <v>0</v>
      </c>
      <c r="AC93" s="25">
        <v>0</v>
      </c>
      <c r="AD93" s="25">
        <v>0</v>
      </c>
      <c r="AE93" s="25">
        <v>1</v>
      </c>
      <c r="AF93" s="25" t="s">
        <v>131</v>
      </c>
    </row>
    <row r="94" spans="1:32" s="25" customFormat="1" x14ac:dyDescent="0.25">
      <c r="A94" s="25">
        <v>4</v>
      </c>
      <c r="B94" s="25">
        <v>1010</v>
      </c>
      <c r="C94" s="25" t="s">
        <v>12</v>
      </c>
      <c r="D94" s="25" t="s">
        <v>13</v>
      </c>
      <c r="E94" s="25" t="s">
        <v>13</v>
      </c>
      <c r="F94" s="25" t="s">
        <v>13</v>
      </c>
      <c r="G94" s="25" t="s">
        <v>13</v>
      </c>
      <c r="H94" s="27" t="s">
        <v>13</v>
      </c>
      <c r="I94" s="27" t="s">
        <v>13</v>
      </c>
      <c r="J94" s="27" t="s">
        <v>13</v>
      </c>
      <c r="K94" s="27" t="s">
        <v>13</v>
      </c>
      <c r="L94" s="27" t="s">
        <v>13</v>
      </c>
      <c r="M94" s="27" t="s">
        <v>13</v>
      </c>
      <c r="N94" s="27" t="s">
        <v>13</v>
      </c>
      <c r="O94" s="27" t="s">
        <v>13</v>
      </c>
      <c r="P94" s="25">
        <v>176</v>
      </c>
      <c r="Q94" s="25">
        <v>235</v>
      </c>
      <c r="R94" s="25" t="s">
        <v>87</v>
      </c>
      <c r="S94" s="25" t="s">
        <v>89</v>
      </c>
      <c r="T94" s="25">
        <v>1</v>
      </c>
      <c r="U94" s="25">
        <v>0</v>
      </c>
      <c r="V94" s="25">
        <v>0</v>
      </c>
      <c r="W94" s="25">
        <v>0</v>
      </c>
      <c r="X94" s="25">
        <v>0</v>
      </c>
      <c r="Y94" s="25">
        <v>0</v>
      </c>
      <c r="Z94" s="25">
        <v>0</v>
      </c>
      <c r="AA94" s="25">
        <v>1</v>
      </c>
      <c r="AB94" s="25">
        <v>0</v>
      </c>
      <c r="AC94" s="25">
        <v>0</v>
      </c>
      <c r="AD94" s="25">
        <v>0</v>
      </c>
      <c r="AE94" s="25">
        <v>1</v>
      </c>
      <c r="AF94" s="25" t="s">
        <v>128</v>
      </c>
    </row>
    <row r="95" spans="1:32" s="25" customFormat="1" x14ac:dyDescent="0.25">
      <c r="A95" s="25">
        <v>4</v>
      </c>
      <c r="B95" s="25">
        <v>1020</v>
      </c>
      <c r="C95" s="25" t="s">
        <v>12</v>
      </c>
      <c r="D95" s="25" t="s">
        <v>13</v>
      </c>
      <c r="E95" s="25" t="s">
        <v>13</v>
      </c>
      <c r="F95" s="25" t="s">
        <v>13</v>
      </c>
      <c r="G95" s="25" t="s">
        <v>13</v>
      </c>
      <c r="H95" s="27" t="s">
        <v>13</v>
      </c>
      <c r="I95" s="27" t="s">
        <v>13</v>
      </c>
      <c r="J95" s="27" t="s">
        <v>13</v>
      </c>
      <c r="K95" s="27" t="s">
        <v>13</v>
      </c>
      <c r="L95" s="27" t="s">
        <v>13</v>
      </c>
      <c r="M95" s="27" t="s">
        <v>13</v>
      </c>
      <c r="N95" s="27" t="s">
        <v>13</v>
      </c>
      <c r="O95" s="27" t="s">
        <v>13</v>
      </c>
      <c r="P95" s="25">
        <v>176</v>
      </c>
      <c r="Q95" s="25">
        <v>235</v>
      </c>
      <c r="R95" s="25" t="s">
        <v>87</v>
      </c>
      <c r="S95" s="25" t="s">
        <v>89</v>
      </c>
      <c r="T95" s="25">
        <v>1</v>
      </c>
      <c r="U95" s="25">
        <v>0</v>
      </c>
      <c r="V95" s="25">
        <v>0</v>
      </c>
      <c r="W95" s="25">
        <v>0</v>
      </c>
      <c r="X95" s="25">
        <v>0</v>
      </c>
      <c r="Y95" s="25">
        <v>0</v>
      </c>
      <c r="Z95" s="25">
        <v>0</v>
      </c>
      <c r="AA95" s="25">
        <v>1</v>
      </c>
      <c r="AB95" s="25">
        <v>0</v>
      </c>
      <c r="AC95" s="25">
        <v>0</v>
      </c>
      <c r="AD95" s="25">
        <v>0</v>
      </c>
      <c r="AE95" s="25">
        <v>1</v>
      </c>
      <c r="AF95" s="25" t="s">
        <v>129</v>
      </c>
    </row>
    <row r="96" spans="1:32" s="25" customFormat="1" x14ac:dyDescent="0.25">
      <c r="A96" s="25">
        <v>4</v>
      </c>
      <c r="B96" s="25">
        <v>1030</v>
      </c>
      <c r="C96" s="25" t="s">
        <v>12</v>
      </c>
      <c r="D96" s="25" t="s">
        <v>13</v>
      </c>
      <c r="E96" s="25" t="s">
        <v>13</v>
      </c>
      <c r="F96" s="25" t="s">
        <v>13</v>
      </c>
      <c r="G96" s="25" t="s">
        <v>13</v>
      </c>
      <c r="H96" s="27" t="s">
        <v>13</v>
      </c>
      <c r="I96" s="27" t="s">
        <v>13</v>
      </c>
      <c r="J96" s="27" t="s">
        <v>13</v>
      </c>
      <c r="K96" s="27" t="s">
        <v>13</v>
      </c>
      <c r="L96" s="27" t="s">
        <v>13</v>
      </c>
      <c r="M96" s="27" t="s">
        <v>13</v>
      </c>
      <c r="N96" s="27" t="s">
        <v>13</v>
      </c>
      <c r="O96" s="27" t="s">
        <v>13</v>
      </c>
      <c r="P96" s="25">
        <v>176</v>
      </c>
      <c r="Q96" s="25">
        <v>235</v>
      </c>
      <c r="R96" s="25" t="s">
        <v>87</v>
      </c>
      <c r="S96" s="25" t="s">
        <v>89</v>
      </c>
      <c r="T96" s="25">
        <v>1</v>
      </c>
      <c r="U96" s="25">
        <v>0</v>
      </c>
      <c r="V96" s="25">
        <v>0</v>
      </c>
      <c r="W96" s="25">
        <v>0</v>
      </c>
      <c r="X96" s="25">
        <v>0</v>
      </c>
      <c r="Y96" s="25">
        <v>0</v>
      </c>
      <c r="Z96" s="25">
        <v>0</v>
      </c>
      <c r="AA96" s="25">
        <v>1</v>
      </c>
      <c r="AB96" s="25">
        <v>0</v>
      </c>
      <c r="AC96" s="25">
        <v>0</v>
      </c>
      <c r="AD96" s="25">
        <v>0</v>
      </c>
      <c r="AE96" s="25">
        <v>1</v>
      </c>
      <c r="AF96" s="25" t="s">
        <v>130</v>
      </c>
    </row>
    <row r="97" spans="1:32" x14ac:dyDescent="0.25">
      <c r="A97" s="25">
        <v>4</v>
      </c>
      <c r="B97" s="25">
        <v>1040</v>
      </c>
      <c r="C97" t="s">
        <v>12</v>
      </c>
      <c r="D97" t="s">
        <v>125</v>
      </c>
      <c r="E97">
        <v>0</v>
      </c>
      <c r="F97">
        <v>60</v>
      </c>
      <c r="G97">
        <v>251</v>
      </c>
      <c r="H97" s="27">
        <v>1</v>
      </c>
      <c r="I97" s="27">
        <v>0</v>
      </c>
      <c r="J97" s="27">
        <v>0</v>
      </c>
      <c r="K97" s="27">
        <v>0</v>
      </c>
      <c r="L97" s="27">
        <v>0</v>
      </c>
      <c r="M97" s="27">
        <v>0</v>
      </c>
      <c r="N97" s="27">
        <v>0</v>
      </c>
      <c r="O97" s="27">
        <v>0</v>
      </c>
      <c r="P97">
        <v>176</v>
      </c>
      <c r="Q97">
        <v>235</v>
      </c>
      <c r="R97" t="s">
        <v>87</v>
      </c>
      <c r="S97" t="s">
        <v>89</v>
      </c>
      <c r="T97">
        <v>1</v>
      </c>
      <c r="U97">
        <v>0</v>
      </c>
      <c r="V97">
        <v>0</v>
      </c>
      <c r="W97">
        <v>0</v>
      </c>
      <c r="X97">
        <v>0</v>
      </c>
      <c r="Y97">
        <v>0</v>
      </c>
      <c r="Z97">
        <v>0</v>
      </c>
      <c r="AA97">
        <v>0</v>
      </c>
      <c r="AB97" t="s">
        <v>125</v>
      </c>
      <c r="AC97">
        <v>0</v>
      </c>
      <c r="AD97">
        <v>0</v>
      </c>
      <c r="AE97">
        <v>1</v>
      </c>
      <c r="AF97" t="s">
        <v>131</v>
      </c>
    </row>
    <row r="98" spans="1:32" x14ac:dyDescent="0.25">
      <c r="A98" s="25">
        <v>4</v>
      </c>
      <c r="B98" s="25">
        <v>1090</v>
      </c>
      <c r="C98" t="s">
        <v>12</v>
      </c>
      <c r="D98" t="s">
        <v>125</v>
      </c>
      <c r="E98">
        <v>0</v>
      </c>
      <c r="F98">
        <v>60</v>
      </c>
      <c r="G98">
        <v>251</v>
      </c>
      <c r="H98" s="27">
        <v>1</v>
      </c>
      <c r="I98" s="27">
        <v>0</v>
      </c>
      <c r="J98" s="27">
        <v>0</v>
      </c>
      <c r="K98" s="27">
        <v>0</v>
      </c>
      <c r="L98" s="27">
        <v>0</v>
      </c>
      <c r="M98" s="27">
        <v>0</v>
      </c>
      <c r="N98" s="27">
        <v>0</v>
      </c>
      <c r="O98" s="27">
        <v>0</v>
      </c>
      <c r="P98">
        <v>176</v>
      </c>
      <c r="Q98">
        <v>235</v>
      </c>
      <c r="R98" t="s">
        <v>87</v>
      </c>
      <c r="S98" t="s">
        <v>89</v>
      </c>
      <c r="T98">
        <v>1</v>
      </c>
      <c r="U98">
        <v>0</v>
      </c>
      <c r="V98">
        <v>0</v>
      </c>
      <c r="W98">
        <v>0</v>
      </c>
      <c r="X98">
        <v>0</v>
      </c>
      <c r="Y98">
        <v>0</v>
      </c>
      <c r="Z98">
        <v>0</v>
      </c>
      <c r="AA98">
        <v>0</v>
      </c>
      <c r="AB98" t="s">
        <v>125</v>
      </c>
      <c r="AC98">
        <v>0</v>
      </c>
      <c r="AD98">
        <v>0</v>
      </c>
      <c r="AE98">
        <v>1</v>
      </c>
      <c r="AF98" t="s">
        <v>131</v>
      </c>
    </row>
    <row r="99" spans="1:32" x14ac:dyDescent="0.25">
      <c r="A99" s="25">
        <v>4</v>
      </c>
      <c r="B99" s="25">
        <v>1100</v>
      </c>
      <c r="C99" t="s">
        <v>12</v>
      </c>
      <c r="D99">
        <v>0</v>
      </c>
      <c r="E99">
        <v>0</v>
      </c>
      <c r="F99">
        <v>66</v>
      </c>
      <c r="G99">
        <v>56</v>
      </c>
      <c r="H99" s="27">
        <v>1</v>
      </c>
      <c r="I99" s="27">
        <v>0</v>
      </c>
      <c r="J99" s="27">
        <v>0</v>
      </c>
      <c r="K99" s="27">
        <v>0</v>
      </c>
      <c r="L99" s="27">
        <v>0</v>
      </c>
      <c r="M99" s="27">
        <v>0</v>
      </c>
      <c r="N99" s="27">
        <v>0</v>
      </c>
      <c r="O99" s="27">
        <v>1</v>
      </c>
      <c r="P99">
        <v>176</v>
      </c>
      <c r="Q99">
        <v>235</v>
      </c>
      <c r="R99" t="s">
        <v>87</v>
      </c>
      <c r="S99" t="s">
        <v>89</v>
      </c>
      <c r="T99">
        <v>1</v>
      </c>
      <c r="U99">
        <v>0</v>
      </c>
      <c r="V99">
        <v>0</v>
      </c>
      <c r="W99">
        <v>0</v>
      </c>
      <c r="X99">
        <v>0</v>
      </c>
      <c r="Y99">
        <v>0</v>
      </c>
      <c r="Z99">
        <v>0</v>
      </c>
      <c r="AA99">
        <v>1</v>
      </c>
      <c r="AB99">
        <v>0</v>
      </c>
      <c r="AC99">
        <v>0</v>
      </c>
      <c r="AD99">
        <v>0</v>
      </c>
      <c r="AE99">
        <v>1</v>
      </c>
      <c r="AF99" t="s">
        <v>131</v>
      </c>
    </row>
    <row r="100" spans="1:32" s="25" customFormat="1" x14ac:dyDescent="0.25">
      <c r="A100" s="25">
        <v>4</v>
      </c>
      <c r="B100" s="25">
        <v>1110</v>
      </c>
      <c r="C100" s="25" t="s">
        <v>12</v>
      </c>
      <c r="D100" s="25">
        <v>0</v>
      </c>
      <c r="E100" s="25">
        <v>0</v>
      </c>
      <c r="F100" s="25">
        <v>72</v>
      </c>
      <c r="G100" s="25">
        <v>78</v>
      </c>
      <c r="H100" s="27">
        <v>1</v>
      </c>
      <c r="I100" s="27">
        <v>0</v>
      </c>
      <c r="J100" s="27">
        <v>0</v>
      </c>
      <c r="K100" s="27">
        <v>0</v>
      </c>
      <c r="L100" s="27">
        <v>0</v>
      </c>
      <c r="M100" s="27">
        <v>0</v>
      </c>
      <c r="N100" s="27">
        <v>1</v>
      </c>
      <c r="O100" s="27">
        <v>0</v>
      </c>
      <c r="P100" s="25">
        <v>176</v>
      </c>
      <c r="Q100" s="25">
        <v>235</v>
      </c>
      <c r="R100" s="25" t="s">
        <v>87</v>
      </c>
      <c r="S100" s="25" t="s">
        <v>89</v>
      </c>
      <c r="T100" s="25">
        <v>1</v>
      </c>
      <c r="U100" s="25">
        <v>0</v>
      </c>
      <c r="V100" s="25">
        <v>0</v>
      </c>
      <c r="W100" s="25">
        <v>0</v>
      </c>
      <c r="X100" s="25">
        <v>0</v>
      </c>
      <c r="Y100" s="25">
        <v>0</v>
      </c>
      <c r="Z100" s="25">
        <v>1</v>
      </c>
      <c r="AA100" s="25">
        <v>0</v>
      </c>
      <c r="AB100" s="25">
        <v>0</v>
      </c>
      <c r="AC100" s="25">
        <v>0</v>
      </c>
      <c r="AD100" s="25">
        <v>0</v>
      </c>
      <c r="AE100" s="25">
        <v>1</v>
      </c>
      <c r="AF100" s="25" t="s">
        <v>132</v>
      </c>
    </row>
    <row r="101" spans="1:32" s="25" customFormat="1" x14ac:dyDescent="0.25">
      <c r="A101" s="25">
        <v>4</v>
      </c>
      <c r="B101" s="25">
        <v>1160</v>
      </c>
      <c r="C101" s="25" t="s">
        <v>12</v>
      </c>
      <c r="D101" s="25">
        <v>0</v>
      </c>
      <c r="E101" s="25">
        <v>0</v>
      </c>
      <c r="F101" s="25">
        <v>78</v>
      </c>
      <c r="G101" s="25">
        <v>100</v>
      </c>
      <c r="H101" s="27">
        <v>1</v>
      </c>
      <c r="I101" s="27">
        <v>0</v>
      </c>
      <c r="J101" s="27">
        <v>0</v>
      </c>
      <c r="K101" s="27">
        <v>0</v>
      </c>
      <c r="L101" s="27">
        <v>0</v>
      </c>
      <c r="M101" s="27">
        <v>1</v>
      </c>
      <c r="N101" s="27">
        <v>0</v>
      </c>
      <c r="O101" s="27">
        <v>0</v>
      </c>
      <c r="P101" s="25">
        <v>176</v>
      </c>
      <c r="Q101" s="25">
        <v>235</v>
      </c>
      <c r="R101" s="25" t="s">
        <v>87</v>
      </c>
      <c r="S101" s="25" t="s">
        <v>89</v>
      </c>
      <c r="T101" s="25">
        <v>1</v>
      </c>
      <c r="U101" s="25">
        <v>0</v>
      </c>
      <c r="V101" s="25">
        <v>0</v>
      </c>
      <c r="W101" s="25">
        <v>0</v>
      </c>
      <c r="X101" s="25">
        <v>0</v>
      </c>
      <c r="Y101" s="25">
        <v>1</v>
      </c>
      <c r="Z101" s="25">
        <v>0</v>
      </c>
      <c r="AA101" s="25">
        <v>0</v>
      </c>
      <c r="AB101" s="25">
        <v>0</v>
      </c>
      <c r="AC101" s="25">
        <v>0</v>
      </c>
      <c r="AD101" s="25">
        <v>0</v>
      </c>
      <c r="AE101" s="25">
        <v>1</v>
      </c>
      <c r="AF101" s="25" t="s">
        <v>131</v>
      </c>
    </row>
    <row r="102" spans="1:32" s="25" customFormat="1" x14ac:dyDescent="0.25">
      <c r="A102" s="25">
        <v>4</v>
      </c>
      <c r="B102" s="25">
        <v>1170</v>
      </c>
      <c r="C102" s="25" t="s">
        <v>12</v>
      </c>
      <c r="D102" s="25" t="s">
        <v>13</v>
      </c>
      <c r="E102" s="25" t="s">
        <v>13</v>
      </c>
      <c r="F102" s="25" t="s">
        <v>13</v>
      </c>
      <c r="G102" s="25" t="s">
        <v>13</v>
      </c>
      <c r="H102" s="27" t="s">
        <v>13</v>
      </c>
      <c r="I102" s="27" t="s">
        <v>13</v>
      </c>
      <c r="J102" s="27" t="s">
        <v>13</v>
      </c>
      <c r="K102" s="27" t="s">
        <v>13</v>
      </c>
      <c r="L102" s="27" t="s">
        <v>13</v>
      </c>
      <c r="M102" s="27" t="s">
        <v>13</v>
      </c>
      <c r="N102" s="27" t="s">
        <v>13</v>
      </c>
      <c r="O102" s="27" t="s">
        <v>13</v>
      </c>
      <c r="P102" s="25">
        <v>176</v>
      </c>
      <c r="Q102" s="25">
        <v>235</v>
      </c>
      <c r="R102" s="25" t="s">
        <v>87</v>
      </c>
      <c r="S102" s="25" t="s">
        <v>89</v>
      </c>
      <c r="T102" s="25">
        <v>1</v>
      </c>
      <c r="U102" s="25">
        <v>0</v>
      </c>
      <c r="V102" s="25">
        <v>0</v>
      </c>
      <c r="W102" s="25">
        <v>0</v>
      </c>
      <c r="X102" s="25">
        <v>0</v>
      </c>
      <c r="Y102" s="25">
        <v>1</v>
      </c>
      <c r="Z102" s="25">
        <v>0</v>
      </c>
      <c r="AA102" s="25">
        <v>0</v>
      </c>
      <c r="AB102" s="25">
        <v>0</v>
      </c>
      <c r="AC102" s="25">
        <v>0</v>
      </c>
      <c r="AD102" s="25">
        <v>0</v>
      </c>
      <c r="AE102" s="25">
        <v>1</v>
      </c>
      <c r="AF102" s="25" t="s">
        <v>128</v>
      </c>
    </row>
    <row r="103" spans="1:32" s="25" customFormat="1" x14ac:dyDescent="0.25">
      <c r="A103" s="25">
        <v>4</v>
      </c>
      <c r="B103" s="25">
        <v>1180</v>
      </c>
      <c r="C103" s="25" t="s">
        <v>12</v>
      </c>
      <c r="D103" s="25" t="s">
        <v>13</v>
      </c>
      <c r="E103" s="25" t="s">
        <v>13</v>
      </c>
      <c r="F103" s="25" t="s">
        <v>13</v>
      </c>
      <c r="G103" s="25" t="s">
        <v>13</v>
      </c>
      <c r="H103" s="27" t="s">
        <v>13</v>
      </c>
      <c r="I103" s="27" t="s">
        <v>13</v>
      </c>
      <c r="J103" s="27" t="s">
        <v>13</v>
      </c>
      <c r="K103" s="27" t="s">
        <v>13</v>
      </c>
      <c r="L103" s="27" t="s">
        <v>13</v>
      </c>
      <c r="M103" s="27" t="s">
        <v>13</v>
      </c>
      <c r="N103" s="27" t="s">
        <v>13</v>
      </c>
      <c r="O103" s="27" t="s">
        <v>13</v>
      </c>
      <c r="P103" s="25">
        <v>176</v>
      </c>
      <c r="Q103" s="25">
        <v>235</v>
      </c>
      <c r="R103" s="25" t="s">
        <v>87</v>
      </c>
      <c r="S103" s="25" t="s">
        <v>89</v>
      </c>
      <c r="T103" s="25">
        <v>1</v>
      </c>
      <c r="U103" s="25">
        <v>0</v>
      </c>
      <c r="V103" s="25">
        <v>0</v>
      </c>
      <c r="W103" s="25">
        <v>0</v>
      </c>
      <c r="X103" s="25">
        <v>0</v>
      </c>
      <c r="Y103" s="25">
        <v>1</v>
      </c>
      <c r="Z103" s="25">
        <v>0</v>
      </c>
      <c r="AA103" s="25">
        <v>0</v>
      </c>
      <c r="AB103" s="25">
        <v>0</v>
      </c>
      <c r="AC103" s="25">
        <v>0</v>
      </c>
      <c r="AD103" s="25">
        <v>0</v>
      </c>
      <c r="AE103" s="25">
        <v>1</v>
      </c>
      <c r="AF103" s="25" t="s">
        <v>129</v>
      </c>
    </row>
    <row r="104" spans="1:32" x14ac:dyDescent="0.25">
      <c r="A104" s="25">
        <v>4</v>
      </c>
      <c r="B104" s="25">
        <v>1190</v>
      </c>
      <c r="C104" t="s">
        <v>12</v>
      </c>
      <c r="D104" t="s">
        <v>13</v>
      </c>
      <c r="E104" t="s">
        <v>13</v>
      </c>
      <c r="F104" t="s">
        <v>13</v>
      </c>
      <c r="G104" t="s">
        <v>13</v>
      </c>
      <c r="H104" s="27" t="s">
        <v>13</v>
      </c>
      <c r="I104" s="27" t="s">
        <v>13</v>
      </c>
      <c r="J104" s="27" t="s">
        <v>13</v>
      </c>
      <c r="K104" s="27" t="s">
        <v>13</v>
      </c>
      <c r="L104" s="27" t="s">
        <v>13</v>
      </c>
      <c r="M104" s="27" t="s">
        <v>13</v>
      </c>
      <c r="N104" s="27" t="s">
        <v>13</v>
      </c>
      <c r="O104" s="27" t="s">
        <v>13</v>
      </c>
      <c r="P104">
        <v>176</v>
      </c>
      <c r="Q104">
        <v>235</v>
      </c>
      <c r="R104" t="s">
        <v>87</v>
      </c>
      <c r="S104" t="s">
        <v>89</v>
      </c>
      <c r="T104">
        <v>1</v>
      </c>
      <c r="U104">
        <v>0</v>
      </c>
      <c r="V104">
        <v>0</v>
      </c>
      <c r="W104">
        <v>0</v>
      </c>
      <c r="X104">
        <v>0</v>
      </c>
      <c r="Y104">
        <v>1</v>
      </c>
      <c r="Z104">
        <v>0</v>
      </c>
      <c r="AA104">
        <v>0</v>
      </c>
      <c r="AB104">
        <v>0</v>
      </c>
      <c r="AC104">
        <v>0</v>
      </c>
      <c r="AD104">
        <v>0</v>
      </c>
      <c r="AE104">
        <v>1</v>
      </c>
      <c r="AF104" t="s">
        <v>130</v>
      </c>
    </row>
    <row r="105" spans="1:32" x14ac:dyDescent="0.25">
      <c r="A105" s="25">
        <v>4</v>
      </c>
      <c r="B105" s="25">
        <v>1200</v>
      </c>
      <c r="C105" t="s">
        <v>12</v>
      </c>
      <c r="D105">
        <v>0</v>
      </c>
      <c r="E105">
        <v>0</v>
      </c>
      <c r="F105">
        <v>66</v>
      </c>
      <c r="G105">
        <v>32767</v>
      </c>
      <c r="H105" s="27">
        <v>0</v>
      </c>
      <c r="I105" s="27">
        <v>0</v>
      </c>
      <c r="J105" s="27">
        <v>0</v>
      </c>
      <c r="K105" s="27">
        <v>0</v>
      </c>
      <c r="L105" s="27">
        <v>0</v>
      </c>
      <c r="M105" s="27">
        <v>0</v>
      </c>
      <c r="N105" s="27">
        <v>0</v>
      </c>
      <c r="O105" s="27">
        <v>0</v>
      </c>
      <c r="P105">
        <v>176</v>
      </c>
      <c r="Q105">
        <v>235</v>
      </c>
      <c r="R105" t="s">
        <v>87</v>
      </c>
      <c r="S105" t="s">
        <v>89</v>
      </c>
      <c r="T105">
        <v>0</v>
      </c>
      <c r="U105">
        <v>0</v>
      </c>
      <c r="V105">
        <v>0</v>
      </c>
      <c r="W105">
        <v>0</v>
      </c>
      <c r="X105">
        <v>0</v>
      </c>
      <c r="Y105">
        <v>0</v>
      </c>
      <c r="Z105">
        <v>0</v>
      </c>
      <c r="AA105">
        <v>0</v>
      </c>
      <c r="AB105">
        <v>0</v>
      </c>
      <c r="AC105">
        <v>0</v>
      </c>
      <c r="AD105">
        <v>0</v>
      </c>
      <c r="AE105">
        <v>1</v>
      </c>
      <c r="AF105" t="s">
        <v>131</v>
      </c>
    </row>
    <row r="106" spans="1:32" x14ac:dyDescent="0.25">
      <c r="A106" s="25">
        <v>4</v>
      </c>
      <c r="B106" s="25">
        <v>1250</v>
      </c>
      <c r="C106" t="s">
        <v>12</v>
      </c>
      <c r="D106">
        <v>0</v>
      </c>
      <c r="E106">
        <v>0</v>
      </c>
      <c r="F106">
        <v>69</v>
      </c>
      <c r="G106">
        <v>32767</v>
      </c>
      <c r="H106" s="27">
        <v>0</v>
      </c>
      <c r="I106" s="27">
        <v>0</v>
      </c>
      <c r="J106" s="27">
        <v>0</v>
      </c>
      <c r="K106" s="27">
        <v>0</v>
      </c>
      <c r="L106" s="27">
        <v>0</v>
      </c>
      <c r="M106" s="27">
        <v>0</v>
      </c>
      <c r="N106" s="27">
        <v>0</v>
      </c>
      <c r="O106" s="27">
        <v>0</v>
      </c>
      <c r="P106">
        <v>176</v>
      </c>
      <c r="Q106">
        <v>235</v>
      </c>
      <c r="R106" t="s">
        <v>87</v>
      </c>
      <c r="S106" t="s">
        <v>89</v>
      </c>
      <c r="T106">
        <v>0</v>
      </c>
      <c r="U106">
        <v>0</v>
      </c>
      <c r="V106">
        <v>0</v>
      </c>
      <c r="W106">
        <v>0</v>
      </c>
      <c r="X106">
        <v>0</v>
      </c>
      <c r="Y106">
        <v>0</v>
      </c>
      <c r="Z106">
        <v>0</v>
      </c>
      <c r="AA106">
        <v>0</v>
      </c>
      <c r="AB106">
        <v>0</v>
      </c>
      <c r="AC106">
        <v>0</v>
      </c>
      <c r="AD106">
        <v>0</v>
      </c>
      <c r="AE106">
        <v>1</v>
      </c>
      <c r="AF106" t="s">
        <v>131</v>
      </c>
    </row>
    <row r="107" spans="1:32" x14ac:dyDescent="0.25">
      <c r="A107" s="25">
        <v>4</v>
      </c>
      <c r="B107" s="25">
        <v>1260</v>
      </c>
      <c r="C107" t="s">
        <v>12</v>
      </c>
      <c r="D107">
        <v>0</v>
      </c>
      <c r="E107">
        <v>0</v>
      </c>
      <c r="F107">
        <v>72</v>
      </c>
      <c r="G107">
        <v>56</v>
      </c>
      <c r="H107" s="27">
        <v>0</v>
      </c>
      <c r="I107" s="27">
        <v>0</v>
      </c>
      <c r="J107" s="27">
        <v>0</v>
      </c>
      <c r="K107" s="27">
        <v>0</v>
      </c>
      <c r="L107" s="27">
        <v>0</v>
      </c>
      <c r="M107" s="27">
        <v>0</v>
      </c>
      <c r="N107" s="27">
        <v>0</v>
      </c>
      <c r="O107" s="27">
        <v>1</v>
      </c>
      <c r="P107">
        <v>176</v>
      </c>
      <c r="Q107">
        <v>235</v>
      </c>
      <c r="R107" t="s">
        <v>87</v>
      </c>
      <c r="S107" t="s">
        <v>89</v>
      </c>
      <c r="T107">
        <v>0</v>
      </c>
      <c r="U107">
        <v>0</v>
      </c>
      <c r="V107">
        <v>0</v>
      </c>
      <c r="W107">
        <v>0</v>
      </c>
      <c r="X107">
        <v>0</v>
      </c>
      <c r="Y107">
        <v>0</v>
      </c>
      <c r="Z107">
        <v>0</v>
      </c>
      <c r="AA107">
        <v>1</v>
      </c>
      <c r="AB107">
        <v>0</v>
      </c>
      <c r="AC107">
        <v>0</v>
      </c>
      <c r="AD107">
        <v>0</v>
      </c>
      <c r="AE107">
        <v>1</v>
      </c>
      <c r="AF107" t="s">
        <v>131</v>
      </c>
    </row>
    <row r="108" spans="1:32" x14ac:dyDescent="0.25">
      <c r="A108" s="25">
        <v>4</v>
      </c>
      <c r="B108" s="25">
        <v>1270</v>
      </c>
      <c r="C108" t="s">
        <v>12</v>
      </c>
      <c r="D108">
        <v>0</v>
      </c>
      <c r="E108">
        <v>0</v>
      </c>
      <c r="F108">
        <v>78</v>
      </c>
      <c r="G108">
        <v>78</v>
      </c>
      <c r="H108" s="27">
        <v>0</v>
      </c>
      <c r="I108" s="27">
        <v>0</v>
      </c>
      <c r="J108" s="27">
        <v>0</v>
      </c>
      <c r="K108" s="27">
        <v>0</v>
      </c>
      <c r="L108" s="27">
        <v>0</v>
      </c>
      <c r="M108" s="27">
        <v>0</v>
      </c>
      <c r="N108" s="27">
        <v>1</v>
      </c>
      <c r="O108" s="27">
        <v>0</v>
      </c>
      <c r="P108">
        <v>176</v>
      </c>
      <c r="Q108">
        <v>235</v>
      </c>
      <c r="R108" t="s">
        <v>87</v>
      </c>
      <c r="S108" t="s">
        <v>89</v>
      </c>
      <c r="T108">
        <v>0</v>
      </c>
      <c r="U108">
        <v>0</v>
      </c>
      <c r="V108">
        <v>0</v>
      </c>
      <c r="W108">
        <v>0</v>
      </c>
      <c r="X108">
        <v>0</v>
      </c>
      <c r="Y108">
        <v>0</v>
      </c>
      <c r="Z108">
        <v>1</v>
      </c>
      <c r="AA108">
        <v>0</v>
      </c>
      <c r="AB108">
        <v>0</v>
      </c>
      <c r="AC108">
        <v>0</v>
      </c>
      <c r="AD108">
        <v>0</v>
      </c>
      <c r="AE108">
        <v>1</v>
      </c>
      <c r="AF108" t="s">
        <v>132</v>
      </c>
    </row>
    <row r="109" spans="1:32" s="25" customFormat="1" x14ac:dyDescent="0.25">
      <c r="A109" s="25">
        <v>4</v>
      </c>
      <c r="B109" s="25">
        <v>1320</v>
      </c>
      <c r="C109" s="25" t="s">
        <v>12</v>
      </c>
      <c r="D109" s="25">
        <v>0</v>
      </c>
      <c r="E109" s="25">
        <v>0</v>
      </c>
      <c r="F109" s="25">
        <v>84</v>
      </c>
      <c r="G109" s="25">
        <v>100</v>
      </c>
      <c r="H109" s="27">
        <v>0</v>
      </c>
      <c r="I109" s="27">
        <v>0</v>
      </c>
      <c r="J109" s="27">
        <v>0</v>
      </c>
      <c r="K109" s="27">
        <v>0</v>
      </c>
      <c r="L109" s="27">
        <v>0</v>
      </c>
      <c r="M109" s="27">
        <v>1</v>
      </c>
      <c r="N109" s="27">
        <v>0</v>
      </c>
      <c r="O109" s="27">
        <v>0</v>
      </c>
      <c r="P109" s="25">
        <v>176</v>
      </c>
      <c r="Q109" s="25">
        <v>235</v>
      </c>
      <c r="R109" s="25" t="s">
        <v>87</v>
      </c>
      <c r="S109" s="25" t="s">
        <v>89</v>
      </c>
      <c r="T109" s="25">
        <v>0</v>
      </c>
      <c r="U109" s="25">
        <v>0</v>
      </c>
      <c r="V109" s="25">
        <v>0</v>
      </c>
      <c r="W109" s="25">
        <v>0</v>
      </c>
      <c r="X109" s="25">
        <v>0</v>
      </c>
      <c r="Y109" s="25">
        <v>1</v>
      </c>
      <c r="Z109" s="25">
        <v>0</v>
      </c>
      <c r="AA109" s="25">
        <v>0</v>
      </c>
      <c r="AB109" s="25">
        <v>0</v>
      </c>
      <c r="AC109" s="25">
        <v>0</v>
      </c>
      <c r="AD109" s="25">
        <v>0</v>
      </c>
      <c r="AE109" s="25">
        <v>1</v>
      </c>
      <c r="AF109" s="25" t="s">
        <v>131</v>
      </c>
    </row>
    <row r="110" spans="1:32" s="25" customFormat="1" x14ac:dyDescent="0.25">
      <c r="A110" s="25">
        <v>4</v>
      </c>
      <c r="B110" s="25">
        <v>1330</v>
      </c>
      <c r="C110" s="25" t="s">
        <v>12</v>
      </c>
      <c r="D110" s="25" t="s">
        <v>13</v>
      </c>
      <c r="E110" s="25" t="s">
        <v>13</v>
      </c>
      <c r="F110" s="25" t="s">
        <v>13</v>
      </c>
      <c r="G110" s="25" t="s">
        <v>13</v>
      </c>
      <c r="H110" s="27" t="s">
        <v>13</v>
      </c>
      <c r="I110" s="27" t="s">
        <v>13</v>
      </c>
      <c r="J110" s="27" t="s">
        <v>13</v>
      </c>
      <c r="K110" s="27" t="s">
        <v>13</v>
      </c>
      <c r="L110" s="27" t="s">
        <v>13</v>
      </c>
      <c r="M110" s="27" t="s">
        <v>13</v>
      </c>
      <c r="N110" s="27" t="s">
        <v>13</v>
      </c>
      <c r="O110" s="27" t="s">
        <v>13</v>
      </c>
      <c r="P110" s="25">
        <v>176</v>
      </c>
      <c r="Q110" s="25">
        <v>235</v>
      </c>
      <c r="R110" s="25" t="s">
        <v>87</v>
      </c>
      <c r="S110" s="25" t="s">
        <v>89</v>
      </c>
      <c r="T110" s="25">
        <v>0</v>
      </c>
      <c r="U110" s="25">
        <v>0</v>
      </c>
      <c r="V110" s="25">
        <v>0</v>
      </c>
      <c r="W110" s="25">
        <v>0</v>
      </c>
      <c r="X110" s="25">
        <v>0</v>
      </c>
      <c r="Y110" s="25">
        <v>1</v>
      </c>
      <c r="Z110" s="25">
        <v>0</v>
      </c>
      <c r="AA110" s="25">
        <v>0</v>
      </c>
      <c r="AB110" s="25">
        <v>0</v>
      </c>
      <c r="AC110" s="25">
        <v>0</v>
      </c>
      <c r="AD110" s="25">
        <v>0</v>
      </c>
      <c r="AE110" s="25">
        <v>1</v>
      </c>
      <c r="AF110" s="25" t="s">
        <v>128</v>
      </c>
    </row>
    <row r="111" spans="1:32" s="25" customFormat="1" x14ac:dyDescent="0.25">
      <c r="A111" s="25">
        <v>4</v>
      </c>
      <c r="B111" s="25">
        <v>1340</v>
      </c>
      <c r="C111" s="25" t="s">
        <v>12</v>
      </c>
      <c r="D111" s="25" t="s">
        <v>13</v>
      </c>
      <c r="E111" s="25" t="s">
        <v>13</v>
      </c>
      <c r="F111" s="25" t="s">
        <v>13</v>
      </c>
      <c r="G111" s="25" t="s">
        <v>13</v>
      </c>
      <c r="H111" s="27" t="s">
        <v>13</v>
      </c>
      <c r="I111" s="27" t="s">
        <v>13</v>
      </c>
      <c r="J111" s="27" t="s">
        <v>13</v>
      </c>
      <c r="K111" s="27" t="s">
        <v>13</v>
      </c>
      <c r="L111" s="27" t="s">
        <v>13</v>
      </c>
      <c r="M111" s="27" t="s">
        <v>13</v>
      </c>
      <c r="N111" s="27" t="s">
        <v>13</v>
      </c>
      <c r="O111" s="27" t="s">
        <v>13</v>
      </c>
      <c r="P111" s="25">
        <v>176</v>
      </c>
      <c r="Q111" s="25">
        <v>235</v>
      </c>
      <c r="R111" s="25" t="s">
        <v>87</v>
      </c>
      <c r="S111" s="25" t="s">
        <v>89</v>
      </c>
      <c r="T111" s="25">
        <v>0</v>
      </c>
      <c r="U111" s="25">
        <v>0</v>
      </c>
      <c r="V111" s="25">
        <v>0</v>
      </c>
      <c r="W111" s="25">
        <v>0</v>
      </c>
      <c r="X111" s="25">
        <v>0</v>
      </c>
      <c r="Y111" s="25">
        <v>1</v>
      </c>
      <c r="Z111" s="25">
        <v>0</v>
      </c>
      <c r="AA111" s="25">
        <v>0</v>
      </c>
      <c r="AB111" s="25">
        <v>0</v>
      </c>
      <c r="AC111" s="25">
        <v>0</v>
      </c>
      <c r="AD111" s="25">
        <v>0</v>
      </c>
      <c r="AE111" s="25">
        <v>1</v>
      </c>
      <c r="AF111" s="25" t="s">
        <v>129</v>
      </c>
    </row>
    <row r="112" spans="1:32" s="25" customFormat="1" x14ac:dyDescent="0.25">
      <c r="A112" s="25">
        <v>4</v>
      </c>
      <c r="B112" s="25">
        <v>1350</v>
      </c>
      <c r="C112" s="25" t="s">
        <v>12</v>
      </c>
      <c r="D112" s="25" t="s">
        <v>13</v>
      </c>
      <c r="E112" s="25" t="s">
        <v>13</v>
      </c>
      <c r="F112" s="25" t="s">
        <v>13</v>
      </c>
      <c r="G112" s="25" t="s">
        <v>13</v>
      </c>
      <c r="H112" s="27" t="s">
        <v>13</v>
      </c>
      <c r="I112" s="27" t="s">
        <v>13</v>
      </c>
      <c r="J112" s="27" t="s">
        <v>13</v>
      </c>
      <c r="K112" s="27" t="s">
        <v>13</v>
      </c>
      <c r="L112" s="27" t="s">
        <v>13</v>
      </c>
      <c r="M112" s="27" t="s">
        <v>13</v>
      </c>
      <c r="N112" s="27" t="s">
        <v>13</v>
      </c>
      <c r="O112" s="27" t="s">
        <v>13</v>
      </c>
      <c r="P112" s="25">
        <v>176</v>
      </c>
      <c r="Q112" s="25">
        <v>235</v>
      </c>
      <c r="R112" s="25" t="s">
        <v>87</v>
      </c>
      <c r="S112" s="25" t="s">
        <v>89</v>
      </c>
      <c r="T112" s="25">
        <v>0</v>
      </c>
      <c r="U112" s="25">
        <v>0</v>
      </c>
      <c r="V112" s="25">
        <v>0</v>
      </c>
      <c r="W112" s="25">
        <v>0</v>
      </c>
      <c r="X112" s="25">
        <v>0</v>
      </c>
      <c r="Y112" s="25">
        <v>1</v>
      </c>
      <c r="Z112" s="25">
        <v>0</v>
      </c>
      <c r="AA112" s="25">
        <v>0</v>
      </c>
      <c r="AB112" s="25">
        <v>0</v>
      </c>
      <c r="AC112" s="25">
        <v>0</v>
      </c>
      <c r="AD112" s="25">
        <v>0</v>
      </c>
      <c r="AE112" s="25">
        <v>1</v>
      </c>
      <c r="AF112" s="25" t="s">
        <v>130</v>
      </c>
    </row>
    <row r="113" spans="1:32" x14ac:dyDescent="0.25">
      <c r="A113" s="25">
        <v>4</v>
      </c>
      <c r="B113" s="25">
        <v>1360</v>
      </c>
      <c r="C113" t="s">
        <v>12</v>
      </c>
      <c r="D113">
        <v>0</v>
      </c>
      <c r="E113">
        <v>0</v>
      </c>
      <c r="F113">
        <v>66</v>
      </c>
      <c r="G113">
        <v>32767</v>
      </c>
      <c r="H113" s="27">
        <v>0</v>
      </c>
      <c r="I113" s="27">
        <v>0</v>
      </c>
      <c r="J113" s="27">
        <v>0</v>
      </c>
      <c r="K113" s="27">
        <v>0</v>
      </c>
      <c r="L113" s="27">
        <v>0</v>
      </c>
      <c r="M113" s="27">
        <v>0</v>
      </c>
      <c r="N113" s="27">
        <v>0</v>
      </c>
      <c r="O113" s="27">
        <v>0</v>
      </c>
      <c r="P113">
        <v>176</v>
      </c>
      <c r="Q113">
        <v>235</v>
      </c>
      <c r="R113" t="s">
        <v>87</v>
      </c>
      <c r="S113" t="s">
        <v>89</v>
      </c>
      <c r="T113">
        <v>0</v>
      </c>
      <c r="U113">
        <v>0</v>
      </c>
      <c r="V113">
        <v>0</v>
      </c>
      <c r="W113">
        <v>0</v>
      </c>
      <c r="X113">
        <v>0</v>
      </c>
      <c r="Y113">
        <v>0</v>
      </c>
      <c r="Z113">
        <v>0</v>
      </c>
      <c r="AA113">
        <v>0</v>
      </c>
      <c r="AB113">
        <v>0</v>
      </c>
      <c r="AC113">
        <v>0</v>
      </c>
      <c r="AD113">
        <v>0</v>
      </c>
      <c r="AE113">
        <v>1</v>
      </c>
      <c r="AF113" t="s">
        <v>131</v>
      </c>
    </row>
    <row r="114" spans="1:32" x14ac:dyDescent="0.25">
      <c r="A114" s="25">
        <v>4</v>
      </c>
      <c r="B114" s="25">
        <v>1410</v>
      </c>
      <c r="C114" t="s">
        <v>12</v>
      </c>
      <c r="D114">
        <v>0</v>
      </c>
      <c r="E114">
        <v>0</v>
      </c>
      <c r="F114">
        <v>69</v>
      </c>
      <c r="G114">
        <v>32767</v>
      </c>
      <c r="H114" s="27">
        <v>0</v>
      </c>
      <c r="I114" s="27">
        <v>0</v>
      </c>
      <c r="J114" s="27">
        <v>0</v>
      </c>
      <c r="K114" s="27">
        <v>0</v>
      </c>
      <c r="L114" s="27">
        <v>0</v>
      </c>
      <c r="M114" s="27">
        <v>0</v>
      </c>
      <c r="N114" s="27">
        <v>0</v>
      </c>
      <c r="O114" s="27">
        <v>0</v>
      </c>
      <c r="P114">
        <v>176</v>
      </c>
      <c r="Q114">
        <v>235</v>
      </c>
      <c r="R114" t="s">
        <v>87</v>
      </c>
      <c r="S114" t="s">
        <v>89</v>
      </c>
      <c r="T114">
        <v>0</v>
      </c>
      <c r="U114">
        <v>0</v>
      </c>
      <c r="V114">
        <v>0</v>
      </c>
      <c r="W114">
        <v>0</v>
      </c>
      <c r="X114">
        <v>0</v>
      </c>
      <c r="Y114">
        <v>0</v>
      </c>
      <c r="Z114">
        <v>0</v>
      </c>
      <c r="AA114">
        <v>0</v>
      </c>
      <c r="AB114">
        <v>0</v>
      </c>
      <c r="AC114">
        <v>0</v>
      </c>
      <c r="AD114">
        <v>0</v>
      </c>
      <c r="AE114">
        <v>1</v>
      </c>
      <c r="AF114" t="s">
        <v>131</v>
      </c>
    </row>
    <row r="115" spans="1:32" x14ac:dyDescent="0.25">
      <c r="A115" s="25">
        <v>4</v>
      </c>
      <c r="B115" s="25">
        <v>1420</v>
      </c>
      <c r="C115" t="s">
        <v>12</v>
      </c>
      <c r="D115">
        <v>0</v>
      </c>
      <c r="E115">
        <v>0</v>
      </c>
      <c r="F115">
        <v>72</v>
      </c>
      <c r="G115">
        <v>56</v>
      </c>
      <c r="H115" s="27">
        <v>0</v>
      </c>
      <c r="I115" s="27">
        <v>0</v>
      </c>
      <c r="J115" s="27">
        <v>0</v>
      </c>
      <c r="K115" s="27">
        <v>0</v>
      </c>
      <c r="L115" s="27">
        <v>0</v>
      </c>
      <c r="M115" s="27">
        <v>0</v>
      </c>
      <c r="N115" s="27">
        <v>0</v>
      </c>
      <c r="O115" s="27">
        <v>1</v>
      </c>
      <c r="P115">
        <v>176</v>
      </c>
      <c r="Q115">
        <v>235</v>
      </c>
      <c r="R115" t="s">
        <v>87</v>
      </c>
      <c r="S115" t="s">
        <v>89</v>
      </c>
      <c r="T115">
        <v>0</v>
      </c>
      <c r="U115">
        <v>0</v>
      </c>
      <c r="V115">
        <v>0</v>
      </c>
      <c r="W115">
        <v>0</v>
      </c>
      <c r="X115">
        <v>0</v>
      </c>
      <c r="Y115">
        <v>0</v>
      </c>
      <c r="Z115">
        <v>0</v>
      </c>
      <c r="AA115">
        <v>1</v>
      </c>
      <c r="AB115">
        <v>0</v>
      </c>
      <c r="AC115">
        <v>0</v>
      </c>
      <c r="AD115">
        <v>0</v>
      </c>
      <c r="AE115">
        <v>1</v>
      </c>
      <c r="AF115" t="s">
        <v>131</v>
      </c>
    </row>
    <row r="116" spans="1:32" s="25" customFormat="1" x14ac:dyDescent="0.25">
      <c r="A116" s="25">
        <v>4</v>
      </c>
      <c r="B116" s="25">
        <v>1430</v>
      </c>
      <c r="C116" s="25" t="s">
        <v>12</v>
      </c>
      <c r="D116" s="25">
        <v>0</v>
      </c>
      <c r="E116" s="25">
        <v>0</v>
      </c>
      <c r="F116" s="25">
        <v>78</v>
      </c>
      <c r="G116" s="25">
        <v>78</v>
      </c>
      <c r="H116" s="27">
        <v>0</v>
      </c>
      <c r="I116" s="27">
        <v>0</v>
      </c>
      <c r="J116" s="27">
        <v>0</v>
      </c>
      <c r="K116" s="27">
        <v>0</v>
      </c>
      <c r="L116" s="27">
        <v>0</v>
      </c>
      <c r="M116" s="27">
        <v>0</v>
      </c>
      <c r="N116" s="27">
        <v>1</v>
      </c>
      <c r="O116" s="27">
        <v>0</v>
      </c>
      <c r="P116" s="25">
        <v>176</v>
      </c>
      <c r="Q116" s="25">
        <v>235</v>
      </c>
      <c r="R116" s="25" t="s">
        <v>87</v>
      </c>
      <c r="S116" s="25" t="s">
        <v>89</v>
      </c>
      <c r="T116" s="25">
        <v>0</v>
      </c>
      <c r="U116" s="25">
        <v>0</v>
      </c>
      <c r="V116" s="25">
        <v>0</v>
      </c>
      <c r="W116" s="25">
        <v>0</v>
      </c>
      <c r="X116" s="25">
        <v>0</v>
      </c>
      <c r="Y116" s="25">
        <v>0</v>
      </c>
      <c r="Z116" s="25">
        <v>1</v>
      </c>
      <c r="AA116" s="25">
        <v>0</v>
      </c>
      <c r="AB116" s="25">
        <v>0</v>
      </c>
      <c r="AC116" s="25">
        <v>0</v>
      </c>
      <c r="AD116" s="25">
        <v>0</v>
      </c>
      <c r="AE116" s="25">
        <v>1</v>
      </c>
      <c r="AF116" s="25" t="s">
        <v>132</v>
      </c>
    </row>
    <row r="117" spans="1:32" s="25" customFormat="1" x14ac:dyDescent="0.25">
      <c r="A117" s="25">
        <v>4</v>
      </c>
      <c r="B117" s="25">
        <v>1480</v>
      </c>
      <c r="C117" s="25" t="s">
        <v>12</v>
      </c>
      <c r="D117" s="25">
        <v>0</v>
      </c>
      <c r="E117" s="25">
        <v>0</v>
      </c>
      <c r="F117" s="25">
        <v>84</v>
      </c>
      <c r="G117" s="25">
        <v>100</v>
      </c>
      <c r="H117" s="27">
        <v>0</v>
      </c>
      <c r="I117" s="27">
        <v>0</v>
      </c>
      <c r="J117" s="27">
        <v>0</v>
      </c>
      <c r="K117" s="27">
        <v>0</v>
      </c>
      <c r="L117" s="27">
        <v>0</v>
      </c>
      <c r="M117" s="27">
        <v>1</v>
      </c>
      <c r="N117" s="27">
        <v>0</v>
      </c>
      <c r="O117" s="27">
        <v>0</v>
      </c>
      <c r="P117" s="25">
        <v>176</v>
      </c>
      <c r="Q117" s="25">
        <v>235</v>
      </c>
      <c r="R117" s="25" t="s">
        <v>87</v>
      </c>
      <c r="S117" s="25" t="s">
        <v>89</v>
      </c>
      <c r="T117" s="25">
        <v>0</v>
      </c>
      <c r="U117" s="25">
        <v>0</v>
      </c>
      <c r="V117" s="25">
        <v>0</v>
      </c>
      <c r="W117" s="25">
        <v>0</v>
      </c>
      <c r="X117" s="25">
        <v>0</v>
      </c>
      <c r="Y117" s="25">
        <v>1</v>
      </c>
      <c r="Z117" s="25">
        <v>0</v>
      </c>
      <c r="AA117" s="25">
        <v>0</v>
      </c>
      <c r="AB117" s="25">
        <v>0</v>
      </c>
      <c r="AC117" s="25">
        <v>0</v>
      </c>
      <c r="AD117" s="25">
        <v>0</v>
      </c>
      <c r="AE117" s="25">
        <v>1</v>
      </c>
      <c r="AF117" s="25" t="s">
        <v>131</v>
      </c>
    </row>
    <row r="118" spans="1:32" s="25" customFormat="1" x14ac:dyDescent="0.25">
      <c r="A118" s="25">
        <v>4</v>
      </c>
      <c r="B118" s="25">
        <v>1490</v>
      </c>
      <c r="C118" s="25" t="s">
        <v>12</v>
      </c>
      <c r="D118" s="25" t="s">
        <v>13</v>
      </c>
      <c r="E118" s="25" t="s">
        <v>13</v>
      </c>
      <c r="F118" s="25" t="s">
        <v>13</v>
      </c>
      <c r="G118" s="25" t="s">
        <v>13</v>
      </c>
      <c r="H118" s="27" t="s">
        <v>13</v>
      </c>
      <c r="I118" s="27" t="s">
        <v>13</v>
      </c>
      <c r="J118" s="27" t="s">
        <v>13</v>
      </c>
      <c r="K118" s="27" t="s">
        <v>13</v>
      </c>
      <c r="L118" s="27" t="s">
        <v>13</v>
      </c>
      <c r="M118" s="27" t="s">
        <v>13</v>
      </c>
      <c r="N118" s="27" t="s">
        <v>13</v>
      </c>
      <c r="O118" s="27" t="s">
        <v>13</v>
      </c>
      <c r="P118" s="25">
        <v>176</v>
      </c>
      <c r="Q118" s="25">
        <v>235</v>
      </c>
      <c r="R118" s="25" t="s">
        <v>87</v>
      </c>
      <c r="S118" s="25" t="s">
        <v>89</v>
      </c>
      <c r="T118" s="25">
        <v>0</v>
      </c>
      <c r="U118" s="25">
        <v>0</v>
      </c>
      <c r="V118" s="25">
        <v>0</v>
      </c>
      <c r="W118" s="25">
        <v>0</v>
      </c>
      <c r="X118" s="25">
        <v>0</v>
      </c>
      <c r="Y118" s="25">
        <v>1</v>
      </c>
      <c r="Z118" s="25">
        <v>0</v>
      </c>
      <c r="AA118" s="25">
        <v>0</v>
      </c>
      <c r="AB118" s="25">
        <v>0</v>
      </c>
      <c r="AC118" s="25">
        <v>0</v>
      </c>
      <c r="AD118" s="25">
        <v>0</v>
      </c>
      <c r="AE118" s="25">
        <v>1</v>
      </c>
      <c r="AF118" s="25" t="s">
        <v>128</v>
      </c>
    </row>
    <row r="119" spans="1:32" s="25" customFormat="1" x14ac:dyDescent="0.25">
      <c r="A119" s="25">
        <v>4</v>
      </c>
      <c r="B119" s="25">
        <v>1500</v>
      </c>
      <c r="C119" s="25" t="s">
        <v>12</v>
      </c>
      <c r="D119" s="25" t="s">
        <v>13</v>
      </c>
      <c r="E119" s="25" t="s">
        <v>13</v>
      </c>
      <c r="F119" s="25" t="s">
        <v>13</v>
      </c>
      <c r="G119" s="25" t="s">
        <v>13</v>
      </c>
      <c r="H119" s="27" t="s">
        <v>13</v>
      </c>
      <c r="I119" s="27" t="s">
        <v>13</v>
      </c>
      <c r="J119" s="27" t="s">
        <v>13</v>
      </c>
      <c r="K119" s="27" t="s">
        <v>13</v>
      </c>
      <c r="L119" s="27" t="s">
        <v>13</v>
      </c>
      <c r="M119" s="27" t="s">
        <v>13</v>
      </c>
      <c r="N119" s="27" t="s">
        <v>13</v>
      </c>
      <c r="O119" s="27" t="s">
        <v>13</v>
      </c>
      <c r="P119" s="25">
        <v>176</v>
      </c>
      <c r="Q119" s="25">
        <v>235</v>
      </c>
      <c r="R119" s="25" t="s">
        <v>87</v>
      </c>
      <c r="S119" s="25" t="s">
        <v>89</v>
      </c>
      <c r="T119" s="25">
        <v>0</v>
      </c>
      <c r="U119" s="25">
        <v>0</v>
      </c>
      <c r="V119" s="25">
        <v>0</v>
      </c>
      <c r="W119" s="25">
        <v>0</v>
      </c>
      <c r="X119" s="25">
        <v>0</v>
      </c>
      <c r="Y119" s="25">
        <v>1</v>
      </c>
      <c r="Z119" s="25">
        <v>0</v>
      </c>
      <c r="AA119" s="25">
        <v>0</v>
      </c>
      <c r="AB119" s="25">
        <v>0</v>
      </c>
      <c r="AC119" s="25">
        <v>0</v>
      </c>
      <c r="AD119" s="25">
        <v>0</v>
      </c>
      <c r="AE119" s="25">
        <v>1</v>
      </c>
      <c r="AF119" s="25" t="s">
        <v>129</v>
      </c>
    </row>
    <row r="120" spans="1:32" x14ac:dyDescent="0.25">
      <c r="A120" s="25">
        <v>4</v>
      </c>
      <c r="B120" s="25">
        <v>1510</v>
      </c>
      <c r="C120" t="s">
        <v>12</v>
      </c>
      <c r="D120" t="s">
        <v>13</v>
      </c>
      <c r="E120" t="s">
        <v>13</v>
      </c>
      <c r="F120" t="s">
        <v>13</v>
      </c>
      <c r="G120" t="s">
        <v>13</v>
      </c>
      <c r="H120" s="27" t="s">
        <v>13</v>
      </c>
      <c r="I120" s="27" t="s">
        <v>13</v>
      </c>
      <c r="J120" s="27" t="s">
        <v>13</v>
      </c>
      <c r="K120" s="27" t="s">
        <v>13</v>
      </c>
      <c r="L120" s="27" t="s">
        <v>13</v>
      </c>
      <c r="M120" s="27" t="s">
        <v>13</v>
      </c>
      <c r="N120" s="27" t="s">
        <v>13</v>
      </c>
      <c r="O120" s="27" t="s">
        <v>13</v>
      </c>
      <c r="P120">
        <v>176</v>
      </c>
      <c r="Q120">
        <v>235</v>
      </c>
      <c r="R120" t="s">
        <v>87</v>
      </c>
      <c r="S120" t="s">
        <v>89</v>
      </c>
      <c r="T120">
        <v>0</v>
      </c>
      <c r="U120">
        <v>0</v>
      </c>
      <c r="V120">
        <v>0</v>
      </c>
      <c r="W120">
        <v>0</v>
      </c>
      <c r="X120">
        <v>0</v>
      </c>
      <c r="Y120">
        <v>1</v>
      </c>
      <c r="Z120">
        <v>0</v>
      </c>
      <c r="AA120">
        <v>0</v>
      </c>
      <c r="AB120">
        <v>0</v>
      </c>
      <c r="AC120">
        <v>0</v>
      </c>
      <c r="AD120">
        <v>0</v>
      </c>
      <c r="AE120">
        <v>1</v>
      </c>
      <c r="AF120" t="s">
        <v>130</v>
      </c>
    </row>
    <row r="121" spans="1:32" x14ac:dyDescent="0.25">
      <c r="A121" s="25">
        <v>4</v>
      </c>
      <c r="B121" s="25">
        <v>1520</v>
      </c>
      <c r="C121" t="s">
        <v>12</v>
      </c>
      <c r="D121">
        <v>0</v>
      </c>
      <c r="E121">
        <v>0</v>
      </c>
      <c r="F121">
        <v>66</v>
      </c>
      <c r="G121">
        <v>32767</v>
      </c>
      <c r="H121" s="27">
        <v>0</v>
      </c>
      <c r="I121" s="27">
        <v>0</v>
      </c>
      <c r="J121" s="27">
        <v>0</v>
      </c>
      <c r="K121" s="27">
        <v>0</v>
      </c>
      <c r="L121" s="27">
        <v>0</v>
      </c>
      <c r="M121" s="27">
        <v>0</v>
      </c>
      <c r="N121" s="27">
        <v>0</v>
      </c>
      <c r="O121" s="27">
        <v>0</v>
      </c>
      <c r="P121">
        <v>176</v>
      </c>
      <c r="Q121">
        <v>235</v>
      </c>
      <c r="R121" t="s">
        <v>87</v>
      </c>
      <c r="S121" t="s">
        <v>89</v>
      </c>
      <c r="T121">
        <v>0</v>
      </c>
      <c r="U121">
        <v>0</v>
      </c>
      <c r="V121">
        <v>0</v>
      </c>
      <c r="W121">
        <v>0</v>
      </c>
      <c r="X121">
        <v>0</v>
      </c>
      <c r="Y121">
        <v>0</v>
      </c>
      <c r="Z121">
        <v>0</v>
      </c>
      <c r="AA121">
        <v>0</v>
      </c>
      <c r="AB121">
        <v>0</v>
      </c>
      <c r="AC121">
        <v>0</v>
      </c>
      <c r="AD121">
        <v>0</v>
      </c>
      <c r="AE121">
        <v>1</v>
      </c>
      <c r="AF121" t="s">
        <v>131</v>
      </c>
    </row>
    <row r="122" spans="1:32" x14ac:dyDescent="0.25">
      <c r="A122" s="25">
        <v>4</v>
      </c>
      <c r="B122" s="25">
        <v>1570</v>
      </c>
      <c r="C122" t="s">
        <v>12</v>
      </c>
      <c r="D122">
        <v>0</v>
      </c>
      <c r="E122">
        <v>0</v>
      </c>
      <c r="F122">
        <v>69</v>
      </c>
      <c r="G122">
        <v>32767</v>
      </c>
      <c r="H122" s="27">
        <v>0</v>
      </c>
      <c r="I122" s="27">
        <v>0</v>
      </c>
      <c r="J122" s="27">
        <v>0</v>
      </c>
      <c r="K122" s="27">
        <v>0</v>
      </c>
      <c r="L122" s="27">
        <v>0</v>
      </c>
      <c r="M122" s="27">
        <v>0</v>
      </c>
      <c r="N122" s="27">
        <v>0</v>
      </c>
      <c r="O122" s="27">
        <v>0</v>
      </c>
      <c r="P122">
        <v>176</v>
      </c>
      <c r="Q122">
        <v>235</v>
      </c>
      <c r="R122" t="s">
        <v>87</v>
      </c>
      <c r="S122" t="s">
        <v>89</v>
      </c>
      <c r="T122">
        <v>0</v>
      </c>
      <c r="U122">
        <v>0</v>
      </c>
      <c r="V122">
        <v>0</v>
      </c>
      <c r="W122">
        <v>0</v>
      </c>
      <c r="X122">
        <v>0</v>
      </c>
      <c r="Y122">
        <v>0</v>
      </c>
      <c r="Z122">
        <v>0</v>
      </c>
      <c r="AA122">
        <v>0</v>
      </c>
      <c r="AB122">
        <v>0</v>
      </c>
      <c r="AC122">
        <v>0</v>
      </c>
      <c r="AD122">
        <v>0</v>
      </c>
      <c r="AE122">
        <v>1</v>
      </c>
      <c r="AF122" t="s">
        <v>131</v>
      </c>
    </row>
    <row r="123" spans="1:32" x14ac:dyDescent="0.25">
      <c r="A123" s="25">
        <v>4</v>
      </c>
      <c r="B123" s="25">
        <v>1580</v>
      </c>
      <c r="C123" t="s">
        <v>12</v>
      </c>
      <c r="D123">
        <v>0</v>
      </c>
      <c r="E123">
        <v>0</v>
      </c>
      <c r="F123">
        <v>72</v>
      </c>
      <c r="G123">
        <v>56</v>
      </c>
      <c r="H123" s="27">
        <v>0</v>
      </c>
      <c r="I123" s="27">
        <v>0</v>
      </c>
      <c r="J123" s="27">
        <v>0</v>
      </c>
      <c r="K123" s="27">
        <v>0</v>
      </c>
      <c r="L123" s="27">
        <v>0</v>
      </c>
      <c r="M123" s="27">
        <v>0</v>
      </c>
      <c r="N123" s="27">
        <v>0</v>
      </c>
      <c r="O123" s="27">
        <v>1</v>
      </c>
      <c r="P123">
        <v>176</v>
      </c>
      <c r="Q123">
        <v>235</v>
      </c>
      <c r="R123" t="s">
        <v>87</v>
      </c>
      <c r="S123" t="s">
        <v>89</v>
      </c>
      <c r="T123">
        <v>0</v>
      </c>
      <c r="U123">
        <v>0</v>
      </c>
      <c r="V123">
        <v>0</v>
      </c>
      <c r="W123">
        <v>0</v>
      </c>
      <c r="X123">
        <v>0</v>
      </c>
      <c r="Y123">
        <v>0</v>
      </c>
      <c r="Z123">
        <v>0</v>
      </c>
      <c r="AA123">
        <v>1</v>
      </c>
      <c r="AB123">
        <v>0</v>
      </c>
      <c r="AC123">
        <v>0</v>
      </c>
      <c r="AD123">
        <v>0</v>
      </c>
      <c r="AE123">
        <v>1</v>
      </c>
      <c r="AF123" t="s">
        <v>131</v>
      </c>
    </row>
    <row r="124" spans="1:32" x14ac:dyDescent="0.25">
      <c r="A124" s="25">
        <v>4</v>
      </c>
      <c r="B124" s="25">
        <v>1590</v>
      </c>
      <c r="C124" t="s">
        <v>12</v>
      </c>
      <c r="D124">
        <v>0</v>
      </c>
      <c r="E124">
        <v>0</v>
      </c>
      <c r="F124">
        <v>78</v>
      </c>
      <c r="G124">
        <v>78</v>
      </c>
      <c r="H124" s="27">
        <v>0</v>
      </c>
      <c r="I124" s="27">
        <v>0</v>
      </c>
      <c r="J124" s="27">
        <v>0</v>
      </c>
      <c r="K124" s="27">
        <v>0</v>
      </c>
      <c r="L124" s="27">
        <v>0</v>
      </c>
      <c r="M124" s="27">
        <v>0</v>
      </c>
      <c r="N124" s="27">
        <v>1</v>
      </c>
      <c r="O124" s="27">
        <v>0</v>
      </c>
      <c r="P124">
        <v>176</v>
      </c>
      <c r="Q124">
        <v>235</v>
      </c>
      <c r="R124" t="s">
        <v>87</v>
      </c>
      <c r="S124" t="s">
        <v>89</v>
      </c>
      <c r="T124">
        <v>0</v>
      </c>
      <c r="U124">
        <v>0</v>
      </c>
      <c r="V124">
        <v>0</v>
      </c>
      <c r="W124">
        <v>0</v>
      </c>
      <c r="X124">
        <v>0</v>
      </c>
      <c r="Y124">
        <v>0</v>
      </c>
      <c r="Z124">
        <v>1</v>
      </c>
      <c r="AA124">
        <v>0</v>
      </c>
      <c r="AB124">
        <v>0</v>
      </c>
      <c r="AC124">
        <v>0</v>
      </c>
      <c r="AD124">
        <v>0</v>
      </c>
      <c r="AE124">
        <v>1</v>
      </c>
      <c r="AF124" t="s">
        <v>132</v>
      </c>
    </row>
    <row r="125" spans="1:32" s="25" customFormat="1" x14ac:dyDescent="0.25">
      <c r="A125" s="25">
        <v>4</v>
      </c>
      <c r="B125" s="25">
        <v>1640</v>
      </c>
      <c r="C125" s="25" t="s">
        <v>12</v>
      </c>
      <c r="D125" s="25">
        <v>0</v>
      </c>
      <c r="E125" s="25">
        <v>0</v>
      </c>
      <c r="F125" s="25">
        <v>84</v>
      </c>
      <c r="G125" s="25">
        <v>100</v>
      </c>
      <c r="H125" s="27">
        <v>0</v>
      </c>
      <c r="I125" s="27">
        <v>0</v>
      </c>
      <c r="J125" s="27">
        <v>0</v>
      </c>
      <c r="K125" s="27">
        <v>0</v>
      </c>
      <c r="L125" s="27">
        <v>0</v>
      </c>
      <c r="M125" s="27">
        <v>1</v>
      </c>
      <c r="N125" s="27">
        <v>0</v>
      </c>
      <c r="O125" s="27">
        <v>0</v>
      </c>
      <c r="P125" s="25">
        <v>176</v>
      </c>
      <c r="Q125" s="25">
        <v>235</v>
      </c>
      <c r="R125" s="25" t="s">
        <v>87</v>
      </c>
      <c r="S125" s="25" t="s">
        <v>89</v>
      </c>
      <c r="T125" s="25">
        <v>0</v>
      </c>
      <c r="U125" s="25">
        <v>0</v>
      </c>
      <c r="V125" s="25">
        <v>0</v>
      </c>
      <c r="W125" s="25">
        <v>0</v>
      </c>
      <c r="X125" s="25">
        <v>0</v>
      </c>
      <c r="Y125" s="25">
        <v>1</v>
      </c>
      <c r="Z125" s="25">
        <v>0</v>
      </c>
      <c r="AA125" s="25">
        <v>0</v>
      </c>
      <c r="AB125" s="25">
        <v>0</v>
      </c>
      <c r="AC125" s="25">
        <v>0</v>
      </c>
      <c r="AD125" s="25">
        <v>0</v>
      </c>
      <c r="AE125" s="25">
        <v>1</v>
      </c>
      <c r="AF125" s="25" t="s">
        <v>131</v>
      </c>
    </row>
    <row r="126" spans="1:32" s="25" customFormat="1" x14ac:dyDescent="0.25">
      <c r="A126" s="25">
        <v>4</v>
      </c>
      <c r="B126" s="25">
        <v>1650</v>
      </c>
      <c r="C126" s="25" t="s">
        <v>12</v>
      </c>
      <c r="D126" s="25" t="s">
        <v>13</v>
      </c>
      <c r="E126" s="25" t="s">
        <v>13</v>
      </c>
      <c r="F126" s="25" t="s">
        <v>13</v>
      </c>
      <c r="G126" s="25" t="s">
        <v>13</v>
      </c>
      <c r="H126" s="27" t="s">
        <v>13</v>
      </c>
      <c r="I126" s="27" t="s">
        <v>13</v>
      </c>
      <c r="J126" s="27" t="s">
        <v>13</v>
      </c>
      <c r="K126" s="27" t="s">
        <v>13</v>
      </c>
      <c r="L126" s="27" t="s">
        <v>13</v>
      </c>
      <c r="M126" s="27" t="s">
        <v>13</v>
      </c>
      <c r="N126" s="27" t="s">
        <v>13</v>
      </c>
      <c r="O126" s="27" t="s">
        <v>13</v>
      </c>
      <c r="P126" s="25">
        <v>176</v>
      </c>
      <c r="Q126" s="25">
        <v>235</v>
      </c>
      <c r="R126" s="25" t="s">
        <v>87</v>
      </c>
      <c r="S126" s="25" t="s">
        <v>89</v>
      </c>
      <c r="T126" s="25">
        <v>0</v>
      </c>
      <c r="U126" s="25">
        <v>0</v>
      </c>
      <c r="V126" s="25">
        <v>0</v>
      </c>
      <c r="W126" s="25">
        <v>0</v>
      </c>
      <c r="X126" s="25">
        <v>0</v>
      </c>
      <c r="Y126" s="25">
        <v>1</v>
      </c>
      <c r="Z126" s="25">
        <v>0</v>
      </c>
      <c r="AA126" s="25">
        <v>0</v>
      </c>
      <c r="AB126" s="25">
        <v>0</v>
      </c>
      <c r="AC126" s="25">
        <v>0</v>
      </c>
      <c r="AD126" s="25">
        <v>0</v>
      </c>
      <c r="AE126" s="25">
        <v>1</v>
      </c>
      <c r="AF126" s="25" t="s">
        <v>128</v>
      </c>
    </row>
    <row r="127" spans="1:32" s="25" customFormat="1" x14ac:dyDescent="0.25">
      <c r="A127" s="25">
        <v>4</v>
      </c>
      <c r="B127" s="25">
        <v>1660</v>
      </c>
      <c r="C127" s="25" t="s">
        <v>12</v>
      </c>
      <c r="D127" s="25" t="s">
        <v>13</v>
      </c>
      <c r="E127" s="25" t="s">
        <v>13</v>
      </c>
      <c r="F127" s="25" t="s">
        <v>13</v>
      </c>
      <c r="G127" s="25" t="s">
        <v>13</v>
      </c>
      <c r="H127" s="27" t="s">
        <v>13</v>
      </c>
      <c r="I127" s="27" t="s">
        <v>13</v>
      </c>
      <c r="J127" s="27" t="s">
        <v>13</v>
      </c>
      <c r="K127" s="27" t="s">
        <v>13</v>
      </c>
      <c r="L127" s="27" t="s">
        <v>13</v>
      </c>
      <c r="M127" s="27" t="s">
        <v>13</v>
      </c>
      <c r="N127" s="27" t="s">
        <v>13</v>
      </c>
      <c r="O127" s="27" t="s">
        <v>13</v>
      </c>
      <c r="P127" s="25">
        <v>176</v>
      </c>
      <c r="Q127" s="25">
        <v>235</v>
      </c>
      <c r="R127" s="25" t="s">
        <v>87</v>
      </c>
      <c r="S127" s="25" t="s">
        <v>89</v>
      </c>
      <c r="T127" s="25">
        <v>0</v>
      </c>
      <c r="U127" s="25">
        <v>0</v>
      </c>
      <c r="V127" s="25">
        <v>0</v>
      </c>
      <c r="W127" s="25">
        <v>0</v>
      </c>
      <c r="X127" s="25">
        <v>0</v>
      </c>
      <c r="Y127" s="25">
        <v>1</v>
      </c>
      <c r="Z127" s="25">
        <v>0</v>
      </c>
      <c r="AA127" s="25">
        <v>0</v>
      </c>
      <c r="AB127" s="25">
        <v>0</v>
      </c>
      <c r="AC127" s="25">
        <v>0</v>
      </c>
      <c r="AD127" s="25">
        <v>0</v>
      </c>
      <c r="AE127" s="25">
        <v>1</v>
      </c>
      <c r="AF127" s="25" t="s">
        <v>129</v>
      </c>
    </row>
    <row r="128" spans="1:32" s="25" customFormat="1" x14ac:dyDescent="0.25">
      <c r="A128" s="25">
        <v>4</v>
      </c>
      <c r="B128" s="25">
        <v>1670</v>
      </c>
      <c r="C128" s="25" t="s">
        <v>12</v>
      </c>
      <c r="D128" s="25" t="s">
        <v>13</v>
      </c>
      <c r="E128" s="25" t="s">
        <v>13</v>
      </c>
      <c r="F128" s="25" t="s">
        <v>13</v>
      </c>
      <c r="G128" s="25" t="s">
        <v>13</v>
      </c>
      <c r="H128" s="27" t="s">
        <v>13</v>
      </c>
      <c r="I128" s="27" t="s">
        <v>13</v>
      </c>
      <c r="J128" s="27" t="s">
        <v>13</v>
      </c>
      <c r="K128" s="27" t="s">
        <v>13</v>
      </c>
      <c r="L128" s="27" t="s">
        <v>13</v>
      </c>
      <c r="M128" s="27" t="s">
        <v>13</v>
      </c>
      <c r="N128" s="27" t="s">
        <v>13</v>
      </c>
      <c r="O128" s="27" t="s">
        <v>13</v>
      </c>
      <c r="P128" s="25">
        <v>176</v>
      </c>
      <c r="Q128" s="25">
        <v>235</v>
      </c>
      <c r="R128" s="25" t="s">
        <v>87</v>
      </c>
      <c r="S128" s="25" t="s">
        <v>89</v>
      </c>
      <c r="T128" s="25">
        <v>0</v>
      </c>
      <c r="U128" s="25">
        <v>0</v>
      </c>
      <c r="V128" s="25">
        <v>0</v>
      </c>
      <c r="W128" s="25">
        <v>0</v>
      </c>
      <c r="X128" s="25">
        <v>0</v>
      </c>
      <c r="Y128" s="25">
        <v>1</v>
      </c>
      <c r="Z128" s="25">
        <v>0</v>
      </c>
      <c r="AA128" s="25">
        <v>0</v>
      </c>
      <c r="AB128" s="25">
        <v>0</v>
      </c>
      <c r="AC128" s="25">
        <v>0</v>
      </c>
      <c r="AD128" s="25">
        <v>0</v>
      </c>
      <c r="AE128" s="25">
        <v>1</v>
      </c>
      <c r="AF128" s="25" t="s">
        <v>130</v>
      </c>
    </row>
    <row r="129" spans="1:32" x14ac:dyDescent="0.25">
      <c r="A129" s="25">
        <v>4</v>
      </c>
      <c r="B129" s="25">
        <v>1680</v>
      </c>
      <c r="C129" t="s">
        <v>12</v>
      </c>
      <c r="D129">
        <v>0</v>
      </c>
      <c r="E129">
        <v>0</v>
      </c>
      <c r="F129">
        <v>66</v>
      </c>
      <c r="G129">
        <v>32767</v>
      </c>
      <c r="H129" s="27">
        <v>0</v>
      </c>
      <c r="I129" s="27">
        <v>0</v>
      </c>
      <c r="J129" s="27">
        <v>0</v>
      </c>
      <c r="K129" s="27">
        <v>0</v>
      </c>
      <c r="L129" s="27">
        <v>0</v>
      </c>
      <c r="M129" s="27">
        <v>0</v>
      </c>
      <c r="N129" s="27">
        <v>0</v>
      </c>
      <c r="O129" s="27">
        <v>0</v>
      </c>
      <c r="P129">
        <v>176</v>
      </c>
      <c r="Q129">
        <v>235</v>
      </c>
      <c r="R129" t="s">
        <v>87</v>
      </c>
      <c r="S129" t="s">
        <v>89</v>
      </c>
      <c r="T129">
        <v>0</v>
      </c>
      <c r="U129">
        <v>0</v>
      </c>
      <c r="V129">
        <v>0</v>
      </c>
      <c r="W129">
        <v>0</v>
      </c>
      <c r="X129">
        <v>0</v>
      </c>
      <c r="Y129">
        <v>0</v>
      </c>
      <c r="Z129">
        <v>0</v>
      </c>
      <c r="AA129">
        <v>0</v>
      </c>
      <c r="AB129">
        <v>0</v>
      </c>
      <c r="AC129">
        <v>0</v>
      </c>
      <c r="AD129">
        <v>0</v>
      </c>
      <c r="AE129">
        <v>1</v>
      </c>
      <c r="AF129" t="s">
        <v>131</v>
      </c>
    </row>
    <row r="130" spans="1:32" x14ac:dyDescent="0.25">
      <c r="A130" s="25">
        <v>4</v>
      </c>
      <c r="B130" s="25">
        <v>1730</v>
      </c>
      <c r="C130" t="s">
        <v>12</v>
      </c>
      <c r="D130">
        <v>0</v>
      </c>
      <c r="E130">
        <v>0</v>
      </c>
      <c r="F130">
        <v>69</v>
      </c>
      <c r="G130">
        <v>32767</v>
      </c>
      <c r="H130" s="27">
        <v>0</v>
      </c>
      <c r="I130" s="27">
        <v>0</v>
      </c>
      <c r="J130" s="27">
        <v>0</v>
      </c>
      <c r="K130" s="27">
        <v>0</v>
      </c>
      <c r="L130" s="27">
        <v>0</v>
      </c>
      <c r="M130" s="27">
        <v>0</v>
      </c>
      <c r="N130" s="27">
        <v>0</v>
      </c>
      <c r="O130" s="27">
        <v>0</v>
      </c>
      <c r="P130">
        <v>176</v>
      </c>
      <c r="Q130">
        <v>235</v>
      </c>
      <c r="R130" t="s">
        <v>87</v>
      </c>
      <c r="S130" t="s">
        <v>89</v>
      </c>
      <c r="T130">
        <v>0</v>
      </c>
      <c r="U130">
        <v>0</v>
      </c>
      <c r="V130">
        <v>0</v>
      </c>
      <c r="W130">
        <v>0</v>
      </c>
      <c r="X130">
        <v>0</v>
      </c>
      <c r="Y130">
        <v>0</v>
      </c>
      <c r="Z130">
        <v>0</v>
      </c>
      <c r="AA130">
        <v>0</v>
      </c>
      <c r="AB130">
        <v>0</v>
      </c>
      <c r="AC130">
        <v>0</v>
      </c>
      <c r="AD130">
        <v>0</v>
      </c>
      <c r="AE130">
        <v>1</v>
      </c>
      <c r="AF130" t="s">
        <v>131</v>
      </c>
    </row>
    <row r="131" spans="1:32" x14ac:dyDescent="0.25">
      <c r="A131" s="25">
        <v>4</v>
      </c>
      <c r="B131" s="25">
        <v>1740</v>
      </c>
      <c r="C131" t="s">
        <v>12</v>
      </c>
      <c r="D131">
        <v>0</v>
      </c>
      <c r="E131">
        <v>0</v>
      </c>
      <c r="F131">
        <v>72</v>
      </c>
      <c r="G131">
        <v>56</v>
      </c>
      <c r="H131" s="27">
        <v>0</v>
      </c>
      <c r="I131" s="27">
        <v>0</v>
      </c>
      <c r="J131" s="27">
        <v>0</v>
      </c>
      <c r="K131" s="27">
        <v>0</v>
      </c>
      <c r="L131" s="27">
        <v>0</v>
      </c>
      <c r="M131" s="27">
        <v>0</v>
      </c>
      <c r="N131" s="27">
        <v>0</v>
      </c>
      <c r="O131" s="27">
        <v>1</v>
      </c>
      <c r="P131">
        <v>176</v>
      </c>
      <c r="Q131">
        <v>235</v>
      </c>
      <c r="R131" t="s">
        <v>87</v>
      </c>
      <c r="S131" t="s">
        <v>89</v>
      </c>
      <c r="T131">
        <v>0</v>
      </c>
      <c r="U131">
        <v>0</v>
      </c>
      <c r="V131">
        <v>0</v>
      </c>
      <c r="W131">
        <v>0</v>
      </c>
      <c r="X131">
        <v>0</v>
      </c>
      <c r="Y131">
        <v>0</v>
      </c>
      <c r="Z131">
        <v>0</v>
      </c>
      <c r="AA131">
        <v>1</v>
      </c>
      <c r="AB131">
        <v>0</v>
      </c>
      <c r="AC131">
        <v>0</v>
      </c>
      <c r="AD131">
        <v>0</v>
      </c>
      <c r="AE131">
        <v>1</v>
      </c>
      <c r="AF131" t="s">
        <v>131</v>
      </c>
    </row>
    <row r="132" spans="1:32" s="25" customFormat="1" x14ac:dyDescent="0.25">
      <c r="A132" s="25">
        <v>4</v>
      </c>
      <c r="B132" s="25">
        <v>1750</v>
      </c>
      <c r="C132" s="25" t="s">
        <v>12</v>
      </c>
      <c r="D132" s="25">
        <v>0</v>
      </c>
      <c r="E132" s="25">
        <v>0</v>
      </c>
      <c r="F132" s="25">
        <v>78</v>
      </c>
      <c r="G132" s="25">
        <v>78</v>
      </c>
      <c r="H132" s="27">
        <v>0</v>
      </c>
      <c r="I132" s="27">
        <v>0</v>
      </c>
      <c r="J132" s="27">
        <v>0</v>
      </c>
      <c r="K132" s="27">
        <v>0</v>
      </c>
      <c r="L132" s="27">
        <v>0</v>
      </c>
      <c r="M132" s="27">
        <v>0</v>
      </c>
      <c r="N132" s="27">
        <v>1</v>
      </c>
      <c r="O132" s="27">
        <v>0</v>
      </c>
      <c r="P132" s="25">
        <v>176</v>
      </c>
      <c r="Q132" s="25">
        <v>235</v>
      </c>
      <c r="R132" s="25" t="s">
        <v>87</v>
      </c>
      <c r="S132" s="25" t="s">
        <v>89</v>
      </c>
      <c r="T132" s="25">
        <v>0</v>
      </c>
      <c r="U132" s="25">
        <v>0</v>
      </c>
      <c r="V132" s="25">
        <v>0</v>
      </c>
      <c r="W132" s="25">
        <v>0</v>
      </c>
      <c r="X132" s="25">
        <v>0</v>
      </c>
      <c r="Y132" s="25">
        <v>0</v>
      </c>
      <c r="Z132" s="25">
        <v>1</v>
      </c>
      <c r="AA132" s="25">
        <v>0</v>
      </c>
      <c r="AB132" s="25">
        <v>0</v>
      </c>
      <c r="AC132" s="25">
        <v>0</v>
      </c>
      <c r="AD132" s="25">
        <v>1</v>
      </c>
      <c r="AE132" s="25">
        <v>1</v>
      </c>
      <c r="AF132" s="25" t="s">
        <v>132</v>
      </c>
    </row>
    <row r="133" spans="1:32" s="25" customFormat="1" x14ac:dyDescent="0.25">
      <c r="A133" s="25">
        <v>4</v>
      </c>
      <c r="B133" s="25">
        <v>1800</v>
      </c>
      <c r="C133" s="25" t="s">
        <v>12</v>
      </c>
      <c r="D133" s="25">
        <v>0</v>
      </c>
      <c r="E133" s="25">
        <v>0</v>
      </c>
      <c r="F133" s="25">
        <v>84</v>
      </c>
      <c r="G133" s="25">
        <v>100</v>
      </c>
      <c r="H133" s="27">
        <v>0</v>
      </c>
      <c r="I133" s="27">
        <v>0</v>
      </c>
      <c r="J133" s="27">
        <v>0</v>
      </c>
      <c r="K133" s="27">
        <v>0</v>
      </c>
      <c r="L133" s="27">
        <v>0</v>
      </c>
      <c r="M133" s="27">
        <v>1</v>
      </c>
      <c r="N133" s="27">
        <v>0</v>
      </c>
      <c r="O133" s="27">
        <v>0</v>
      </c>
      <c r="P133" s="25">
        <v>176</v>
      </c>
      <c r="Q133" s="25">
        <v>235</v>
      </c>
      <c r="R133" s="25" t="s">
        <v>87</v>
      </c>
      <c r="S133" s="25" t="s">
        <v>89</v>
      </c>
      <c r="T133" s="25">
        <v>0</v>
      </c>
      <c r="U133" s="25">
        <v>0</v>
      </c>
      <c r="V133" s="25">
        <v>0</v>
      </c>
      <c r="W133" s="25">
        <v>0</v>
      </c>
      <c r="X133" s="25">
        <v>0</v>
      </c>
      <c r="Y133" s="25">
        <v>1</v>
      </c>
      <c r="Z133" s="25">
        <v>0</v>
      </c>
      <c r="AA133" s="25">
        <v>0</v>
      </c>
      <c r="AB133" s="25">
        <v>0</v>
      </c>
      <c r="AC133" s="25">
        <v>0</v>
      </c>
      <c r="AD133" s="25">
        <v>0</v>
      </c>
      <c r="AE133" s="25">
        <v>1</v>
      </c>
      <c r="AF133" s="25" t="s">
        <v>131</v>
      </c>
    </row>
    <row r="134" spans="1:32" s="25" customFormat="1" x14ac:dyDescent="0.25">
      <c r="A134" s="25">
        <v>4</v>
      </c>
      <c r="B134" s="25">
        <v>1810</v>
      </c>
      <c r="C134" s="25" t="s">
        <v>12</v>
      </c>
      <c r="D134" s="25" t="s">
        <v>13</v>
      </c>
      <c r="E134" s="25" t="s">
        <v>13</v>
      </c>
      <c r="F134" s="25" t="s">
        <v>13</v>
      </c>
      <c r="G134" s="25" t="s">
        <v>13</v>
      </c>
      <c r="H134" s="27" t="s">
        <v>13</v>
      </c>
      <c r="I134" s="27" t="s">
        <v>13</v>
      </c>
      <c r="J134" s="27" t="s">
        <v>13</v>
      </c>
      <c r="K134" s="27" t="s">
        <v>13</v>
      </c>
      <c r="L134" s="27" t="s">
        <v>13</v>
      </c>
      <c r="M134" s="27" t="s">
        <v>13</v>
      </c>
      <c r="N134" s="27" t="s">
        <v>13</v>
      </c>
      <c r="O134" s="27" t="s">
        <v>13</v>
      </c>
      <c r="P134" s="25">
        <v>176</v>
      </c>
      <c r="Q134" s="25">
        <v>235</v>
      </c>
      <c r="R134" s="25" t="s">
        <v>87</v>
      </c>
      <c r="S134" s="25" t="s">
        <v>89</v>
      </c>
      <c r="T134" s="25">
        <v>0</v>
      </c>
      <c r="U134" s="25">
        <v>0</v>
      </c>
      <c r="V134" s="25">
        <v>0</v>
      </c>
      <c r="W134" s="25">
        <v>0</v>
      </c>
      <c r="X134" s="25">
        <v>0</v>
      </c>
      <c r="Y134" s="25">
        <v>1</v>
      </c>
      <c r="Z134" s="25">
        <v>0</v>
      </c>
      <c r="AA134" s="25">
        <v>0</v>
      </c>
      <c r="AB134" s="25">
        <v>0</v>
      </c>
      <c r="AC134" s="25">
        <v>0</v>
      </c>
      <c r="AD134" s="25">
        <v>0</v>
      </c>
      <c r="AE134" s="25">
        <v>1</v>
      </c>
      <c r="AF134" s="25" t="s">
        <v>128</v>
      </c>
    </row>
    <row r="135" spans="1:32" s="25" customFormat="1" x14ac:dyDescent="0.25">
      <c r="A135" s="25">
        <v>4</v>
      </c>
      <c r="B135" s="25">
        <v>1820</v>
      </c>
      <c r="C135" s="25" t="s">
        <v>12</v>
      </c>
      <c r="D135" s="25" t="s">
        <v>13</v>
      </c>
      <c r="E135" s="25" t="s">
        <v>13</v>
      </c>
      <c r="F135" s="25" t="s">
        <v>13</v>
      </c>
      <c r="G135" s="25" t="s">
        <v>13</v>
      </c>
      <c r="H135" s="27" t="s">
        <v>13</v>
      </c>
      <c r="I135" s="27" t="s">
        <v>13</v>
      </c>
      <c r="J135" s="27" t="s">
        <v>13</v>
      </c>
      <c r="K135" s="27" t="s">
        <v>13</v>
      </c>
      <c r="L135" s="27" t="s">
        <v>13</v>
      </c>
      <c r="M135" s="27" t="s">
        <v>13</v>
      </c>
      <c r="N135" s="27" t="s">
        <v>13</v>
      </c>
      <c r="O135" s="27" t="s">
        <v>13</v>
      </c>
      <c r="P135" s="25">
        <v>176</v>
      </c>
      <c r="Q135" s="25">
        <v>235</v>
      </c>
      <c r="R135" s="25" t="s">
        <v>87</v>
      </c>
      <c r="S135" s="25" t="s">
        <v>89</v>
      </c>
      <c r="T135" s="25">
        <v>0</v>
      </c>
      <c r="U135" s="25">
        <v>0</v>
      </c>
      <c r="V135" s="25">
        <v>0</v>
      </c>
      <c r="W135" s="25">
        <v>0</v>
      </c>
      <c r="X135" s="25">
        <v>0</v>
      </c>
      <c r="Y135" s="25">
        <v>1</v>
      </c>
      <c r="Z135" s="25">
        <v>0</v>
      </c>
      <c r="AA135" s="25">
        <v>0</v>
      </c>
      <c r="AB135" s="25">
        <v>0</v>
      </c>
      <c r="AC135" s="25">
        <v>0</v>
      </c>
      <c r="AD135" s="25">
        <v>0</v>
      </c>
      <c r="AE135" s="25">
        <v>1</v>
      </c>
      <c r="AF135" s="25" t="s">
        <v>129</v>
      </c>
    </row>
    <row r="136" spans="1:32" x14ac:dyDescent="0.25">
      <c r="A136" s="25">
        <v>4</v>
      </c>
      <c r="B136" s="25">
        <v>1830</v>
      </c>
      <c r="C136" t="s">
        <v>12</v>
      </c>
      <c r="D136" t="s">
        <v>13</v>
      </c>
      <c r="E136" t="s">
        <v>13</v>
      </c>
      <c r="F136" t="s">
        <v>13</v>
      </c>
      <c r="G136" t="s">
        <v>13</v>
      </c>
      <c r="H136" s="27" t="s">
        <v>13</v>
      </c>
      <c r="I136" s="27" t="s">
        <v>13</v>
      </c>
      <c r="J136" s="27" t="s">
        <v>13</v>
      </c>
      <c r="K136" s="27" t="s">
        <v>13</v>
      </c>
      <c r="L136" s="27" t="s">
        <v>13</v>
      </c>
      <c r="M136" s="27" t="s">
        <v>13</v>
      </c>
      <c r="N136" s="27" t="s">
        <v>13</v>
      </c>
      <c r="O136" s="27" t="s">
        <v>13</v>
      </c>
      <c r="P136">
        <v>176</v>
      </c>
      <c r="Q136">
        <v>235</v>
      </c>
      <c r="R136" t="s">
        <v>87</v>
      </c>
      <c r="S136" t="s">
        <v>89</v>
      </c>
      <c r="T136">
        <v>0</v>
      </c>
      <c r="U136">
        <v>0</v>
      </c>
      <c r="V136">
        <v>0</v>
      </c>
      <c r="W136">
        <v>0</v>
      </c>
      <c r="X136">
        <v>0</v>
      </c>
      <c r="Y136">
        <v>1</v>
      </c>
      <c r="Z136">
        <v>0</v>
      </c>
      <c r="AA136">
        <v>0</v>
      </c>
      <c r="AB136">
        <v>0</v>
      </c>
      <c r="AC136">
        <v>0</v>
      </c>
      <c r="AD136">
        <v>0</v>
      </c>
      <c r="AE136">
        <v>1</v>
      </c>
      <c r="AF136" t="s">
        <v>130</v>
      </c>
    </row>
    <row r="137" spans="1:32" x14ac:dyDescent="0.25">
      <c r="A137" s="25">
        <v>4</v>
      </c>
      <c r="B137" s="25">
        <v>1840</v>
      </c>
      <c r="C137" t="s">
        <v>12</v>
      </c>
      <c r="D137">
        <v>0</v>
      </c>
      <c r="E137">
        <v>0</v>
      </c>
      <c r="F137">
        <v>66</v>
      </c>
      <c r="G137">
        <v>32767</v>
      </c>
      <c r="H137" s="27">
        <v>0</v>
      </c>
      <c r="I137" s="27">
        <v>0</v>
      </c>
      <c r="J137" s="27">
        <v>0</v>
      </c>
      <c r="K137" s="27">
        <v>0</v>
      </c>
      <c r="L137" s="27">
        <v>0</v>
      </c>
      <c r="M137" s="27">
        <v>0</v>
      </c>
      <c r="N137" s="27">
        <v>0</v>
      </c>
      <c r="O137" s="27">
        <v>0</v>
      </c>
      <c r="P137">
        <v>176</v>
      </c>
      <c r="Q137">
        <v>235</v>
      </c>
      <c r="R137" t="s">
        <v>87</v>
      </c>
      <c r="S137" t="s">
        <v>89</v>
      </c>
      <c r="T137">
        <v>0</v>
      </c>
      <c r="U137">
        <v>0</v>
      </c>
      <c r="V137">
        <v>0</v>
      </c>
      <c r="W137">
        <v>0</v>
      </c>
      <c r="X137">
        <v>0</v>
      </c>
      <c r="Y137">
        <v>0</v>
      </c>
      <c r="Z137">
        <v>0</v>
      </c>
      <c r="AA137">
        <v>0</v>
      </c>
      <c r="AB137">
        <v>0</v>
      </c>
      <c r="AC137">
        <v>0</v>
      </c>
      <c r="AD137">
        <v>0</v>
      </c>
      <c r="AE137">
        <v>1</v>
      </c>
      <c r="AF137" t="s">
        <v>131</v>
      </c>
    </row>
    <row r="138" spans="1:32" x14ac:dyDescent="0.25">
      <c r="A138" s="25">
        <v>4</v>
      </c>
      <c r="B138" s="25">
        <v>1890</v>
      </c>
      <c r="C138" t="s">
        <v>12</v>
      </c>
      <c r="D138">
        <v>0</v>
      </c>
      <c r="E138">
        <v>0</v>
      </c>
      <c r="F138">
        <v>69</v>
      </c>
      <c r="G138">
        <v>32767</v>
      </c>
      <c r="H138" s="27">
        <v>0</v>
      </c>
      <c r="I138" s="27">
        <v>0</v>
      </c>
      <c r="J138" s="27">
        <v>0</v>
      </c>
      <c r="K138" s="27">
        <v>0</v>
      </c>
      <c r="L138" s="27">
        <v>0</v>
      </c>
      <c r="M138" s="27">
        <v>0</v>
      </c>
      <c r="N138" s="27">
        <v>0</v>
      </c>
      <c r="O138" s="27">
        <v>0</v>
      </c>
      <c r="P138">
        <v>176</v>
      </c>
      <c r="Q138">
        <v>235</v>
      </c>
      <c r="R138" t="s">
        <v>87</v>
      </c>
      <c r="S138" t="s">
        <v>89</v>
      </c>
      <c r="T138">
        <v>0</v>
      </c>
      <c r="U138">
        <v>0</v>
      </c>
      <c r="V138">
        <v>0</v>
      </c>
      <c r="W138">
        <v>0</v>
      </c>
      <c r="X138">
        <v>0</v>
      </c>
      <c r="Y138">
        <v>0</v>
      </c>
      <c r="Z138">
        <v>0</v>
      </c>
      <c r="AA138">
        <v>0</v>
      </c>
      <c r="AB138">
        <v>0</v>
      </c>
      <c r="AC138">
        <v>0</v>
      </c>
      <c r="AD138">
        <v>0</v>
      </c>
      <c r="AE138">
        <v>1</v>
      </c>
      <c r="AF138" t="s">
        <v>131</v>
      </c>
    </row>
    <row r="139" spans="1:32" x14ac:dyDescent="0.25">
      <c r="A139" s="25">
        <v>4</v>
      </c>
      <c r="B139" s="25">
        <v>1900</v>
      </c>
      <c r="C139" t="s">
        <v>12</v>
      </c>
      <c r="D139">
        <v>0</v>
      </c>
      <c r="E139">
        <v>0</v>
      </c>
      <c r="F139">
        <v>72</v>
      </c>
      <c r="G139">
        <v>56</v>
      </c>
      <c r="H139" s="27">
        <v>0</v>
      </c>
      <c r="I139" s="27">
        <v>0</v>
      </c>
      <c r="J139" s="27">
        <v>0</v>
      </c>
      <c r="K139" s="27">
        <v>0</v>
      </c>
      <c r="L139" s="27">
        <v>0</v>
      </c>
      <c r="M139" s="27">
        <v>0</v>
      </c>
      <c r="N139" s="27">
        <v>0</v>
      </c>
      <c r="O139" s="27">
        <v>1</v>
      </c>
      <c r="P139">
        <v>176</v>
      </c>
      <c r="Q139">
        <v>235</v>
      </c>
      <c r="R139" t="s">
        <v>87</v>
      </c>
      <c r="S139" t="s">
        <v>89</v>
      </c>
      <c r="T139">
        <v>0</v>
      </c>
      <c r="U139">
        <v>0</v>
      </c>
      <c r="V139">
        <v>0</v>
      </c>
      <c r="W139">
        <v>0</v>
      </c>
      <c r="X139">
        <v>0</v>
      </c>
      <c r="Y139">
        <v>0</v>
      </c>
      <c r="Z139">
        <v>0</v>
      </c>
      <c r="AA139">
        <v>1</v>
      </c>
      <c r="AB139">
        <v>0</v>
      </c>
      <c r="AC139">
        <v>0</v>
      </c>
      <c r="AD139">
        <v>0</v>
      </c>
      <c r="AE139">
        <v>1</v>
      </c>
      <c r="AF139" t="s">
        <v>131</v>
      </c>
    </row>
    <row r="140" spans="1:32" x14ac:dyDescent="0.25">
      <c r="A140" s="25">
        <v>4</v>
      </c>
      <c r="B140" s="25">
        <v>1910</v>
      </c>
      <c r="C140" t="s">
        <v>12</v>
      </c>
      <c r="D140">
        <v>0</v>
      </c>
      <c r="E140">
        <v>0</v>
      </c>
      <c r="F140">
        <v>78</v>
      </c>
      <c r="G140">
        <v>78</v>
      </c>
      <c r="H140" s="27">
        <v>0</v>
      </c>
      <c r="I140" s="27">
        <v>0</v>
      </c>
      <c r="J140" s="27">
        <v>0</v>
      </c>
      <c r="K140" s="27">
        <v>0</v>
      </c>
      <c r="L140" s="27">
        <v>0</v>
      </c>
      <c r="M140" s="27">
        <v>0</v>
      </c>
      <c r="N140" s="27">
        <v>1</v>
      </c>
      <c r="O140" s="27">
        <v>0</v>
      </c>
      <c r="P140">
        <v>176</v>
      </c>
      <c r="Q140">
        <v>235</v>
      </c>
      <c r="R140" t="s">
        <v>87</v>
      </c>
      <c r="S140" t="s">
        <v>89</v>
      </c>
      <c r="T140">
        <v>0</v>
      </c>
      <c r="U140">
        <v>0</v>
      </c>
      <c r="V140">
        <v>0</v>
      </c>
      <c r="W140">
        <v>0</v>
      </c>
      <c r="X140">
        <v>0</v>
      </c>
      <c r="Y140">
        <v>0</v>
      </c>
      <c r="Z140">
        <v>1</v>
      </c>
      <c r="AA140">
        <v>0</v>
      </c>
      <c r="AB140">
        <v>0</v>
      </c>
      <c r="AC140">
        <v>0</v>
      </c>
      <c r="AD140">
        <v>0</v>
      </c>
      <c r="AE140">
        <v>1</v>
      </c>
      <c r="AF140" t="s">
        <v>132</v>
      </c>
    </row>
    <row r="141" spans="1:32" s="25" customFormat="1" x14ac:dyDescent="0.25">
      <c r="A141" s="25">
        <v>4</v>
      </c>
      <c r="B141" s="25">
        <v>1960</v>
      </c>
      <c r="C141" s="25" t="s">
        <v>12</v>
      </c>
      <c r="D141" s="25">
        <v>0</v>
      </c>
      <c r="E141" s="25">
        <v>0</v>
      </c>
      <c r="F141" s="25">
        <v>84</v>
      </c>
      <c r="G141" s="25">
        <v>100</v>
      </c>
      <c r="H141" s="27">
        <v>0</v>
      </c>
      <c r="I141" s="27">
        <v>0</v>
      </c>
      <c r="J141" s="27">
        <v>0</v>
      </c>
      <c r="K141" s="27">
        <v>0</v>
      </c>
      <c r="L141" s="27">
        <v>0</v>
      </c>
      <c r="M141" s="27">
        <v>1</v>
      </c>
      <c r="N141" s="27">
        <v>0</v>
      </c>
      <c r="O141" s="27">
        <v>0</v>
      </c>
      <c r="P141" s="25">
        <v>176</v>
      </c>
      <c r="Q141" s="25">
        <v>235</v>
      </c>
      <c r="R141" s="25" t="s">
        <v>87</v>
      </c>
      <c r="S141" s="25" t="s">
        <v>89</v>
      </c>
      <c r="T141" s="25">
        <v>0</v>
      </c>
      <c r="U141" s="25">
        <v>0</v>
      </c>
      <c r="V141" s="25">
        <v>0</v>
      </c>
      <c r="W141" s="25">
        <v>0</v>
      </c>
      <c r="X141" s="25">
        <v>0</v>
      </c>
      <c r="Y141" s="25">
        <v>1</v>
      </c>
      <c r="Z141" s="25">
        <v>0</v>
      </c>
      <c r="AA141" s="25">
        <v>0</v>
      </c>
      <c r="AB141" s="25">
        <v>0</v>
      </c>
      <c r="AC141" s="25">
        <v>0</v>
      </c>
      <c r="AD141" s="25">
        <v>0</v>
      </c>
      <c r="AE141" s="25">
        <v>1</v>
      </c>
      <c r="AF141" s="25" t="s">
        <v>131</v>
      </c>
    </row>
    <row r="142" spans="1:32" s="25" customFormat="1" x14ac:dyDescent="0.25">
      <c r="A142" s="25">
        <v>4</v>
      </c>
      <c r="B142" s="25">
        <v>1970</v>
      </c>
      <c r="C142" s="25" t="s">
        <v>12</v>
      </c>
      <c r="D142" s="25" t="s">
        <v>13</v>
      </c>
      <c r="E142" s="25" t="s">
        <v>13</v>
      </c>
      <c r="F142" s="25" t="s">
        <v>13</v>
      </c>
      <c r="G142" s="25" t="s">
        <v>13</v>
      </c>
      <c r="H142" s="27" t="s">
        <v>13</v>
      </c>
      <c r="I142" s="27" t="s">
        <v>13</v>
      </c>
      <c r="J142" s="27" t="s">
        <v>13</v>
      </c>
      <c r="K142" s="27" t="s">
        <v>13</v>
      </c>
      <c r="L142" s="27" t="s">
        <v>13</v>
      </c>
      <c r="M142" s="27" t="s">
        <v>13</v>
      </c>
      <c r="N142" s="27" t="s">
        <v>13</v>
      </c>
      <c r="O142" s="27" t="s">
        <v>13</v>
      </c>
      <c r="P142" s="25">
        <v>176</v>
      </c>
      <c r="Q142" s="25">
        <v>235</v>
      </c>
      <c r="R142" s="25" t="s">
        <v>87</v>
      </c>
      <c r="S142" s="25" t="s">
        <v>89</v>
      </c>
      <c r="T142" s="25">
        <v>0</v>
      </c>
      <c r="U142" s="25">
        <v>0</v>
      </c>
      <c r="V142" s="25">
        <v>0</v>
      </c>
      <c r="W142" s="25">
        <v>0</v>
      </c>
      <c r="X142" s="25">
        <v>0</v>
      </c>
      <c r="Y142" s="25">
        <v>1</v>
      </c>
      <c r="Z142" s="25">
        <v>0</v>
      </c>
      <c r="AA142" s="25">
        <v>0</v>
      </c>
      <c r="AB142" s="25">
        <v>0</v>
      </c>
      <c r="AC142" s="25">
        <v>0</v>
      </c>
      <c r="AD142" s="25">
        <v>0</v>
      </c>
      <c r="AE142" s="25">
        <v>1</v>
      </c>
      <c r="AF142" s="25" t="s">
        <v>128</v>
      </c>
    </row>
    <row r="143" spans="1:32" s="25" customFormat="1" x14ac:dyDescent="0.25">
      <c r="A143" s="25">
        <v>4</v>
      </c>
      <c r="B143" s="25">
        <v>1980</v>
      </c>
      <c r="C143" s="25" t="s">
        <v>12</v>
      </c>
      <c r="D143" s="25" t="s">
        <v>13</v>
      </c>
      <c r="E143" s="25" t="s">
        <v>13</v>
      </c>
      <c r="F143" s="25" t="s">
        <v>13</v>
      </c>
      <c r="G143" s="25" t="s">
        <v>13</v>
      </c>
      <c r="H143" s="27" t="s">
        <v>13</v>
      </c>
      <c r="I143" s="27" t="s">
        <v>13</v>
      </c>
      <c r="J143" s="27" t="s">
        <v>13</v>
      </c>
      <c r="K143" s="27" t="s">
        <v>13</v>
      </c>
      <c r="L143" s="27" t="s">
        <v>13</v>
      </c>
      <c r="M143" s="27" t="s">
        <v>13</v>
      </c>
      <c r="N143" s="27" t="s">
        <v>13</v>
      </c>
      <c r="O143" s="27" t="s">
        <v>13</v>
      </c>
      <c r="P143" s="25">
        <v>176</v>
      </c>
      <c r="Q143" s="25">
        <v>235</v>
      </c>
      <c r="R143" s="25" t="s">
        <v>87</v>
      </c>
      <c r="S143" s="25" t="s">
        <v>89</v>
      </c>
      <c r="T143" s="25">
        <v>0</v>
      </c>
      <c r="U143" s="25">
        <v>0</v>
      </c>
      <c r="V143" s="25">
        <v>0</v>
      </c>
      <c r="W143" s="25">
        <v>0</v>
      </c>
      <c r="X143" s="25">
        <v>0</v>
      </c>
      <c r="Y143" s="25">
        <v>1</v>
      </c>
      <c r="Z143" s="25">
        <v>0</v>
      </c>
      <c r="AA143" s="25">
        <v>0</v>
      </c>
      <c r="AB143" s="25">
        <v>0</v>
      </c>
      <c r="AC143" s="25">
        <v>0</v>
      </c>
      <c r="AD143" s="25">
        <v>0</v>
      </c>
      <c r="AE143" s="25">
        <v>1</v>
      </c>
      <c r="AF143" s="25" t="s">
        <v>129</v>
      </c>
    </row>
    <row r="144" spans="1:32" s="25" customFormat="1" x14ac:dyDescent="0.25">
      <c r="A144" s="25">
        <v>4</v>
      </c>
      <c r="B144" s="25">
        <v>1990</v>
      </c>
      <c r="C144" s="25" t="s">
        <v>12</v>
      </c>
      <c r="D144" s="25" t="s">
        <v>13</v>
      </c>
      <c r="E144" s="25" t="s">
        <v>13</v>
      </c>
      <c r="F144" s="25" t="s">
        <v>13</v>
      </c>
      <c r="G144" s="25" t="s">
        <v>13</v>
      </c>
      <c r="H144" s="27" t="s">
        <v>13</v>
      </c>
      <c r="I144" s="27" t="s">
        <v>13</v>
      </c>
      <c r="J144" s="27" t="s">
        <v>13</v>
      </c>
      <c r="K144" s="27" t="s">
        <v>13</v>
      </c>
      <c r="L144" s="27" t="s">
        <v>13</v>
      </c>
      <c r="M144" s="27" t="s">
        <v>13</v>
      </c>
      <c r="N144" s="27" t="s">
        <v>13</v>
      </c>
      <c r="O144" s="27" t="s">
        <v>13</v>
      </c>
      <c r="P144" s="25">
        <v>176</v>
      </c>
      <c r="Q144" s="25">
        <v>235</v>
      </c>
      <c r="R144" s="25" t="s">
        <v>87</v>
      </c>
      <c r="S144" s="25" t="s">
        <v>89</v>
      </c>
      <c r="T144" s="25">
        <v>0</v>
      </c>
      <c r="U144" s="25">
        <v>0</v>
      </c>
      <c r="V144" s="25">
        <v>0</v>
      </c>
      <c r="W144" s="25">
        <v>0</v>
      </c>
      <c r="X144" s="25">
        <v>0</v>
      </c>
      <c r="Y144" s="25">
        <v>1</v>
      </c>
      <c r="Z144" s="25">
        <v>0</v>
      </c>
      <c r="AA144" s="25">
        <v>0</v>
      </c>
      <c r="AB144" s="25">
        <v>0</v>
      </c>
      <c r="AC144" s="25">
        <v>0</v>
      </c>
      <c r="AD144" s="25">
        <v>0</v>
      </c>
      <c r="AE144" s="25">
        <v>1</v>
      </c>
      <c r="AF144" s="25" t="s">
        <v>130</v>
      </c>
    </row>
    <row r="145" spans="1:32" x14ac:dyDescent="0.25">
      <c r="A145" s="25">
        <v>4</v>
      </c>
      <c r="B145" s="25">
        <v>2000</v>
      </c>
      <c r="C145" t="s">
        <v>12</v>
      </c>
      <c r="D145">
        <v>0</v>
      </c>
      <c r="E145">
        <v>0</v>
      </c>
      <c r="F145">
        <v>66</v>
      </c>
      <c r="G145">
        <v>32767</v>
      </c>
      <c r="H145" s="27">
        <v>0</v>
      </c>
      <c r="I145" s="27">
        <v>0</v>
      </c>
      <c r="J145" s="27">
        <v>0</v>
      </c>
      <c r="K145" s="27">
        <v>0</v>
      </c>
      <c r="L145" s="27">
        <v>0</v>
      </c>
      <c r="M145" s="27">
        <v>0</v>
      </c>
      <c r="N145" s="27">
        <v>0</v>
      </c>
      <c r="O145" s="27">
        <v>0</v>
      </c>
      <c r="P145">
        <v>176</v>
      </c>
      <c r="Q145">
        <v>235</v>
      </c>
      <c r="R145" t="s">
        <v>87</v>
      </c>
      <c r="S145" t="s">
        <v>89</v>
      </c>
      <c r="T145">
        <v>0</v>
      </c>
      <c r="U145">
        <v>0</v>
      </c>
      <c r="V145">
        <v>0</v>
      </c>
      <c r="W145">
        <v>0</v>
      </c>
      <c r="X145">
        <v>0</v>
      </c>
      <c r="Y145">
        <v>0</v>
      </c>
      <c r="Z145">
        <v>0</v>
      </c>
      <c r="AA145">
        <v>0</v>
      </c>
      <c r="AB145">
        <v>0</v>
      </c>
      <c r="AC145">
        <v>0</v>
      </c>
      <c r="AD145">
        <v>0</v>
      </c>
      <c r="AE145">
        <v>1</v>
      </c>
      <c r="AF145" t="s">
        <v>131</v>
      </c>
    </row>
    <row r="146" spans="1:32" x14ac:dyDescent="0.25">
      <c r="A146" s="25">
        <v>4</v>
      </c>
      <c r="B146" s="25">
        <v>2050</v>
      </c>
      <c r="C146" t="s">
        <v>12</v>
      </c>
      <c r="D146">
        <v>0</v>
      </c>
      <c r="E146">
        <v>0</v>
      </c>
      <c r="F146">
        <v>69</v>
      </c>
      <c r="G146">
        <v>32767</v>
      </c>
      <c r="H146" s="27">
        <v>0</v>
      </c>
      <c r="I146" s="27">
        <v>0</v>
      </c>
      <c r="J146" s="27">
        <v>0</v>
      </c>
      <c r="K146" s="27">
        <v>0</v>
      </c>
      <c r="L146" s="27">
        <v>0</v>
      </c>
      <c r="M146" s="27">
        <v>0</v>
      </c>
      <c r="N146" s="27">
        <v>0</v>
      </c>
      <c r="O146" s="27">
        <v>0</v>
      </c>
      <c r="P146">
        <v>176</v>
      </c>
      <c r="Q146">
        <v>235</v>
      </c>
      <c r="R146" t="s">
        <v>87</v>
      </c>
      <c r="S146" t="s">
        <v>89</v>
      </c>
      <c r="T146">
        <v>0</v>
      </c>
      <c r="U146">
        <v>0</v>
      </c>
      <c r="V146">
        <v>0</v>
      </c>
      <c r="W146">
        <v>0</v>
      </c>
      <c r="X146">
        <v>0</v>
      </c>
      <c r="Y146">
        <v>0</v>
      </c>
      <c r="Z146">
        <v>0</v>
      </c>
      <c r="AA146">
        <v>0</v>
      </c>
      <c r="AB146">
        <v>0</v>
      </c>
      <c r="AC146">
        <v>0</v>
      </c>
      <c r="AD146">
        <v>0</v>
      </c>
      <c r="AE146">
        <v>1</v>
      </c>
      <c r="AF146" t="s">
        <v>131</v>
      </c>
    </row>
    <row r="147" spans="1:32" x14ac:dyDescent="0.25">
      <c r="A147" s="25">
        <v>4</v>
      </c>
      <c r="B147" s="25">
        <v>2060</v>
      </c>
      <c r="C147" t="s">
        <v>12</v>
      </c>
      <c r="D147">
        <v>0</v>
      </c>
      <c r="E147">
        <v>0</v>
      </c>
      <c r="F147">
        <v>72</v>
      </c>
      <c r="G147">
        <v>56</v>
      </c>
      <c r="H147" s="27">
        <v>0</v>
      </c>
      <c r="I147" s="27">
        <v>0</v>
      </c>
      <c r="J147" s="27">
        <v>0</v>
      </c>
      <c r="K147" s="27">
        <v>0</v>
      </c>
      <c r="L147" s="27">
        <v>0</v>
      </c>
      <c r="M147" s="27">
        <v>0</v>
      </c>
      <c r="N147" s="27">
        <v>0</v>
      </c>
      <c r="O147" s="27">
        <v>1</v>
      </c>
      <c r="P147">
        <v>176</v>
      </c>
      <c r="Q147">
        <v>235</v>
      </c>
      <c r="R147" t="s">
        <v>87</v>
      </c>
      <c r="S147" t="s">
        <v>89</v>
      </c>
      <c r="T147">
        <v>0</v>
      </c>
      <c r="U147">
        <v>0</v>
      </c>
      <c r="V147">
        <v>0</v>
      </c>
      <c r="W147">
        <v>0</v>
      </c>
      <c r="X147">
        <v>0</v>
      </c>
      <c r="Y147">
        <v>0</v>
      </c>
      <c r="Z147">
        <v>0</v>
      </c>
      <c r="AA147">
        <v>1</v>
      </c>
      <c r="AB147">
        <v>0</v>
      </c>
      <c r="AC147">
        <v>0</v>
      </c>
      <c r="AD147">
        <v>0</v>
      </c>
      <c r="AE147">
        <v>1</v>
      </c>
      <c r="AF147" t="s">
        <v>131</v>
      </c>
    </row>
    <row r="148" spans="1:32" s="25" customFormat="1" x14ac:dyDescent="0.25">
      <c r="A148" s="25">
        <v>4</v>
      </c>
      <c r="B148" s="25">
        <v>2070</v>
      </c>
      <c r="C148" s="25" t="s">
        <v>12</v>
      </c>
      <c r="D148" s="25">
        <v>0</v>
      </c>
      <c r="E148" s="25">
        <v>0</v>
      </c>
      <c r="F148" s="25">
        <v>78</v>
      </c>
      <c r="G148" s="25">
        <v>78</v>
      </c>
      <c r="H148" s="27">
        <v>0</v>
      </c>
      <c r="I148" s="27">
        <v>0</v>
      </c>
      <c r="J148" s="27">
        <v>0</v>
      </c>
      <c r="K148" s="27">
        <v>0</v>
      </c>
      <c r="L148" s="27">
        <v>0</v>
      </c>
      <c r="M148" s="27">
        <v>0</v>
      </c>
      <c r="N148" s="27">
        <v>1</v>
      </c>
      <c r="O148" s="27">
        <v>0</v>
      </c>
      <c r="P148" s="25">
        <v>176</v>
      </c>
      <c r="Q148" s="25">
        <v>235</v>
      </c>
      <c r="R148" s="25" t="s">
        <v>87</v>
      </c>
      <c r="S148" s="25" t="s">
        <v>89</v>
      </c>
      <c r="T148" s="25">
        <v>0</v>
      </c>
      <c r="U148" s="25">
        <v>0</v>
      </c>
      <c r="V148" s="25">
        <v>0</v>
      </c>
      <c r="W148" s="25">
        <v>0</v>
      </c>
      <c r="X148" s="25">
        <v>0</v>
      </c>
      <c r="Y148" s="25">
        <v>0</v>
      </c>
      <c r="Z148" s="25">
        <v>1</v>
      </c>
      <c r="AA148" s="25">
        <v>0</v>
      </c>
      <c r="AB148" s="25">
        <v>0</v>
      </c>
      <c r="AC148" s="25">
        <v>0</v>
      </c>
      <c r="AD148" s="25">
        <v>0</v>
      </c>
      <c r="AE148" s="25">
        <v>1</v>
      </c>
      <c r="AF148" s="25" t="s">
        <v>132</v>
      </c>
    </row>
    <row r="149" spans="1:32" s="25" customFormat="1" x14ac:dyDescent="0.25">
      <c r="A149" s="25">
        <v>4</v>
      </c>
      <c r="B149" s="25">
        <v>2120</v>
      </c>
      <c r="C149" s="25" t="s">
        <v>12</v>
      </c>
      <c r="D149" s="25">
        <v>0</v>
      </c>
      <c r="E149" s="25">
        <v>0</v>
      </c>
      <c r="F149" s="25">
        <v>84</v>
      </c>
      <c r="G149" s="25">
        <v>100</v>
      </c>
      <c r="H149" s="27">
        <v>0</v>
      </c>
      <c r="I149" s="27">
        <v>0</v>
      </c>
      <c r="J149" s="27">
        <v>0</v>
      </c>
      <c r="K149" s="27">
        <v>0</v>
      </c>
      <c r="L149" s="27">
        <v>0</v>
      </c>
      <c r="M149" s="27">
        <v>1</v>
      </c>
      <c r="N149" s="27">
        <v>0</v>
      </c>
      <c r="O149" s="27">
        <v>0</v>
      </c>
      <c r="P149" s="25">
        <v>176</v>
      </c>
      <c r="Q149" s="25">
        <v>235</v>
      </c>
      <c r="R149" s="25" t="s">
        <v>87</v>
      </c>
      <c r="S149" s="25" t="s">
        <v>89</v>
      </c>
      <c r="T149" s="25">
        <v>0</v>
      </c>
      <c r="U149" s="25">
        <v>0</v>
      </c>
      <c r="V149" s="25">
        <v>0</v>
      </c>
      <c r="W149" s="25">
        <v>0</v>
      </c>
      <c r="X149" s="25">
        <v>0</v>
      </c>
      <c r="Y149" s="25">
        <v>1</v>
      </c>
      <c r="Z149" s="25">
        <v>0</v>
      </c>
      <c r="AA149" s="25">
        <v>0</v>
      </c>
      <c r="AB149" s="25">
        <v>0</v>
      </c>
      <c r="AC149" s="25">
        <v>0</v>
      </c>
      <c r="AD149" s="25">
        <v>0</v>
      </c>
      <c r="AE149" s="25">
        <v>1</v>
      </c>
      <c r="AF149" s="25" t="s">
        <v>131</v>
      </c>
    </row>
    <row r="150" spans="1:32" s="25" customFormat="1" x14ac:dyDescent="0.25">
      <c r="A150" s="25">
        <v>4</v>
      </c>
      <c r="B150" s="25">
        <v>2130</v>
      </c>
      <c r="C150" s="25" t="s">
        <v>12</v>
      </c>
      <c r="D150" s="25" t="s">
        <v>13</v>
      </c>
      <c r="E150" s="25" t="s">
        <v>13</v>
      </c>
      <c r="F150" s="25" t="s">
        <v>13</v>
      </c>
      <c r="G150" s="25" t="s">
        <v>13</v>
      </c>
      <c r="H150" s="27" t="s">
        <v>13</v>
      </c>
      <c r="I150" s="27" t="s">
        <v>13</v>
      </c>
      <c r="J150" s="27" t="s">
        <v>13</v>
      </c>
      <c r="K150" s="27" t="s">
        <v>13</v>
      </c>
      <c r="L150" s="27" t="s">
        <v>13</v>
      </c>
      <c r="M150" s="27" t="s">
        <v>13</v>
      </c>
      <c r="N150" s="27" t="s">
        <v>13</v>
      </c>
      <c r="O150" s="27" t="s">
        <v>13</v>
      </c>
      <c r="P150" s="25">
        <v>176</v>
      </c>
      <c r="Q150" s="25">
        <v>235</v>
      </c>
      <c r="R150" s="25" t="s">
        <v>87</v>
      </c>
      <c r="S150" s="25" t="s">
        <v>89</v>
      </c>
      <c r="T150" s="25">
        <v>0</v>
      </c>
      <c r="U150" s="25">
        <v>0</v>
      </c>
      <c r="V150" s="25">
        <v>0</v>
      </c>
      <c r="W150" s="25">
        <v>0</v>
      </c>
      <c r="X150" s="25">
        <v>0</v>
      </c>
      <c r="Y150" s="25">
        <v>1</v>
      </c>
      <c r="Z150" s="25">
        <v>0</v>
      </c>
      <c r="AA150" s="25">
        <v>0</v>
      </c>
      <c r="AB150" s="25">
        <v>0</v>
      </c>
      <c r="AC150" s="25">
        <v>0</v>
      </c>
      <c r="AD150" s="25">
        <v>0</v>
      </c>
      <c r="AE150" s="25">
        <v>1</v>
      </c>
      <c r="AF150" s="25" t="s">
        <v>128</v>
      </c>
    </row>
    <row r="151" spans="1:32" s="25" customFormat="1" x14ac:dyDescent="0.25">
      <c r="A151" s="25">
        <v>4</v>
      </c>
      <c r="B151" s="25">
        <v>2140</v>
      </c>
      <c r="C151" s="25" t="s">
        <v>12</v>
      </c>
      <c r="D151" s="25" t="s">
        <v>13</v>
      </c>
      <c r="E151" s="25" t="s">
        <v>13</v>
      </c>
      <c r="F151" s="25" t="s">
        <v>13</v>
      </c>
      <c r="G151" s="25" t="s">
        <v>13</v>
      </c>
      <c r="H151" s="27" t="s">
        <v>13</v>
      </c>
      <c r="I151" s="27" t="s">
        <v>13</v>
      </c>
      <c r="J151" s="27" t="s">
        <v>13</v>
      </c>
      <c r="K151" s="27" t="s">
        <v>13</v>
      </c>
      <c r="L151" s="27" t="s">
        <v>13</v>
      </c>
      <c r="M151" s="27" t="s">
        <v>13</v>
      </c>
      <c r="N151" s="27" t="s">
        <v>13</v>
      </c>
      <c r="O151" s="27" t="s">
        <v>13</v>
      </c>
      <c r="P151" s="25">
        <v>176</v>
      </c>
      <c r="Q151" s="25">
        <v>235</v>
      </c>
      <c r="R151" s="25" t="s">
        <v>87</v>
      </c>
      <c r="S151" s="25" t="s">
        <v>89</v>
      </c>
      <c r="T151" s="25">
        <v>0</v>
      </c>
      <c r="U151" s="25">
        <v>0</v>
      </c>
      <c r="V151" s="25">
        <v>0</v>
      </c>
      <c r="W151" s="25">
        <v>0</v>
      </c>
      <c r="X151" s="25">
        <v>0</v>
      </c>
      <c r="Y151" s="25">
        <v>1</v>
      </c>
      <c r="Z151" s="25">
        <v>0</v>
      </c>
      <c r="AA151" s="25">
        <v>0</v>
      </c>
      <c r="AB151" s="25">
        <v>0</v>
      </c>
      <c r="AC151" s="25">
        <v>0</v>
      </c>
      <c r="AD151" s="25">
        <v>0</v>
      </c>
      <c r="AE151" s="25">
        <v>1</v>
      </c>
      <c r="AF151" s="25" t="s">
        <v>129</v>
      </c>
    </row>
    <row r="152" spans="1:32" x14ac:dyDescent="0.25">
      <c r="A152" s="25">
        <v>4</v>
      </c>
      <c r="B152" s="25">
        <v>2150</v>
      </c>
      <c r="C152" t="s">
        <v>12</v>
      </c>
      <c r="D152" t="s">
        <v>13</v>
      </c>
      <c r="E152" t="s">
        <v>13</v>
      </c>
      <c r="F152" t="s">
        <v>13</v>
      </c>
      <c r="G152" t="s">
        <v>13</v>
      </c>
      <c r="H152" s="27" t="s">
        <v>13</v>
      </c>
      <c r="I152" s="27" t="s">
        <v>13</v>
      </c>
      <c r="J152" s="27" t="s">
        <v>13</v>
      </c>
      <c r="K152" s="27" t="s">
        <v>13</v>
      </c>
      <c r="L152" s="27" t="s">
        <v>13</v>
      </c>
      <c r="M152" s="27" t="s">
        <v>13</v>
      </c>
      <c r="N152" s="27" t="s">
        <v>13</v>
      </c>
      <c r="O152" s="27" t="s">
        <v>13</v>
      </c>
      <c r="P152">
        <v>176</v>
      </c>
      <c r="Q152">
        <v>235</v>
      </c>
      <c r="R152" t="s">
        <v>87</v>
      </c>
      <c r="S152" t="s">
        <v>89</v>
      </c>
      <c r="T152">
        <v>0</v>
      </c>
      <c r="U152">
        <v>0</v>
      </c>
      <c r="V152">
        <v>0</v>
      </c>
      <c r="W152">
        <v>0</v>
      </c>
      <c r="X152">
        <v>0</v>
      </c>
      <c r="Y152">
        <v>1</v>
      </c>
      <c r="Z152">
        <v>0</v>
      </c>
      <c r="AA152">
        <v>0</v>
      </c>
      <c r="AB152">
        <v>0</v>
      </c>
      <c r="AC152">
        <v>0</v>
      </c>
      <c r="AD152">
        <v>0</v>
      </c>
      <c r="AE152">
        <v>1</v>
      </c>
      <c r="AF152" t="s">
        <v>130</v>
      </c>
    </row>
    <row r="153" spans="1:32" x14ac:dyDescent="0.25">
      <c r="A153" s="25">
        <v>4</v>
      </c>
      <c r="B153" s="25">
        <v>2160</v>
      </c>
      <c r="C153" t="s">
        <v>12</v>
      </c>
      <c r="D153">
        <v>0</v>
      </c>
      <c r="E153">
        <v>0</v>
      </c>
      <c r="F153">
        <v>66</v>
      </c>
      <c r="G153">
        <v>32767</v>
      </c>
      <c r="H153" s="27">
        <v>0</v>
      </c>
      <c r="I153" s="27">
        <v>0</v>
      </c>
      <c r="J153" s="27">
        <v>0</v>
      </c>
      <c r="K153" s="27">
        <v>0</v>
      </c>
      <c r="L153" s="27">
        <v>0</v>
      </c>
      <c r="M153" s="27">
        <v>0</v>
      </c>
      <c r="N153" s="27">
        <v>0</v>
      </c>
      <c r="O153" s="27">
        <v>0</v>
      </c>
      <c r="P153">
        <v>176</v>
      </c>
      <c r="Q153">
        <v>235</v>
      </c>
      <c r="R153" t="s">
        <v>87</v>
      </c>
      <c r="S153" t="s">
        <v>89</v>
      </c>
      <c r="T153">
        <v>0</v>
      </c>
      <c r="U153">
        <v>0</v>
      </c>
      <c r="V153">
        <v>0</v>
      </c>
      <c r="W153">
        <v>0</v>
      </c>
      <c r="X153">
        <v>0</v>
      </c>
      <c r="Y153">
        <v>0</v>
      </c>
      <c r="Z153">
        <v>0</v>
      </c>
      <c r="AA153">
        <v>0</v>
      </c>
      <c r="AB153">
        <v>0</v>
      </c>
      <c r="AC153">
        <v>0</v>
      </c>
      <c r="AD153">
        <v>0</v>
      </c>
      <c r="AE153">
        <v>1</v>
      </c>
      <c r="AF153" t="s">
        <v>131</v>
      </c>
    </row>
    <row r="154" spans="1:32" x14ac:dyDescent="0.25">
      <c r="A154" s="25">
        <v>4</v>
      </c>
      <c r="B154" s="25">
        <v>2210</v>
      </c>
      <c r="C154" t="s">
        <v>12</v>
      </c>
      <c r="D154">
        <v>0</v>
      </c>
      <c r="E154">
        <v>0</v>
      </c>
      <c r="F154">
        <v>69</v>
      </c>
      <c r="G154">
        <v>32767</v>
      </c>
      <c r="H154" s="27">
        <v>0</v>
      </c>
      <c r="I154" s="27">
        <v>0</v>
      </c>
      <c r="J154" s="27">
        <v>0</v>
      </c>
      <c r="K154" s="27">
        <v>0</v>
      </c>
      <c r="L154" s="27">
        <v>0</v>
      </c>
      <c r="M154" s="27">
        <v>0</v>
      </c>
      <c r="N154" s="27">
        <v>0</v>
      </c>
      <c r="O154" s="27">
        <v>0</v>
      </c>
      <c r="P154">
        <v>176</v>
      </c>
      <c r="Q154">
        <v>235</v>
      </c>
      <c r="R154" t="s">
        <v>87</v>
      </c>
      <c r="S154" t="s">
        <v>89</v>
      </c>
      <c r="T154">
        <v>0</v>
      </c>
      <c r="U154">
        <v>0</v>
      </c>
      <c r="V154">
        <v>0</v>
      </c>
      <c r="W154">
        <v>0</v>
      </c>
      <c r="X154">
        <v>0</v>
      </c>
      <c r="Y154">
        <v>0</v>
      </c>
      <c r="Z154">
        <v>0</v>
      </c>
      <c r="AA154">
        <v>0</v>
      </c>
      <c r="AB154">
        <v>0</v>
      </c>
      <c r="AC154">
        <v>0</v>
      </c>
      <c r="AD154">
        <v>0</v>
      </c>
      <c r="AE154">
        <v>1</v>
      </c>
      <c r="AF154" t="s">
        <v>131</v>
      </c>
    </row>
    <row r="155" spans="1:32" x14ac:dyDescent="0.25">
      <c r="A155" s="25">
        <v>4</v>
      </c>
      <c r="B155" s="25">
        <v>2220</v>
      </c>
      <c r="C155" t="s">
        <v>12</v>
      </c>
      <c r="D155">
        <v>0</v>
      </c>
      <c r="E155">
        <v>0</v>
      </c>
      <c r="F155">
        <v>72</v>
      </c>
      <c r="G155">
        <v>56</v>
      </c>
      <c r="H155" s="27">
        <v>0</v>
      </c>
      <c r="I155" s="27">
        <v>0</v>
      </c>
      <c r="J155" s="27">
        <v>0</v>
      </c>
      <c r="K155" s="27">
        <v>0</v>
      </c>
      <c r="L155" s="27">
        <v>0</v>
      </c>
      <c r="M155" s="27">
        <v>0</v>
      </c>
      <c r="N155" s="27">
        <v>0</v>
      </c>
      <c r="O155" s="27">
        <v>1</v>
      </c>
      <c r="P155">
        <v>176</v>
      </c>
      <c r="Q155">
        <v>235</v>
      </c>
      <c r="R155" t="s">
        <v>87</v>
      </c>
      <c r="S155" t="s">
        <v>89</v>
      </c>
      <c r="T155">
        <v>0</v>
      </c>
      <c r="U155">
        <v>0</v>
      </c>
      <c r="V155">
        <v>0</v>
      </c>
      <c r="W155">
        <v>0</v>
      </c>
      <c r="X155">
        <v>0</v>
      </c>
      <c r="Y155">
        <v>0</v>
      </c>
      <c r="Z155">
        <v>0</v>
      </c>
      <c r="AA155">
        <v>1</v>
      </c>
      <c r="AB155">
        <v>0</v>
      </c>
      <c r="AC155">
        <v>0</v>
      </c>
      <c r="AD155">
        <v>0</v>
      </c>
      <c r="AE155">
        <v>1</v>
      </c>
      <c r="AF155" t="s">
        <v>131</v>
      </c>
    </row>
    <row r="156" spans="1:32" x14ac:dyDescent="0.25">
      <c r="A156" s="25">
        <v>4</v>
      </c>
      <c r="B156" s="25">
        <v>2230</v>
      </c>
      <c r="C156" t="s">
        <v>12</v>
      </c>
      <c r="D156">
        <v>0</v>
      </c>
      <c r="E156">
        <v>0</v>
      </c>
      <c r="F156">
        <v>78</v>
      </c>
      <c r="G156">
        <v>78</v>
      </c>
      <c r="H156" s="27">
        <v>0</v>
      </c>
      <c r="I156" s="27">
        <v>0</v>
      </c>
      <c r="J156" s="27">
        <v>0</v>
      </c>
      <c r="K156" s="27">
        <v>0</v>
      </c>
      <c r="L156" s="27">
        <v>0</v>
      </c>
      <c r="M156" s="27">
        <v>0</v>
      </c>
      <c r="N156" s="27">
        <v>1</v>
      </c>
      <c r="O156" s="27">
        <v>0</v>
      </c>
      <c r="P156">
        <v>176</v>
      </c>
      <c r="Q156">
        <v>235</v>
      </c>
      <c r="R156" t="s">
        <v>87</v>
      </c>
      <c r="S156" t="s">
        <v>89</v>
      </c>
      <c r="T156">
        <v>0</v>
      </c>
      <c r="U156">
        <v>0</v>
      </c>
      <c r="V156">
        <v>0</v>
      </c>
      <c r="W156">
        <v>0</v>
      </c>
      <c r="X156">
        <v>0</v>
      </c>
      <c r="Y156">
        <v>0</v>
      </c>
      <c r="Z156">
        <v>1</v>
      </c>
      <c r="AA156">
        <v>0</v>
      </c>
      <c r="AB156">
        <v>0</v>
      </c>
      <c r="AC156">
        <v>0</v>
      </c>
      <c r="AD156">
        <v>0</v>
      </c>
      <c r="AE156">
        <v>1</v>
      </c>
      <c r="AF156" t="s">
        <v>132</v>
      </c>
    </row>
    <row r="157" spans="1:32" s="25" customFormat="1" x14ac:dyDescent="0.25">
      <c r="A157" s="25">
        <v>4</v>
      </c>
      <c r="B157" s="25">
        <v>2280</v>
      </c>
      <c r="C157" s="25" t="s">
        <v>12</v>
      </c>
      <c r="D157" s="25">
        <v>0</v>
      </c>
      <c r="E157" s="25">
        <v>0</v>
      </c>
      <c r="F157" s="25">
        <v>84</v>
      </c>
      <c r="G157" s="25">
        <v>100</v>
      </c>
      <c r="H157" s="27">
        <v>0</v>
      </c>
      <c r="I157" s="27">
        <v>0</v>
      </c>
      <c r="J157" s="27">
        <v>0</v>
      </c>
      <c r="K157" s="27">
        <v>0</v>
      </c>
      <c r="L157" s="27">
        <v>0</v>
      </c>
      <c r="M157" s="27">
        <v>1</v>
      </c>
      <c r="N157" s="27">
        <v>0</v>
      </c>
      <c r="O157" s="27">
        <v>0</v>
      </c>
      <c r="P157" s="25">
        <v>176</v>
      </c>
      <c r="Q157" s="25">
        <v>235</v>
      </c>
      <c r="R157" s="25" t="s">
        <v>87</v>
      </c>
      <c r="S157" s="25" t="s">
        <v>89</v>
      </c>
      <c r="T157" s="25">
        <v>0</v>
      </c>
      <c r="U157" s="25">
        <v>0</v>
      </c>
      <c r="V157" s="25">
        <v>0</v>
      </c>
      <c r="W157" s="25">
        <v>0</v>
      </c>
      <c r="X157" s="25">
        <v>0</v>
      </c>
      <c r="Y157" s="25">
        <v>1</v>
      </c>
      <c r="Z157" s="25">
        <v>0</v>
      </c>
      <c r="AA157" s="25">
        <v>0</v>
      </c>
      <c r="AB157" s="25">
        <v>0</v>
      </c>
      <c r="AC157" s="25">
        <v>0</v>
      </c>
      <c r="AD157" s="25">
        <v>0</v>
      </c>
      <c r="AE157" s="25">
        <v>1</v>
      </c>
      <c r="AF157" s="25" t="s">
        <v>131</v>
      </c>
    </row>
    <row r="158" spans="1:32" s="25" customFormat="1" x14ac:dyDescent="0.25">
      <c r="A158" s="25">
        <v>4</v>
      </c>
      <c r="B158" s="25">
        <v>2290</v>
      </c>
      <c r="C158" s="25" t="s">
        <v>12</v>
      </c>
      <c r="D158" s="25" t="s">
        <v>13</v>
      </c>
      <c r="E158" s="25" t="s">
        <v>13</v>
      </c>
      <c r="F158" s="25" t="s">
        <v>13</v>
      </c>
      <c r="G158" s="25" t="s">
        <v>13</v>
      </c>
      <c r="H158" s="27" t="s">
        <v>13</v>
      </c>
      <c r="I158" s="27" t="s">
        <v>13</v>
      </c>
      <c r="J158" s="27" t="s">
        <v>13</v>
      </c>
      <c r="K158" s="27" t="s">
        <v>13</v>
      </c>
      <c r="L158" s="27" t="s">
        <v>13</v>
      </c>
      <c r="M158" s="27" t="s">
        <v>13</v>
      </c>
      <c r="N158" s="27" t="s">
        <v>13</v>
      </c>
      <c r="O158" s="27" t="s">
        <v>13</v>
      </c>
      <c r="P158" s="25">
        <v>176</v>
      </c>
      <c r="Q158" s="25">
        <v>235</v>
      </c>
      <c r="R158" s="25" t="s">
        <v>87</v>
      </c>
      <c r="S158" s="25" t="s">
        <v>89</v>
      </c>
      <c r="T158" s="25">
        <v>0</v>
      </c>
      <c r="U158" s="25">
        <v>0</v>
      </c>
      <c r="V158" s="25">
        <v>0</v>
      </c>
      <c r="W158" s="25">
        <v>0</v>
      </c>
      <c r="X158" s="25">
        <v>0</v>
      </c>
      <c r="Y158" s="25">
        <v>1</v>
      </c>
      <c r="Z158" s="25">
        <v>0</v>
      </c>
      <c r="AA158" s="25">
        <v>0</v>
      </c>
      <c r="AB158" s="25">
        <v>0</v>
      </c>
      <c r="AC158" s="25">
        <v>0</v>
      </c>
      <c r="AD158" s="25">
        <v>0</v>
      </c>
      <c r="AE158" s="25">
        <v>1</v>
      </c>
      <c r="AF158" s="25" t="s">
        <v>128</v>
      </c>
    </row>
    <row r="159" spans="1:32" s="25" customFormat="1" x14ac:dyDescent="0.25">
      <c r="A159" s="25">
        <v>4</v>
      </c>
      <c r="B159" s="25">
        <v>2300</v>
      </c>
      <c r="C159" s="25" t="s">
        <v>12</v>
      </c>
      <c r="D159" s="25" t="s">
        <v>13</v>
      </c>
      <c r="E159" s="25" t="s">
        <v>13</v>
      </c>
      <c r="F159" s="25" t="s">
        <v>13</v>
      </c>
      <c r="G159" s="25" t="s">
        <v>13</v>
      </c>
      <c r="H159" s="27" t="s">
        <v>13</v>
      </c>
      <c r="I159" s="27" t="s">
        <v>13</v>
      </c>
      <c r="J159" s="27" t="s">
        <v>13</v>
      </c>
      <c r="K159" s="27" t="s">
        <v>13</v>
      </c>
      <c r="L159" s="27" t="s">
        <v>13</v>
      </c>
      <c r="M159" s="27" t="s">
        <v>13</v>
      </c>
      <c r="N159" s="27" t="s">
        <v>13</v>
      </c>
      <c r="O159" s="27" t="s">
        <v>13</v>
      </c>
      <c r="P159" s="25">
        <v>176</v>
      </c>
      <c r="Q159" s="25">
        <v>235</v>
      </c>
      <c r="R159" s="25" t="s">
        <v>87</v>
      </c>
      <c r="S159" s="25" t="s">
        <v>89</v>
      </c>
      <c r="T159" s="25">
        <v>0</v>
      </c>
      <c r="U159" s="25">
        <v>0</v>
      </c>
      <c r="V159" s="25">
        <v>0</v>
      </c>
      <c r="W159" s="25">
        <v>0</v>
      </c>
      <c r="X159" s="25">
        <v>0</v>
      </c>
      <c r="Y159" s="25">
        <v>1</v>
      </c>
      <c r="Z159" s="25">
        <v>0</v>
      </c>
      <c r="AA159" s="25">
        <v>0</v>
      </c>
      <c r="AB159" s="25">
        <v>0</v>
      </c>
      <c r="AC159" s="25">
        <v>0</v>
      </c>
      <c r="AD159" s="25">
        <v>0</v>
      </c>
      <c r="AE159" s="25">
        <v>1</v>
      </c>
      <c r="AF159" s="25" t="s">
        <v>129</v>
      </c>
    </row>
    <row r="160" spans="1:32" s="25" customFormat="1" x14ac:dyDescent="0.25">
      <c r="A160" s="25">
        <v>4</v>
      </c>
      <c r="B160" s="25">
        <v>2310</v>
      </c>
      <c r="C160" s="25" t="s">
        <v>12</v>
      </c>
      <c r="D160" s="25" t="s">
        <v>13</v>
      </c>
      <c r="E160" s="25" t="s">
        <v>13</v>
      </c>
      <c r="F160" s="25" t="s">
        <v>13</v>
      </c>
      <c r="G160" s="25" t="s">
        <v>13</v>
      </c>
      <c r="H160" s="27" t="s">
        <v>13</v>
      </c>
      <c r="I160" s="27" t="s">
        <v>13</v>
      </c>
      <c r="J160" s="27" t="s">
        <v>13</v>
      </c>
      <c r="K160" s="27" t="s">
        <v>13</v>
      </c>
      <c r="L160" s="27" t="s">
        <v>13</v>
      </c>
      <c r="M160" s="27" t="s">
        <v>13</v>
      </c>
      <c r="N160" s="27" t="s">
        <v>13</v>
      </c>
      <c r="O160" s="27" t="s">
        <v>13</v>
      </c>
      <c r="P160" s="25">
        <v>176</v>
      </c>
      <c r="Q160" s="25">
        <v>235</v>
      </c>
      <c r="R160" s="25" t="s">
        <v>87</v>
      </c>
      <c r="S160" s="25" t="s">
        <v>89</v>
      </c>
      <c r="T160" s="25">
        <v>0</v>
      </c>
      <c r="U160" s="25">
        <v>0</v>
      </c>
      <c r="V160" s="25">
        <v>0</v>
      </c>
      <c r="W160" s="25">
        <v>0</v>
      </c>
      <c r="X160" s="25">
        <v>0</v>
      </c>
      <c r="Y160" s="25">
        <v>1</v>
      </c>
      <c r="Z160" s="25">
        <v>0</v>
      </c>
      <c r="AA160" s="25">
        <v>0</v>
      </c>
      <c r="AB160" s="25">
        <v>0</v>
      </c>
      <c r="AC160" s="25">
        <v>0</v>
      </c>
      <c r="AD160" s="25">
        <v>0</v>
      </c>
      <c r="AE160" s="25">
        <v>1</v>
      </c>
      <c r="AF160" s="25" t="s">
        <v>130</v>
      </c>
    </row>
    <row r="161" spans="1:32" x14ac:dyDescent="0.25">
      <c r="A161" s="25">
        <v>4</v>
      </c>
      <c r="B161" s="25">
        <v>2320</v>
      </c>
      <c r="C161" t="s">
        <v>12</v>
      </c>
      <c r="D161">
        <v>0</v>
      </c>
      <c r="E161">
        <v>0</v>
      </c>
      <c r="F161">
        <v>66</v>
      </c>
      <c r="G161">
        <v>32767</v>
      </c>
      <c r="H161" s="27">
        <v>0</v>
      </c>
      <c r="I161" s="27">
        <v>0</v>
      </c>
      <c r="J161" s="27">
        <v>0</v>
      </c>
      <c r="K161" s="27">
        <v>0</v>
      </c>
      <c r="L161" s="27">
        <v>0</v>
      </c>
      <c r="M161" s="27">
        <v>0</v>
      </c>
      <c r="N161" s="27">
        <v>0</v>
      </c>
      <c r="O161" s="27">
        <v>0</v>
      </c>
      <c r="P161">
        <v>176</v>
      </c>
      <c r="Q161">
        <v>235</v>
      </c>
      <c r="R161" t="s">
        <v>87</v>
      </c>
      <c r="S161" t="s">
        <v>89</v>
      </c>
      <c r="T161">
        <v>0</v>
      </c>
      <c r="U161">
        <v>0</v>
      </c>
      <c r="V161">
        <v>0</v>
      </c>
      <c r="W161">
        <v>0</v>
      </c>
      <c r="X161">
        <v>0</v>
      </c>
      <c r="Y161">
        <v>0</v>
      </c>
      <c r="Z161">
        <v>0</v>
      </c>
      <c r="AA161">
        <v>0</v>
      </c>
      <c r="AB161">
        <v>0</v>
      </c>
      <c r="AC161">
        <v>0</v>
      </c>
      <c r="AD161">
        <v>0</v>
      </c>
      <c r="AE161">
        <v>1</v>
      </c>
      <c r="AF161" t="s">
        <v>131</v>
      </c>
    </row>
    <row r="162" spans="1:32" x14ac:dyDescent="0.25">
      <c r="A162" s="25">
        <v>4</v>
      </c>
      <c r="B162" s="25">
        <v>2370</v>
      </c>
      <c r="C162" t="s">
        <v>12</v>
      </c>
      <c r="D162">
        <v>0</v>
      </c>
      <c r="E162">
        <v>0</v>
      </c>
      <c r="F162">
        <v>69</v>
      </c>
      <c r="G162">
        <v>32767</v>
      </c>
      <c r="H162" s="27">
        <v>0</v>
      </c>
      <c r="I162" s="27">
        <v>0</v>
      </c>
      <c r="J162" s="27">
        <v>0</v>
      </c>
      <c r="K162" s="27">
        <v>0</v>
      </c>
      <c r="L162" s="27">
        <v>0</v>
      </c>
      <c r="M162" s="27">
        <v>0</v>
      </c>
      <c r="N162" s="27">
        <v>0</v>
      </c>
      <c r="O162" s="27">
        <v>0</v>
      </c>
      <c r="P162">
        <v>176</v>
      </c>
      <c r="Q162">
        <v>235</v>
      </c>
      <c r="R162" t="s">
        <v>87</v>
      </c>
      <c r="S162" t="s">
        <v>89</v>
      </c>
      <c r="T162">
        <v>0</v>
      </c>
      <c r="U162">
        <v>0</v>
      </c>
      <c r="V162">
        <v>0</v>
      </c>
      <c r="W162">
        <v>0</v>
      </c>
      <c r="X162">
        <v>0</v>
      </c>
      <c r="Y162">
        <v>0</v>
      </c>
      <c r="Z162">
        <v>0</v>
      </c>
      <c r="AA162">
        <v>0</v>
      </c>
      <c r="AB162">
        <v>0</v>
      </c>
      <c r="AC162">
        <v>0</v>
      </c>
      <c r="AD162">
        <v>0</v>
      </c>
      <c r="AE162">
        <v>1</v>
      </c>
      <c r="AF162" t="s">
        <v>131</v>
      </c>
    </row>
    <row r="163" spans="1:32" x14ac:dyDescent="0.25">
      <c r="A163" s="25">
        <v>4</v>
      </c>
      <c r="B163" s="25">
        <v>2380</v>
      </c>
      <c r="C163" t="s">
        <v>12</v>
      </c>
      <c r="D163">
        <v>0</v>
      </c>
      <c r="E163">
        <v>0</v>
      </c>
      <c r="F163">
        <v>72</v>
      </c>
      <c r="G163">
        <v>56</v>
      </c>
      <c r="H163" s="27">
        <v>0</v>
      </c>
      <c r="I163" s="27">
        <v>0</v>
      </c>
      <c r="J163" s="27">
        <v>0</v>
      </c>
      <c r="K163" s="27">
        <v>0</v>
      </c>
      <c r="L163" s="27">
        <v>0</v>
      </c>
      <c r="M163" s="27">
        <v>0</v>
      </c>
      <c r="N163" s="27">
        <v>0</v>
      </c>
      <c r="O163" s="27">
        <v>1</v>
      </c>
      <c r="P163">
        <v>176</v>
      </c>
      <c r="Q163">
        <v>235</v>
      </c>
      <c r="R163" t="s">
        <v>87</v>
      </c>
      <c r="S163" t="s">
        <v>89</v>
      </c>
      <c r="T163">
        <v>0</v>
      </c>
      <c r="U163">
        <v>0</v>
      </c>
      <c r="V163">
        <v>0</v>
      </c>
      <c r="W163">
        <v>0</v>
      </c>
      <c r="X163">
        <v>0</v>
      </c>
      <c r="Y163">
        <v>0</v>
      </c>
      <c r="Z163">
        <v>0</v>
      </c>
      <c r="AA163">
        <v>1</v>
      </c>
      <c r="AB163">
        <v>0</v>
      </c>
      <c r="AC163">
        <v>0</v>
      </c>
      <c r="AD163">
        <v>0</v>
      </c>
      <c r="AE163">
        <v>1</v>
      </c>
      <c r="AF163" t="s">
        <v>131</v>
      </c>
    </row>
    <row r="164" spans="1:32" s="25" customFormat="1" x14ac:dyDescent="0.25">
      <c r="A164" s="25">
        <v>4</v>
      </c>
      <c r="B164" s="25">
        <v>2390</v>
      </c>
      <c r="C164" s="25" t="s">
        <v>12</v>
      </c>
      <c r="D164" s="25">
        <v>0</v>
      </c>
      <c r="E164" s="25">
        <v>0</v>
      </c>
      <c r="F164" s="25">
        <v>78</v>
      </c>
      <c r="G164" s="25">
        <v>78</v>
      </c>
      <c r="H164" s="27">
        <v>0</v>
      </c>
      <c r="I164" s="27">
        <v>0</v>
      </c>
      <c r="J164" s="27">
        <v>0</v>
      </c>
      <c r="K164" s="27">
        <v>0</v>
      </c>
      <c r="L164" s="27">
        <v>0</v>
      </c>
      <c r="M164" s="27">
        <v>0</v>
      </c>
      <c r="N164" s="27">
        <v>1</v>
      </c>
      <c r="O164" s="27">
        <v>0</v>
      </c>
      <c r="P164" s="25">
        <v>176</v>
      </c>
      <c r="Q164" s="25">
        <v>235</v>
      </c>
      <c r="R164" s="25" t="s">
        <v>87</v>
      </c>
      <c r="S164" s="25" t="s">
        <v>89</v>
      </c>
      <c r="T164" s="25">
        <v>0</v>
      </c>
      <c r="U164" s="25">
        <v>0</v>
      </c>
      <c r="V164" s="25">
        <v>0</v>
      </c>
      <c r="W164" s="25">
        <v>0</v>
      </c>
      <c r="X164" s="25">
        <v>0</v>
      </c>
      <c r="Y164" s="25">
        <v>0</v>
      </c>
      <c r="Z164" s="25">
        <v>1</v>
      </c>
      <c r="AA164" s="25">
        <v>0</v>
      </c>
      <c r="AB164" s="25">
        <v>0</v>
      </c>
      <c r="AC164" s="25">
        <v>0</v>
      </c>
      <c r="AD164" s="25">
        <v>0</v>
      </c>
      <c r="AE164" s="25">
        <v>1</v>
      </c>
      <c r="AF164" s="25" t="s">
        <v>132</v>
      </c>
    </row>
    <row r="165" spans="1:32" s="25" customFormat="1" x14ac:dyDescent="0.25">
      <c r="A165" s="25">
        <v>4</v>
      </c>
      <c r="B165" s="25">
        <v>2440</v>
      </c>
      <c r="C165" s="25" t="s">
        <v>12</v>
      </c>
      <c r="D165" s="25">
        <v>0</v>
      </c>
      <c r="E165" s="25">
        <v>0</v>
      </c>
      <c r="F165" s="25">
        <v>84</v>
      </c>
      <c r="G165" s="25">
        <v>100</v>
      </c>
      <c r="H165" s="27">
        <v>0</v>
      </c>
      <c r="I165" s="27">
        <v>0</v>
      </c>
      <c r="J165" s="27">
        <v>0</v>
      </c>
      <c r="K165" s="27">
        <v>0</v>
      </c>
      <c r="L165" s="27">
        <v>0</v>
      </c>
      <c r="M165" s="27">
        <v>1</v>
      </c>
      <c r="N165" s="27">
        <v>0</v>
      </c>
      <c r="O165" s="27">
        <v>0</v>
      </c>
      <c r="P165" s="25">
        <v>176</v>
      </c>
      <c r="Q165" s="25">
        <v>235</v>
      </c>
      <c r="R165" s="25" t="s">
        <v>87</v>
      </c>
      <c r="S165" s="25" t="s">
        <v>89</v>
      </c>
      <c r="T165" s="25">
        <v>0</v>
      </c>
      <c r="U165" s="25">
        <v>0</v>
      </c>
      <c r="V165" s="25">
        <v>0</v>
      </c>
      <c r="W165" s="25">
        <v>0</v>
      </c>
      <c r="X165" s="25">
        <v>0</v>
      </c>
      <c r="Y165" s="25">
        <v>1</v>
      </c>
      <c r="Z165" s="25">
        <v>0</v>
      </c>
      <c r="AA165" s="25">
        <v>0</v>
      </c>
      <c r="AB165" s="25">
        <v>0</v>
      </c>
      <c r="AC165" s="25">
        <v>0</v>
      </c>
      <c r="AD165" s="25">
        <v>0</v>
      </c>
      <c r="AE165" s="25">
        <v>1</v>
      </c>
      <c r="AF165" s="25" t="s">
        <v>131</v>
      </c>
    </row>
    <row r="166" spans="1:32" s="25" customFormat="1" x14ac:dyDescent="0.25">
      <c r="A166" s="25">
        <v>4</v>
      </c>
      <c r="B166" s="25">
        <v>2450</v>
      </c>
      <c r="C166" s="25" t="s">
        <v>12</v>
      </c>
      <c r="D166" s="25" t="s">
        <v>13</v>
      </c>
      <c r="E166" s="25" t="s">
        <v>13</v>
      </c>
      <c r="F166" s="25" t="s">
        <v>13</v>
      </c>
      <c r="G166" s="25" t="s">
        <v>13</v>
      </c>
      <c r="H166" s="27" t="s">
        <v>13</v>
      </c>
      <c r="I166" s="27" t="s">
        <v>13</v>
      </c>
      <c r="J166" s="27" t="s">
        <v>13</v>
      </c>
      <c r="K166" s="27" t="s">
        <v>13</v>
      </c>
      <c r="L166" s="27" t="s">
        <v>13</v>
      </c>
      <c r="M166" s="27" t="s">
        <v>13</v>
      </c>
      <c r="N166" s="27" t="s">
        <v>13</v>
      </c>
      <c r="O166" s="27" t="s">
        <v>13</v>
      </c>
      <c r="P166" s="25">
        <v>176</v>
      </c>
      <c r="Q166" s="25">
        <v>235</v>
      </c>
      <c r="R166" s="25" t="s">
        <v>87</v>
      </c>
      <c r="S166" s="25" t="s">
        <v>89</v>
      </c>
      <c r="T166" s="25">
        <v>0</v>
      </c>
      <c r="U166" s="25">
        <v>0</v>
      </c>
      <c r="V166" s="25">
        <v>0</v>
      </c>
      <c r="W166" s="25">
        <v>0</v>
      </c>
      <c r="X166" s="25">
        <v>0</v>
      </c>
      <c r="Y166" s="25">
        <v>1</v>
      </c>
      <c r="Z166" s="25">
        <v>0</v>
      </c>
      <c r="AA166" s="25">
        <v>0</v>
      </c>
      <c r="AB166" s="25">
        <v>0</v>
      </c>
      <c r="AC166" s="25">
        <v>0</v>
      </c>
      <c r="AD166" s="25">
        <v>0</v>
      </c>
      <c r="AE166" s="25">
        <v>1</v>
      </c>
      <c r="AF166" s="25" t="s">
        <v>128</v>
      </c>
    </row>
    <row r="167" spans="1:32" s="25" customFormat="1" x14ac:dyDescent="0.25">
      <c r="A167" s="25">
        <v>4</v>
      </c>
      <c r="B167" s="25">
        <v>2460</v>
      </c>
      <c r="C167" s="25" t="s">
        <v>12</v>
      </c>
      <c r="D167" s="25" t="s">
        <v>13</v>
      </c>
      <c r="E167" s="25" t="s">
        <v>13</v>
      </c>
      <c r="F167" s="25" t="s">
        <v>13</v>
      </c>
      <c r="G167" s="25" t="s">
        <v>13</v>
      </c>
      <c r="H167" s="27" t="s">
        <v>13</v>
      </c>
      <c r="I167" s="27" t="s">
        <v>13</v>
      </c>
      <c r="J167" s="27" t="s">
        <v>13</v>
      </c>
      <c r="K167" s="27" t="s">
        <v>13</v>
      </c>
      <c r="L167" s="27" t="s">
        <v>13</v>
      </c>
      <c r="M167" s="27" t="s">
        <v>13</v>
      </c>
      <c r="N167" s="27" t="s">
        <v>13</v>
      </c>
      <c r="O167" s="27" t="s">
        <v>13</v>
      </c>
      <c r="P167" s="25">
        <v>176</v>
      </c>
      <c r="Q167" s="25">
        <v>235</v>
      </c>
      <c r="R167" s="25" t="s">
        <v>87</v>
      </c>
      <c r="S167" s="25" t="s">
        <v>89</v>
      </c>
      <c r="T167" s="25">
        <v>0</v>
      </c>
      <c r="U167" s="25">
        <v>0</v>
      </c>
      <c r="V167" s="25">
        <v>0</v>
      </c>
      <c r="W167" s="25">
        <v>0</v>
      </c>
      <c r="X167" s="25">
        <v>0</v>
      </c>
      <c r="Y167" s="25">
        <v>1</v>
      </c>
      <c r="Z167" s="25">
        <v>0</v>
      </c>
      <c r="AA167" s="25">
        <v>0</v>
      </c>
      <c r="AB167" s="25">
        <v>0</v>
      </c>
      <c r="AC167" s="25">
        <v>0</v>
      </c>
      <c r="AD167" s="25">
        <v>0</v>
      </c>
      <c r="AE167" s="25">
        <v>1</v>
      </c>
      <c r="AF167" s="25" t="s">
        <v>129</v>
      </c>
    </row>
    <row r="168" spans="1:32" x14ac:dyDescent="0.25">
      <c r="A168" s="25">
        <v>4</v>
      </c>
      <c r="B168" s="25">
        <v>2470</v>
      </c>
      <c r="C168" t="s">
        <v>12</v>
      </c>
      <c r="D168" t="s">
        <v>13</v>
      </c>
      <c r="E168" t="s">
        <v>13</v>
      </c>
      <c r="F168" t="s">
        <v>13</v>
      </c>
      <c r="G168" t="s">
        <v>13</v>
      </c>
      <c r="H168" s="27" t="s">
        <v>13</v>
      </c>
      <c r="I168" s="27" t="s">
        <v>13</v>
      </c>
      <c r="J168" s="27" t="s">
        <v>13</v>
      </c>
      <c r="K168" s="27" t="s">
        <v>13</v>
      </c>
      <c r="L168" s="27" t="s">
        <v>13</v>
      </c>
      <c r="M168" s="27" t="s">
        <v>13</v>
      </c>
      <c r="N168" s="27" t="s">
        <v>13</v>
      </c>
      <c r="O168" s="27" t="s">
        <v>13</v>
      </c>
      <c r="P168">
        <v>176</v>
      </c>
      <c r="Q168">
        <v>235</v>
      </c>
      <c r="R168" t="s">
        <v>87</v>
      </c>
      <c r="S168" t="s">
        <v>89</v>
      </c>
      <c r="T168">
        <v>0</v>
      </c>
      <c r="U168">
        <v>0</v>
      </c>
      <c r="V168">
        <v>0</v>
      </c>
      <c r="W168">
        <v>0</v>
      </c>
      <c r="X168">
        <v>0</v>
      </c>
      <c r="Y168">
        <v>1</v>
      </c>
      <c r="Z168">
        <v>0</v>
      </c>
      <c r="AA168">
        <v>0</v>
      </c>
      <c r="AB168">
        <v>0</v>
      </c>
      <c r="AC168">
        <v>0</v>
      </c>
      <c r="AD168">
        <v>0</v>
      </c>
      <c r="AE168">
        <v>1</v>
      </c>
      <c r="AF168" t="s">
        <v>130</v>
      </c>
    </row>
    <row r="169" spans="1:32" x14ac:dyDescent="0.25">
      <c r="A169" s="25">
        <v>4</v>
      </c>
      <c r="B169" s="25">
        <v>2480</v>
      </c>
      <c r="C169" t="s">
        <v>12</v>
      </c>
      <c r="D169">
        <v>0</v>
      </c>
      <c r="E169">
        <v>0</v>
      </c>
      <c r="F169">
        <v>66</v>
      </c>
      <c r="G169">
        <v>32767</v>
      </c>
      <c r="H169" s="27">
        <v>0</v>
      </c>
      <c r="I169" s="27">
        <v>0</v>
      </c>
      <c r="J169" s="27">
        <v>0</v>
      </c>
      <c r="K169" s="27">
        <v>0</v>
      </c>
      <c r="L169" s="27">
        <v>0</v>
      </c>
      <c r="M169" s="27">
        <v>0</v>
      </c>
      <c r="N169" s="27">
        <v>0</v>
      </c>
      <c r="O169" s="27">
        <v>0</v>
      </c>
      <c r="P169">
        <v>176</v>
      </c>
      <c r="Q169">
        <v>235</v>
      </c>
      <c r="R169" t="s">
        <v>87</v>
      </c>
      <c r="S169" t="s">
        <v>89</v>
      </c>
      <c r="T169">
        <v>0</v>
      </c>
      <c r="U169">
        <v>0</v>
      </c>
      <c r="V169">
        <v>0</v>
      </c>
      <c r="W169">
        <v>0</v>
      </c>
      <c r="X169">
        <v>0</v>
      </c>
      <c r="Y169">
        <v>0</v>
      </c>
      <c r="Z169">
        <v>0</v>
      </c>
      <c r="AA169">
        <v>0</v>
      </c>
      <c r="AB169">
        <v>0</v>
      </c>
      <c r="AC169">
        <v>0</v>
      </c>
      <c r="AD169">
        <v>0</v>
      </c>
      <c r="AE169">
        <v>1</v>
      </c>
      <c r="AF169" t="s">
        <v>131</v>
      </c>
    </row>
    <row r="170" spans="1:32" x14ac:dyDescent="0.25">
      <c r="A170" s="25">
        <v>4</v>
      </c>
      <c r="B170" s="25">
        <v>2530</v>
      </c>
      <c r="C170" t="s">
        <v>12</v>
      </c>
      <c r="D170">
        <v>0</v>
      </c>
      <c r="E170">
        <v>0</v>
      </c>
      <c r="F170">
        <v>69</v>
      </c>
      <c r="G170">
        <v>32767</v>
      </c>
      <c r="H170" s="27">
        <v>0</v>
      </c>
      <c r="I170" s="27">
        <v>0</v>
      </c>
      <c r="J170" s="27">
        <v>0</v>
      </c>
      <c r="K170" s="27">
        <v>0</v>
      </c>
      <c r="L170" s="27">
        <v>0</v>
      </c>
      <c r="M170" s="27">
        <v>0</v>
      </c>
      <c r="N170" s="27">
        <v>0</v>
      </c>
      <c r="O170" s="27">
        <v>0</v>
      </c>
      <c r="P170">
        <v>176</v>
      </c>
      <c r="Q170">
        <v>235</v>
      </c>
      <c r="R170" t="s">
        <v>87</v>
      </c>
      <c r="S170" t="s">
        <v>89</v>
      </c>
      <c r="T170">
        <v>0</v>
      </c>
      <c r="U170">
        <v>0</v>
      </c>
      <c r="V170">
        <v>0</v>
      </c>
      <c r="W170">
        <v>0</v>
      </c>
      <c r="X170">
        <v>0</v>
      </c>
      <c r="Y170">
        <v>0</v>
      </c>
      <c r="Z170">
        <v>0</v>
      </c>
      <c r="AA170">
        <v>0</v>
      </c>
      <c r="AB170">
        <v>0</v>
      </c>
      <c r="AC170">
        <v>0</v>
      </c>
      <c r="AD170">
        <v>0</v>
      </c>
      <c r="AE170">
        <v>1</v>
      </c>
      <c r="AF170" t="s">
        <v>131</v>
      </c>
    </row>
    <row r="171" spans="1:32" x14ac:dyDescent="0.25">
      <c r="A171" s="25">
        <v>4</v>
      </c>
      <c r="B171" s="25">
        <v>2540</v>
      </c>
      <c r="C171" t="s">
        <v>12</v>
      </c>
      <c r="D171">
        <v>0</v>
      </c>
      <c r="E171">
        <v>0</v>
      </c>
      <c r="F171">
        <v>72</v>
      </c>
      <c r="G171">
        <v>56</v>
      </c>
      <c r="H171" s="27">
        <v>0</v>
      </c>
      <c r="I171" s="27">
        <v>0</v>
      </c>
      <c r="J171" s="27">
        <v>0</v>
      </c>
      <c r="K171" s="27">
        <v>0</v>
      </c>
      <c r="L171" s="27">
        <v>0</v>
      </c>
      <c r="M171" s="27">
        <v>0</v>
      </c>
      <c r="N171" s="27">
        <v>0</v>
      </c>
      <c r="O171" s="27">
        <v>1</v>
      </c>
      <c r="P171">
        <v>176</v>
      </c>
      <c r="Q171">
        <v>235</v>
      </c>
      <c r="R171" t="s">
        <v>87</v>
      </c>
      <c r="S171" t="s">
        <v>89</v>
      </c>
      <c r="T171">
        <v>0</v>
      </c>
      <c r="U171">
        <v>0</v>
      </c>
      <c r="V171">
        <v>0</v>
      </c>
      <c r="W171">
        <v>0</v>
      </c>
      <c r="X171">
        <v>0</v>
      </c>
      <c r="Y171">
        <v>0</v>
      </c>
      <c r="Z171">
        <v>0</v>
      </c>
      <c r="AA171">
        <v>1</v>
      </c>
      <c r="AB171">
        <v>0</v>
      </c>
      <c r="AC171">
        <v>0</v>
      </c>
      <c r="AD171">
        <v>1</v>
      </c>
      <c r="AE171">
        <v>1</v>
      </c>
      <c r="AF171" t="s">
        <v>131</v>
      </c>
    </row>
    <row r="172" spans="1:32" x14ac:dyDescent="0.25">
      <c r="A172" s="25">
        <v>4</v>
      </c>
      <c r="B172" s="25">
        <v>2550</v>
      </c>
      <c r="C172" t="s">
        <v>12</v>
      </c>
      <c r="D172">
        <v>0</v>
      </c>
      <c r="E172">
        <v>0</v>
      </c>
      <c r="F172">
        <v>78</v>
      </c>
      <c r="G172">
        <v>78</v>
      </c>
      <c r="H172" s="27">
        <v>0</v>
      </c>
      <c r="I172" s="27">
        <v>0</v>
      </c>
      <c r="J172" s="27">
        <v>0</v>
      </c>
      <c r="K172" s="27">
        <v>0</v>
      </c>
      <c r="L172" s="27">
        <v>0</v>
      </c>
      <c r="M172" s="27">
        <v>0</v>
      </c>
      <c r="N172" s="27">
        <v>1</v>
      </c>
      <c r="O172" s="27">
        <v>0</v>
      </c>
      <c r="P172">
        <v>176</v>
      </c>
      <c r="Q172">
        <v>235</v>
      </c>
      <c r="R172" t="s">
        <v>87</v>
      </c>
      <c r="S172" t="s">
        <v>89</v>
      </c>
      <c r="T172">
        <v>0</v>
      </c>
      <c r="U172">
        <v>0</v>
      </c>
      <c r="V172">
        <v>0</v>
      </c>
      <c r="W172">
        <v>0</v>
      </c>
      <c r="X172">
        <v>0</v>
      </c>
      <c r="Y172">
        <v>0</v>
      </c>
      <c r="Z172">
        <v>1</v>
      </c>
      <c r="AA172">
        <v>0</v>
      </c>
      <c r="AB172">
        <v>0</v>
      </c>
      <c r="AC172">
        <v>0</v>
      </c>
      <c r="AD172">
        <v>1</v>
      </c>
      <c r="AE172">
        <v>1</v>
      </c>
      <c r="AF172" t="s">
        <v>132</v>
      </c>
    </row>
    <row r="173" spans="1:32" s="25" customFormat="1" x14ac:dyDescent="0.25">
      <c r="A173" s="25">
        <v>4</v>
      </c>
      <c r="B173" s="25">
        <v>2600</v>
      </c>
      <c r="C173" s="25" t="s">
        <v>12</v>
      </c>
      <c r="D173" s="25">
        <v>0</v>
      </c>
      <c r="E173" s="25">
        <v>0</v>
      </c>
      <c r="F173" s="25">
        <v>84</v>
      </c>
      <c r="G173" s="25">
        <v>100</v>
      </c>
      <c r="H173" s="27">
        <v>0</v>
      </c>
      <c r="I173" s="27">
        <v>0</v>
      </c>
      <c r="J173" s="27">
        <v>0</v>
      </c>
      <c r="K173" s="27">
        <v>0</v>
      </c>
      <c r="L173" s="27">
        <v>0</v>
      </c>
      <c r="M173" s="27">
        <v>1</v>
      </c>
      <c r="N173" s="27">
        <v>0</v>
      </c>
      <c r="O173" s="27">
        <v>0</v>
      </c>
      <c r="P173" s="25">
        <v>176</v>
      </c>
      <c r="Q173" s="25">
        <v>235</v>
      </c>
      <c r="R173" s="25" t="s">
        <v>87</v>
      </c>
      <c r="S173" s="25" t="s">
        <v>89</v>
      </c>
      <c r="T173" s="25">
        <v>0</v>
      </c>
      <c r="U173" s="25">
        <v>0</v>
      </c>
      <c r="V173" s="25">
        <v>0</v>
      </c>
      <c r="W173" s="25">
        <v>0</v>
      </c>
      <c r="X173" s="25">
        <v>0</v>
      </c>
      <c r="Y173" s="25">
        <v>1</v>
      </c>
      <c r="Z173" s="25">
        <v>0</v>
      </c>
      <c r="AA173" s="25">
        <v>0</v>
      </c>
      <c r="AB173" s="25">
        <v>0</v>
      </c>
      <c r="AC173" s="25">
        <v>0</v>
      </c>
      <c r="AD173" s="25">
        <v>1</v>
      </c>
      <c r="AE173" s="25">
        <v>1</v>
      </c>
      <c r="AF173" s="25" t="s">
        <v>131</v>
      </c>
    </row>
    <row r="174" spans="1:32" s="25" customFormat="1" x14ac:dyDescent="0.25">
      <c r="A174" s="25" t="s">
        <v>142</v>
      </c>
      <c r="B174" s="25">
        <v>10</v>
      </c>
      <c r="C174" s="25" t="s">
        <v>12</v>
      </c>
      <c r="D174" s="25">
        <v>0</v>
      </c>
      <c r="E174" s="25">
        <v>0</v>
      </c>
      <c r="F174" s="25">
        <v>100</v>
      </c>
      <c r="G174" s="25">
        <v>100</v>
      </c>
      <c r="H174" s="27">
        <v>0</v>
      </c>
      <c r="I174" s="27">
        <v>0</v>
      </c>
      <c r="J174" s="27">
        <v>0</v>
      </c>
      <c r="K174" s="27">
        <v>0</v>
      </c>
      <c r="L174" s="27">
        <v>0</v>
      </c>
      <c r="M174" s="27">
        <v>0</v>
      </c>
      <c r="N174" s="27">
        <v>0</v>
      </c>
      <c r="O174" s="27">
        <v>0</v>
      </c>
      <c r="P174" s="25" t="s">
        <v>13</v>
      </c>
      <c r="Q174" s="25" t="s">
        <v>13</v>
      </c>
      <c r="R174" s="25" t="s">
        <v>13</v>
      </c>
      <c r="S174" s="25" t="s">
        <v>13</v>
      </c>
      <c r="T174" s="25" t="s">
        <v>13</v>
      </c>
      <c r="U174" s="25" t="s">
        <v>13</v>
      </c>
      <c r="V174" s="25" t="s">
        <v>13</v>
      </c>
      <c r="W174" s="25" t="s">
        <v>13</v>
      </c>
      <c r="X174" s="25" t="s">
        <v>13</v>
      </c>
      <c r="Y174" s="25" t="s">
        <v>13</v>
      </c>
      <c r="Z174" s="25" t="s">
        <v>13</v>
      </c>
      <c r="AA174" s="25" t="s">
        <v>13</v>
      </c>
      <c r="AB174" s="25">
        <v>0</v>
      </c>
      <c r="AC174" s="25">
        <v>0</v>
      </c>
      <c r="AD174" s="25" t="s">
        <v>13</v>
      </c>
      <c r="AE174" s="25" t="s">
        <v>13</v>
      </c>
      <c r="AF174" s="25" t="s">
        <v>13</v>
      </c>
    </row>
    <row r="175" spans="1:32" s="25" customFormat="1" x14ac:dyDescent="0.25">
      <c r="A175" s="25" t="s">
        <v>142</v>
      </c>
      <c r="B175" s="25">
        <v>10</v>
      </c>
      <c r="C175" s="25" t="s">
        <v>12</v>
      </c>
      <c r="D175" s="25">
        <v>0</v>
      </c>
      <c r="E175" s="25">
        <v>0</v>
      </c>
      <c r="F175" s="25">
        <v>550</v>
      </c>
      <c r="G175" s="25">
        <v>251</v>
      </c>
      <c r="H175" s="27">
        <v>1</v>
      </c>
      <c r="I175" s="27">
        <v>0</v>
      </c>
      <c r="J175" s="27">
        <v>0</v>
      </c>
      <c r="K175" s="27">
        <v>0</v>
      </c>
      <c r="L175" s="27">
        <v>0</v>
      </c>
      <c r="M175" s="27">
        <v>0</v>
      </c>
      <c r="N175" s="27">
        <v>0</v>
      </c>
      <c r="O175" s="27">
        <v>0</v>
      </c>
      <c r="P175" s="25">
        <v>0</v>
      </c>
      <c r="Q175" s="25">
        <v>1</v>
      </c>
      <c r="R175" s="25" t="s">
        <v>87</v>
      </c>
      <c r="S175" s="25" t="s">
        <v>89</v>
      </c>
      <c r="T175" s="25">
        <v>1</v>
      </c>
      <c r="U175" s="25">
        <v>0</v>
      </c>
      <c r="V175" s="25">
        <v>0</v>
      </c>
      <c r="W175" s="25">
        <v>0</v>
      </c>
      <c r="X175" s="25">
        <v>0</v>
      </c>
      <c r="Y175" s="25">
        <v>0</v>
      </c>
      <c r="Z175" s="25">
        <v>0</v>
      </c>
      <c r="AA175" s="25">
        <v>0</v>
      </c>
      <c r="AB175" s="25">
        <v>0</v>
      </c>
      <c r="AC175" s="25">
        <v>0</v>
      </c>
      <c r="AD175" s="25">
        <v>0</v>
      </c>
      <c r="AE175" s="25">
        <v>0</v>
      </c>
      <c r="AF175" s="25">
        <v>0</v>
      </c>
    </row>
    <row r="176" spans="1:32" s="25" customFormat="1" x14ac:dyDescent="0.25">
      <c r="A176" s="25" t="s">
        <v>142</v>
      </c>
      <c r="B176" s="25">
        <v>20</v>
      </c>
      <c r="C176" s="25" t="s">
        <v>12</v>
      </c>
      <c r="D176" s="25">
        <v>0</v>
      </c>
      <c r="E176" s="25">
        <v>0</v>
      </c>
      <c r="F176" s="25" t="s">
        <v>13</v>
      </c>
      <c r="G176" s="25" t="s">
        <v>13</v>
      </c>
      <c r="H176" s="27" t="s">
        <v>13</v>
      </c>
      <c r="I176" s="27" t="s">
        <v>13</v>
      </c>
      <c r="J176" s="27" t="s">
        <v>13</v>
      </c>
      <c r="K176" s="27" t="s">
        <v>13</v>
      </c>
      <c r="L176" s="27" t="s">
        <v>13</v>
      </c>
      <c r="M176" s="27" t="s">
        <v>13</v>
      </c>
      <c r="N176" s="27" t="s">
        <v>13</v>
      </c>
      <c r="O176" s="27" t="s">
        <v>13</v>
      </c>
      <c r="P176" s="25">
        <v>0</v>
      </c>
      <c r="Q176" s="25">
        <v>1</v>
      </c>
      <c r="R176" s="25" t="s">
        <v>87</v>
      </c>
      <c r="S176" s="25" t="s">
        <v>89</v>
      </c>
      <c r="T176" s="25">
        <v>1</v>
      </c>
      <c r="U176" s="25">
        <v>0</v>
      </c>
      <c r="V176" s="25">
        <v>0</v>
      </c>
      <c r="W176" s="25">
        <v>0</v>
      </c>
      <c r="X176" s="25">
        <v>0</v>
      </c>
      <c r="Y176" s="25">
        <v>0</v>
      </c>
      <c r="Z176" s="25">
        <v>0</v>
      </c>
      <c r="AA176" s="25">
        <v>0</v>
      </c>
      <c r="AB176" s="25">
        <v>0</v>
      </c>
      <c r="AC176" s="25">
        <v>0</v>
      </c>
      <c r="AD176" s="25">
        <v>0</v>
      </c>
      <c r="AE176" s="25">
        <v>0</v>
      </c>
      <c r="AF176" s="25">
        <v>0</v>
      </c>
    </row>
    <row r="177" spans="1:32" x14ac:dyDescent="0.25">
      <c r="A177" s="25" t="s">
        <v>142</v>
      </c>
      <c r="B177" s="25">
        <v>30</v>
      </c>
      <c r="C177" t="s">
        <v>12</v>
      </c>
      <c r="D177">
        <v>0</v>
      </c>
      <c r="E177">
        <v>0</v>
      </c>
      <c r="F177">
        <v>550</v>
      </c>
      <c r="G177">
        <v>229</v>
      </c>
      <c r="H177" s="27">
        <v>1</v>
      </c>
      <c r="I177" s="27">
        <v>0</v>
      </c>
      <c r="J177" s="27">
        <v>0</v>
      </c>
      <c r="K177" s="27">
        <v>0</v>
      </c>
      <c r="L177" s="27">
        <v>0</v>
      </c>
      <c r="M177" s="27">
        <v>0</v>
      </c>
      <c r="N177" s="27">
        <v>0</v>
      </c>
      <c r="O177" s="27">
        <v>0</v>
      </c>
      <c r="P177">
        <v>50</v>
      </c>
      <c r="Q177">
        <v>229</v>
      </c>
      <c r="R177" t="s">
        <v>87</v>
      </c>
      <c r="S177" t="s">
        <v>89</v>
      </c>
      <c r="T177">
        <v>1</v>
      </c>
      <c r="U177">
        <v>0</v>
      </c>
      <c r="V177">
        <v>0</v>
      </c>
      <c r="W177">
        <v>0</v>
      </c>
      <c r="X177">
        <v>0</v>
      </c>
      <c r="Y177">
        <v>0</v>
      </c>
      <c r="Z177">
        <v>0</v>
      </c>
      <c r="AA177">
        <v>0</v>
      </c>
      <c r="AB177">
        <v>0</v>
      </c>
      <c r="AC177">
        <v>0</v>
      </c>
      <c r="AD177">
        <v>0</v>
      </c>
      <c r="AE177">
        <v>0</v>
      </c>
      <c r="AF177">
        <v>0</v>
      </c>
    </row>
    <row r="178" spans="1:32" x14ac:dyDescent="0.25">
      <c r="A178" s="25" t="s">
        <v>142</v>
      </c>
      <c r="B178" s="25">
        <v>40</v>
      </c>
      <c r="C178" t="s">
        <v>12</v>
      </c>
      <c r="D178">
        <v>0</v>
      </c>
      <c r="E178">
        <v>0</v>
      </c>
      <c r="F178">
        <v>489</v>
      </c>
      <c r="G178">
        <v>220</v>
      </c>
      <c r="H178" s="27">
        <v>1</v>
      </c>
      <c r="I178" s="27">
        <v>1</v>
      </c>
      <c r="J178" s="27">
        <v>0</v>
      </c>
      <c r="K178" s="27">
        <v>0</v>
      </c>
      <c r="L178" s="27">
        <v>0</v>
      </c>
      <c r="M178" s="27">
        <v>0</v>
      </c>
      <c r="N178" s="27">
        <v>0</v>
      </c>
      <c r="O178" s="27">
        <v>0</v>
      </c>
      <c r="P178">
        <v>50</v>
      </c>
      <c r="Q178">
        <v>1</v>
      </c>
      <c r="R178" t="s">
        <v>87</v>
      </c>
      <c r="S178" t="s">
        <v>89</v>
      </c>
      <c r="T178">
        <v>1</v>
      </c>
      <c r="U178">
        <v>1</v>
      </c>
      <c r="V178">
        <v>0</v>
      </c>
      <c r="W178">
        <v>0</v>
      </c>
      <c r="X178">
        <v>0</v>
      </c>
      <c r="Y178">
        <v>0</v>
      </c>
      <c r="Z178">
        <v>0</v>
      </c>
      <c r="AA178">
        <v>0</v>
      </c>
      <c r="AB178">
        <v>0</v>
      </c>
      <c r="AC178">
        <v>0</v>
      </c>
      <c r="AD178">
        <v>0</v>
      </c>
      <c r="AE178">
        <v>1</v>
      </c>
      <c r="AF178">
        <v>0</v>
      </c>
    </row>
    <row r="179" spans="1:32" x14ac:dyDescent="0.25">
      <c r="A179" s="25" t="s">
        <v>142</v>
      </c>
      <c r="B179" s="25">
        <v>50</v>
      </c>
      <c r="C179" t="s">
        <v>12</v>
      </c>
      <c r="D179" t="s">
        <v>13</v>
      </c>
      <c r="E179" t="s">
        <v>13</v>
      </c>
      <c r="F179" t="s">
        <v>13</v>
      </c>
      <c r="G179" t="s">
        <v>13</v>
      </c>
      <c r="H179" s="27" t="s">
        <v>13</v>
      </c>
      <c r="I179" s="27" t="s">
        <v>13</v>
      </c>
      <c r="J179" s="27" t="s">
        <v>13</v>
      </c>
      <c r="K179" s="27" t="s">
        <v>13</v>
      </c>
      <c r="L179" s="27" t="s">
        <v>13</v>
      </c>
      <c r="M179" s="27" t="s">
        <v>13</v>
      </c>
      <c r="N179" s="27" t="s">
        <v>13</v>
      </c>
      <c r="O179" s="27" t="s">
        <v>13</v>
      </c>
      <c r="P179">
        <v>50</v>
      </c>
      <c r="Q179">
        <v>1</v>
      </c>
      <c r="R179" t="s">
        <v>87</v>
      </c>
      <c r="S179" t="s">
        <v>89</v>
      </c>
      <c r="T179">
        <v>1</v>
      </c>
      <c r="U179">
        <v>1</v>
      </c>
      <c r="V179">
        <v>0</v>
      </c>
      <c r="W179">
        <v>0</v>
      </c>
      <c r="X179">
        <v>0</v>
      </c>
      <c r="Y179">
        <v>0</v>
      </c>
      <c r="Z179">
        <v>0</v>
      </c>
      <c r="AA179">
        <v>0</v>
      </c>
      <c r="AB179">
        <v>0</v>
      </c>
      <c r="AC179">
        <v>0</v>
      </c>
      <c r="AD179">
        <v>0</v>
      </c>
      <c r="AE179">
        <v>1</v>
      </c>
      <c r="AF179" t="s">
        <v>128</v>
      </c>
    </row>
    <row r="180" spans="1:32" s="25" customFormat="1" x14ac:dyDescent="0.25">
      <c r="A180" s="25" t="s">
        <v>142</v>
      </c>
      <c r="B180" s="25">
        <v>60</v>
      </c>
      <c r="C180" s="25" t="s">
        <v>12</v>
      </c>
      <c r="D180" s="25" t="s">
        <v>13</v>
      </c>
      <c r="E180" s="25" t="s">
        <v>13</v>
      </c>
      <c r="F180" s="25" t="s">
        <v>13</v>
      </c>
      <c r="G180" s="25" t="s">
        <v>13</v>
      </c>
      <c r="H180" s="27" t="s">
        <v>13</v>
      </c>
      <c r="I180" s="27" t="s">
        <v>13</v>
      </c>
      <c r="J180" s="27" t="s">
        <v>13</v>
      </c>
      <c r="K180" s="27" t="s">
        <v>13</v>
      </c>
      <c r="L180" s="27" t="s">
        <v>13</v>
      </c>
      <c r="M180" s="27" t="s">
        <v>13</v>
      </c>
      <c r="N180" s="27" t="s">
        <v>13</v>
      </c>
      <c r="O180" s="27" t="s">
        <v>13</v>
      </c>
      <c r="P180" s="25">
        <v>50</v>
      </c>
      <c r="Q180" s="25">
        <v>1</v>
      </c>
      <c r="R180" s="25" t="s">
        <v>87</v>
      </c>
      <c r="S180" s="25" t="s">
        <v>89</v>
      </c>
      <c r="T180" s="25">
        <v>1</v>
      </c>
      <c r="U180" s="25">
        <v>1</v>
      </c>
      <c r="V180" s="25">
        <v>0</v>
      </c>
      <c r="W180" s="25">
        <v>0</v>
      </c>
      <c r="X180" s="25">
        <v>0</v>
      </c>
      <c r="Y180" s="25">
        <v>0</v>
      </c>
      <c r="Z180" s="25">
        <v>0</v>
      </c>
      <c r="AA180" s="25">
        <v>0</v>
      </c>
      <c r="AB180" s="25">
        <v>0</v>
      </c>
      <c r="AC180" s="25">
        <v>0</v>
      </c>
      <c r="AD180" s="25">
        <v>0</v>
      </c>
      <c r="AE180" s="25">
        <v>1</v>
      </c>
      <c r="AF180" s="25" t="s">
        <v>129</v>
      </c>
    </row>
    <row r="181" spans="1:32" s="25" customFormat="1" x14ac:dyDescent="0.25">
      <c r="A181" s="25" t="s">
        <v>142</v>
      </c>
      <c r="B181" s="25">
        <v>70</v>
      </c>
      <c r="C181" s="25" t="s">
        <v>12</v>
      </c>
      <c r="D181" s="25" t="s">
        <v>13</v>
      </c>
      <c r="E181" s="25" t="s">
        <v>13</v>
      </c>
      <c r="F181" s="25" t="s">
        <v>13</v>
      </c>
      <c r="G181" s="25" t="s">
        <v>13</v>
      </c>
      <c r="H181" s="27" t="s">
        <v>13</v>
      </c>
      <c r="I181" s="27" t="s">
        <v>13</v>
      </c>
      <c r="J181" s="27" t="s">
        <v>13</v>
      </c>
      <c r="K181" s="27" t="s">
        <v>13</v>
      </c>
      <c r="L181" s="27" t="s">
        <v>13</v>
      </c>
      <c r="M181" s="27" t="s">
        <v>13</v>
      </c>
      <c r="N181" s="27" t="s">
        <v>13</v>
      </c>
      <c r="O181" s="27" t="s">
        <v>13</v>
      </c>
      <c r="P181" s="25">
        <v>50</v>
      </c>
      <c r="Q181" s="25">
        <v>1</v>
      </c>
      <c r="R181" s="25" t="s">
        <v>87</v>
      </c>
      <c r="S181" s="25" t="s">
        <v>89</v>
      </c>
      <c r="T181" s="25">
        <v>1</v>
      </c>
      <c r="U181" s="25">
        <v>1</v>
      </c>
      <c r="V181" s="25">
        <v>0</v>
      </c>
      <c r="W181" s="25">
        <v>0</v>
      </c>
      <c r="X181" s="25">
        <v>0</v>
      </c>
      <c r="Y181" s="25">
        <v>0</v>
      </c>
      <c r="Z181" s="25">
        <v>0</v>
      </c>
      <c r="AA181" s="25">
        <v>0</v>
      </c>
      <c r="AB181" s="25">
        <v>0</v>
      </c>
      <c r="AC181" s="25">
        <v>0</v>
      </c>
      <c r="AD181" s="25">
        <v>0</v>
      </c>
      <c r="AE181" s="25">
        <v>1</v>
      </c>
      <c r="AF181" s="25" t="s">
        <v>130</v>
      </c>
    </row>
    <row r="182" spans="1:32" s="25" customFormat="1" x14ac:dyDescent="0.25">
      <c r="A182" s="25" t="s">
        <v>143</v>
      </c>
      <c r="B182" s="25">
        <v>80</v>
      </c>
      <c r="C182" s="25" t="s">
        <v>12</v>
      </c>
      <c r="D182" s="25">
        <v>0</v>
      </c>
      <c r="E182" s="25">
        <v>0</v>
      </c>
      <c r="F182" s="25">
        <v>500</v>
      </c>
      <c r="G182" s="25">
        <v>130</v>
      </c>
      <c r="H182" s="27">
        <v>0</v>
      </c>
      <c r="I182" s="27">
        <v>0</v>
      </c>
      <c r="J182" s="27">
        <v>0</v>
      </c>
      <c r="K182" s="27">
        <v>0</v>
      </c>
      <c r="L182" s="27">
        <v>0</v>
      </c>
      <c r="M182" s="27">
        <v>0</v>
      </c>
      <c r="N182" s="27">
        <v>0</v>
      </c>
      <c r="O182" s="27">
        <v>0</v>
      </c>
      <c r="P182" s="25">
        <v>50</v>
      </c>
      <c r="Q182" s="25">
        <v>1</v>
      </c>
      <c r="R182" s="25" t="s">
        <v>87</v>
      </c>
      <c r="S182" s="25" t="s">
        <v>89</v>
      </c>
      <c r="T182" s="25">
        <v>0</v>
      </c>
      <c r="U182" s="25">
        <v>0</v>
      </c>
      <c r="V182" s="25">
        <v>0</v>
      </c>
      <c r="W182" s="25">
        <v>0</v>
      </c>
      <c r="X182" s="25">
        <v>0</v>
      </c>
      <c r="Y182" s="25">
        <v>0</v>
      </c>
      <c r="Z182" s="25">
        <v>0</v>
      </c>
      <c r="AA182" s="25">
        <v>0</v>
      </c>
      <c r="AB182" s="25">
        <v>0</v>
      </c>
      <c r="AC182" s="25">
        <v>0</v>
      </c>
      <c r="AD182" s="25">
        <v>0</v>
      </c>
      <c r="AE182" s="25">
        <v>1</v>
      </c>
      <c r="AF182" s="25" t="s">
        <v>131</v>
      </c>
    </row>
    <row r="183" spans="1:32" s="25" customFormat="1" x14ac:dyDescent="0.25">
      <c r="A183" s="25" t="s">
        <v>143</v>
      </c>
      <c r="B183" s="25">
        <v>90</v>
      </c>
      <c r="C183" s="25" t="s">
        <v>12</v>
      </c>
      <c r="D183" s="25">
        <v>0</v>
      </c>
      <c r="E183" s="25">
        <v>0</v>
      </c>
      <c r="F183" s="25">
        <v>500</v>
      </c>
      <c r="G183" s="25">
        <v>130</v>
      </c>
      <c r="H183" s="27">
        <v>0</v>
      </c>
      <c r="I183" s="27">
        <v>0</v>
      </c>
      <c r="J183" s="27">
        <v>0</v>
      </c>
      <c r="K183" s="27">
        <v>0</v>
      </c>
      <c r="L183" s="27">
        <v>0</v>
      </c>
      <c r="M183" s="27">
        <v>0</v>
      </c>
      <c r="N183" s="27">
        <v>0</v>
      </c>
      <c r="O183" s="27">
        <v>0</v>
      </c>
      <c r="P183" s="25">
        <v>50</v>
      </c>
      <c r="Q183" s="25">
        <v>1</v>
      </c>
      <c r="R183" s="25" t="s">
        <v>87</v>
      </c>
      <c r="S183" s="25" t="s">
        <v>89</v>
      </c>
      <c r="T183" s="25">
        <v>0</v>
      </c>
      <c r="U183" s="25">
        <v>0</v>
      </c>
      <c r="V183" s="25">
        <v>0</v>
      </c>
      <c r="W183" s="25">
        <v>0</v>
      </c>
      <c r="X183" s="25">
        <v>0</v>
      </c>
      <c r="Y183" s="25">
        <v>0</v>
      </c>
      <c r="Z183" s="25">
        <v>0</v>
      </c>
      <c r="AA183" s="25">
        <v>0</v>
      </c>
      <c r="AB183" s="25">
        <v>0</v>
      </c>
      <c r="AC183" s="25">
        <v>0</v>
      </c>
      <c r="AD183" s="25">
        <v>0</v>
      </c>
      <c r="AE183" s="25">
        <v>1</v>
      </c>
      <c r="AF183" s="25" t="s">
        <v>132</v>
      </c>
    </row>
    <row r="184" spans="1:32" x14ac:dyDescent="0.25">
      <c r="A184" s="25" t="s">
        <v>143</v>
      </c>
      <c r="B184" s="25">
        <v>100</v>
      </c>
      <c r="C184" t="s">
        <v>12</v>
      </c>
      <c r="D184">
        <v>0</v>
      </c>
      <c r="E184">
        <v>0</v>
      </c>
      <c r="F184">
        <v>555</v>
      </c>
      <c r="G184">
        <v>10</v>
      </c>
      <c r="H184" s="27">
        <v>0</v>
      </c>
      <c r="I184" s="27">
        <v>0</v>
      </c>
      <c r="J184" s="27">
        <v>0</v>
      </c>
      <c r="K184" s="27">
        <v>0</v>
      </c>
      <c r="L184" s="27">
        <v>0</v>
      </c>
      <c r="M184" s="27">
        <v>0</v>
      </c>
      <c r="N184" s="27">
        <v>0</v>
      </c>
      <c r="O184" s="27">
        <v>0</v>
      </c>
      <c r="P184">
        <v>50</v>
      </c>
      <c r="Q184">
        <v>1</v>
      </c>
      <c r="R184" t="s">
        <v>87</v>
      </c>
      <c r="S184" t="s">
        <v>89</v>
      </c>
      <c r="T184">
        <v>0</v>
      </c>
      <c r="U184">
        <v>0</v>
      </c>
      <c r="V184">
        <v>0</v>
      </c>
      <c r="W184">
        <v>0</v>
      </c>
      <c r="X184">
        <v>0</v>
      </c>
      <c r="Y184">
        <v>0</v>
      </c>
      <c r="Z184">
        <v>0</v>
      </c>
      <c r="AA184">
        <v>0</v>
      </c>
      <c r="AB184">
        <v>0</v>
      </c>
      <c r="AC184">
        <v>0</v>
      </c>
      <c r="AD184">
        <v>0</v>
      </c>
      <c r="AE184">
        <v>1</v>
      </c>
      <c r="AF184" t="s">
        <v>131</v>
      </c>
    </row>
    <row r="185" spans="1:32" x14ac:dyDescent="0.25">
      <c r="A185" s="25" t="s">
        <v>143</v>
      </c>
      <c r="B185" s="25">
        <v>110</v>
      </c>
      <c r="C185" t="s">
        <v>12</v>
      </c>
      <c r="D185" t="s">
        <v>13</v>
      </c>
      <c r="E185" t="s">
        <v>13</v>
      </c>
      <c r="F185" t="s">
        <v>13</v>
      </c>
      <c r="G185" t="s">
        <v>13</v>
      </c>
      <c r="H185" s="27" t="s">
        <v>13</v>
      </c>
      <c r="I185" s="27" t="s">
        <v>13</v>
      </c>
      <c r="J185" s="27" t="s">
        <v>13</v>
      </c>
      <c r="K185" s="27" t="s">
        <v>13</v>
      </c>
      <c r="L185" s="27" t="s">
        <v>13</v>
      </c>
      <c r="M185" s="27" t="s">
        <v>13</v>
      </c>
      <c r="N185" s="27" t="s">
        <v>13</v>
      </c>
      <c r="O185" s="27" t="s">
        <v>13</v>
      </c>
      <c r="P185">
        <v>50</v>
      </c>
      <c r="Q185">
        <v>1</v>
      </c>
      <c r="R185" t="s">
        <v>87</v>
      </c>
      <c r="S185" t="s">
        <v>89</v>
      </c>
      <c r="T185">
        <v>0</v>
      </c>
      <c r="U185">
        <v>0</v>
      </c>
      <c r="V185">
        <v>0</v>
      </c>
      <c r="W185">
        <v>0</v>
      </c>
      <c r="X185">
        <v>0</v>
      </c>
      <c r="Y185">
        <v>0</v>
      </c>
      <c r="Z185">
        <v>0</v>
      </c>
      <c r="AA185">
        <v>0</v>
      </c>
      <c r="AB185">
        <v>0</v>
      </c>
      <c r="AC185">
        <v>0</v>
      </c>
      <c r="AD185">
        <v>0</v>
      </c>
      <c r="AE185">
        <v>1</v>
      </c>
      <c r="AF185" t="s">
        <v>128</v>
      </c>
    </row>
    <row r="186" spans="1:32" x14ac:dyDescent="0.25">
      <c r="A186" s="25" t="s">
        <v>143</v>
      </c>
      <c r="B186" s="25">
        <v>120</v>
      </c>
      <c r="C186" t="s">
        <v>12</v>
      </c>
      <c r="D186" t="s">
        <v>13</v>
      </c>
      <c r="E186" t="s">
        <v>13</v>
      </c>
      <c r="F186" t="s">
        <v>13</v>
      </c>
      <c r="G186" t="s">
        <v>13</v>
      </c>
      <c r="H186" s="27" t="s">
        <v>13</v>
      </c>
      <c r="I186" s="27" t="s">
        <v>13</v>
      </c>
      <c r="J186" s="27" t="s">
        <v>13</v>
      </c>
      <c r="K186" s="27" t="s">
        <v>13</v>
      </c>
      <c r="L186" s="27" t="s">
        <v>13</v>
      </c>
      <c r="M186" s="27" t="s">
        <v>13</v>
      </c>
      <c r="N186" s="27" t="s">
        <v>13</v>
      </c>
      <c r="O186" s="27" t="s">
        <v>13</v>
      </c>
      <c r="P186">
        <v>50</v>
      </c>
      <c r="Q186">
        <v>1</v>
      </c>
      <c r="R186" t="s">
        <v>87</v>
      </c>
      <c r="S186" t="s">
        <v>89</v>
      </c>
      <c r="T186">
        <v>0</v>
      </c>
      <c r="U186">
        <v>0</v>
      </c>
      <c r="V186">
        <v>0</v>
      </c>
      <c r="W186">
        <v>0</v>
      </c>
      <c r="X186">
        <v>0</v>
      </c>
      <c r="Y186">
        <v>0</v>
      </c>
      <c r="Z186">
        <v>0</v>
      </c>
      <c r="AA186">
        <v>0</v>
      </c>
      <c r="AB186">
        <v>0</v>
      </c>
      <c r="AC186">
        <v>0</v>
      </c>
      <c r="AD186">
        <v>0</v>
      </c>
      <c r="AE186">
        <v>1</v>
      </c>
      <c r="AF186" t="s">
        <v>129</v>
      </c>
    </row>
    <row r="187" spans="1:32" x14ac:dyDescent="0.25">
      <c r="A187" s="25" t="s">
        <v>143</v>
      </c>
      <c r="B187" s="25">
        <v>130</v>
      </c>
      <c r="C187" t="s">
        <v>12</v>
      </c>
      <c r="D187" t="s">
        <v>13</v>
      </c>
      <c r="E187" t="s">
        <v>13</v>
      </c>
      <c r="F187" t="s">
        <v>13</v>
      </c>
      <c r="G187" t="s">
        <v>13</v>
      </c>
      <c r="H187" s="27" t="s">
        <v>13</v>
      </c>
      <c r="I187" s="27" t="s">
        <v>13</v>
      </c>
      <c r="J187" s="27" t="s">
        <v>13</v>
      </c>
      <c r="K187" s="27" t="s">
        <v>13</v>
      </c>
      <c r="L187" s="27" t="s">
        <v>13</v>
      </c>
      <c r="M187" s="27" t="s">
        <v>13</v>
      </c>
      <c r="N187" s="27" t="s">
        <v>13</v>
      </c>
      <c r="O187" s="27" t="s">
        <v>13</v>
      </c>
      <c r="P187">
        <v>50</v>
      </c>
      <c r="Q187">
        <v>1</v>
      </c>
      <c r="R187" t="s">
        <v>87</v>
      </c>
      <c r="S187" t="s">
        <v>89</v>
      </c>
      <c r="T187">
        <v>0</v>
      </c>
      <c r="U187">
        <v>0</v>
      </c>
      <c r="V187">
        <v>0</v>
      </c>
      <c r="W187">
        <v>0</v>
      </c>
      <c r="X187">
        <v>0</v>
      </c>
      <c r="Y187">
        <v>0</v>
      </c>
      <c r="Z187">
        <v>0</v>
      </c>
      <c r="AA187">
        <v>0</v>
      </c>
      <c r="AB187">
        <v>0</v>
      </c>
      <c r="AC187">
        <v>0</v>
      </c>
      <c r="AD187">
        <v>0</v>
      </c>
      <c r="AE187">
        <v>1</v>
      </c>
      <c r="AF187" t="s">
        <v>130</v>
      </c>
    </row>
    <row r="188" spans="1:32" x14ac:dyDescent="0.25">
      <c r="A188" s="25" t="s">
        <v>143</v>
      </c>
      <c r="B188" s="25">
        <v>140</v>
      </c>
      <c r="C188" t="s">
        <v>12</v>
      </c>
      <c r="D188">
        <v>0</v>
      </c>
      <c r="E188">
        <v>0</v>
      </c>
      <c r="F188">
        <v>500</v>
      </c>
      <c r="G188">
        <v>130</v>
      </c>
      <c r="H188" s="27">
        <v>0</v>
      </c>
      <c r="I188" s="27">
        <v>0</v>
      </c>
      <c r="J188" s="27">
        <v>0</v>
      </c>
      <c r="K188" s="27">
        <v>0</v>
      </c>
      <c r="L188" s="27">
        <v>0</v>
      </c>
      <c r="M188" s="27">
        <v>0</v>
      </c>
      <c r="N188" s="27">
        <v>0</v>
      </c>
      <c r="O188" s="27">
        <v>0</v>
      </c>
      <c r="P188">
        <v>50</v>
      </c>
      <c r="Q188">
        <v>1</v>
      </c>
      <c r="R188" t="s">
        <v>87</v>
      </c>
      <c r="S188" t="s">
        <v>89</v>
      </c>
      <c r="T188">
        <v>0</v>
      </c>
      <c r="U188">
        <v>0</v>
      </c>
      <c r="V188">
        <v>0</v>
      </c>
      <c r="W188">
        <v>0</v>
      </c>
      <c r="X188">
        <v>0</v>
      </c>
      <c r="Y188">
        <v>0</v>
      </c>
      <c r="Z188">
        <v>0</v>
      </c>
      <c r="AA188">
        <v>0</v>
      </c>
      <c r="AB188">
        <v>0</v>
      </c>
      <c r="AC188">
        <v>0</v>
      </c>
      <c r="AD188">
        <v>0</v>
      </c>
      <c r="AE188">
        <v>1</v>
      </c>
      <c r="AF188" t="s">
        <v>131</v>
      </c>
    </row>
    <row r="189" spans="1:32" s="25" customFormat="1" x14ac:dyDescent="0.25">
      <c r="A189" s="25" t="s">
        <v>143</v>
      </c>
      <c r="B189" s="25">
        <v>150</v>
      </c>
      <c r="C189" s="25" t="s">
        <v>12</v>
      </c>
      <c r="D189" s="25">
        <v>0</v>
      </c>
      <c r="E189" s="25">
        <v>0</v>
      </c>
      <c r="F189" s="25">
        <v>500</v>
      </c>
      <c r="G189" s="25">
        <v>130</v>
      </c>
      <c r="H189" s="27">
        <v>0</v>
      </c>
      <c r="I189" s="27">
        <v>0</v>
      </c>
      <c r="J189" s="27">
        <v>0</v>
      </c>
      <c r="K189" s="27">
        <v>0</v>
      </c>
      <c r="L189" s="27">
        <v>0</v>
      </c>
      <c r="M189" s="27">
        <v>0</v>
      </c>
      <c r="N189" s="27">
        <v>0</v>
      </c>
      <c r="O189" s="27">
        <v>0</v>
      </c>
      <c r="P189" s="25">
        <v>50</v>
      </c>
      <c r="Q189" s="25">
        <v>1</v>
      </c>
      <c r="R189" s="25" t="s">
        <v>87</v>
      </c>
      <c r="S189" s="25" t="s">
        <v>89</v>
      </c>
      <c r="T189" s="25">
        <v>0</v>
      </c>
      <c r="U189" s="25">
        <v>0</v>
      </c>
      <c r="V189" s="25">
        <v>0</v>
      </c>
      <c r="W189" s="25">
        <v>0</v>
      </c>
      <c r="X189" s="25">
        <v>0</v>
      </c>
      <c r="Y189" s="25">
        <v>0</v>
      </c>
      <c r="Z189" s="25">
        <v>0</v>
      </c>
      <c r="AA189" s="25">
        <v>0</v>
      </c>
      <c r="AB189" s="25">
        <v>0</v>
      </c>
      <c r="AC189" s="25">
        <v>0</v>
      </c>
      <c r="AD189" s="25">
        <v>0</v>
      </c>
      <c r="AE189" s="25">
        <v>1</v>
      </c>
      <c r="AF189" s="25" t="s">
        <v>132</v>
      </c>
    </row>
    <row r="190" spans="1:32" s="25" customFormat="1" x14ac:dyDescent="0.25">
      <c r="A190" s="25" t="s">
        <v>144</v>
      </c>
      <c r="B190" s="25">
        <v>160</v>
      </c>
      <c r="C190" s="25" t="s">
        <v>12</v>
      </c>
      <c r="D190" s="25">
        <v>0</v>
      </c>
      <c r="E190" s="25">
        <v>0</v>
      </c>
      <c r="F190" s="25">
        <v>555</v>
      </c>
      <c r="G190" s="25">
        <v>1</v>
      </c>
      <c r="H190" s="27">
        <v>0</v>
      </c>
      <c r="I190" s="27">
        <v>0</v>
      </c>
      <c r="J190" s="27">
        <v>0</v>
      </c>
      <c r="K190" s="27">
        <v>0</v>
      </c>
      <c r="L190" s="27">
        <v>0</v>
      </c>
      <c r="M190" s="27">
        <v>0</v>
      </c>
      <c r="N190" s="27">
        <v>0</v>
      </c>
      <c r="O190" s="27">
        <v>0</v>
      </c>
      <c r="P190" s="25">
        <v>50</v>
      </c>
      <c r="Q190" s="25">
        <v>1</v>
      </c>
      <c r="R190" s="25" t="s">
        <v>87</v>
      </c>
      <c r="S190" s="25" t="s">
        <v>89</v>
      </c>
      <c r="T190" s="25">
        <v>0</v>
      </c>
      <c r="U190" s="25">
        <v>0</v>
      </c>
      <c r="V190" s="25">
        <v>0</v>
      </c>
      <c r="W190" s="25">
        <v>0</v>
      </c>
      <c r="X190" s="25">
        <v>0</v>
      </c>
      <c r="Y190" s="25">
        <v>0</v>
      </c>
      <c r="Z190" s="25">
        <v>0</v>
      </c>
      <c r="AA190" s="25">
        <v>0</v>
      </c>
      <c r="AB190" s="25">
        <v>0</v>
      </c>
      <c r="AC190" s="25">
        <v>0</v>
      </c>
      <c r="AD190" s="25">
        <v>0</v>
      </c>
      <c r="AE190" s="25">
        <v>1</v>
      </c>
      <c r="AF190" s="25" t="s">
        <v>131</v>
      </c>
    </row>
    <row r="191" spans="1:32" s="25" customFormat="1" x14ac:dyDescent="0.25">
      <c r="A191" s="25" t="s">
        <v>144</v>
      </c>
      <c r="B191" s="25">
        <v>170</v>
      </c>
      <c r="C191" s="25" t="s">
        <v>12</v>
      </c>
      <c r="D191" s="25" t="s">
        <v>13</v>
      </c>
      <c r="E191" s="25" t="s">
        <v>13</v>
      </c>
      <c r="F191" s="25" t="s">
        <v>13</v>
      </c>
      <c r="G191" s="25" t="s">
        <v>13</v>
      </c>
      <c r="H191" s="27" t="s">
        <v>13</v>
      </c>
      <c r="I191" s="27" t="s">
        <v>13</v>
      </c>
      <c r="J191" s="27" t="s">
        <v>13</v>
      </c>
      <c r="K191" s="27" t="s">
        <v>13</v>
      </c>
      <c r="L191" s="27" t="s">
        <v>13</v>
      </c>
      <c r="M191" s="27" t="s">
        <v>13</v>
      </c>
      <c r="N191" s="27" t="s">
        <v>13</v>
      </c>
      <c r="O191" s="27" t="s">
        <v>13</v>
      </c>
      <c r="P191" s="25">
        <v>50</v>
      </c>
      <c r="Q191" s="25">
        <v>1</v>
      </c>
      <c r="R191" s="25" t="s">
        <v>87</v>
      </c>
      <c r="S191" s="25" t="s">
        <v>89</v>
      </c>
      <c r="T191" s="25">
        <v>0</v>
      </c>
      <c r="U191" s="25">
        <v>0</v>
      </c>
      <c r="V191" s="25">
        <v>0</v>
      </c>
      <c r="W191" s="25">
        <v>0</v>
      </c>
      <c r="X191" s="25">
        <v>0</v>
      </c>
      <c r="Y191" s="25">
        <v>0</v>
      </c>
      <c r="Z191" s="25">
        <v>0</v>
      </c>
      <c r="AA191" s="25">
        <v>0</v>
      </c>
      <c r="AB191" s="25">
        <v>0</v>
      </c>
      <c r="AC191" s="25">
        <v>0</v>
      </c>
      <c r="AD191" s="25">
        <v>0</v>
      </c>
      <c r="AE191" s="25">
        <v>1</v>
      </c>
      <c r="AF191" s="25" t="s">
        <v>128</v>
      </c>
    </row>
    <row r="192" spans="1:32" s="25" customFormat="1" x14ac:dyDescent="0.25">
      <c r="A192" s="25" t="s">
        <v>144</v>
      </c>
      <c r="B192" s="25">
        <v>180</v>
      </c>
      <c r="C192" s="25" t="s">
        <v>12</v>
      </c>
      <c r="D192" s="25" t="s">
        <v>13</v>
      </c>
      <c r="E192" s="25" t="s">
        <v>13</v>
      </c>
      <c r="F192" s="25" t="s">
        <v>13</v>
      </c>
      <c r="G192" s="25" t="s">
        <v>13</v>
      </c>
      <c r="H192" s="27" t="s">
        <v>13</v>
      </c>
      <c r="I192" s="27" t="s">
        <v>13</v>
      </c>
      <c r="J192" s="27" t="s">
        <v>13</v>
      </c>
      <c r="K192" s="27" t="s">
        <v>13</v>
      </c>
      <c r="L192" s="27" t="s">
        <v>13</v>
      </c>
      <c r="M192" s="27" t="s">
        <v>13</v>
      </c>
      <c r="N192" s="27" t="s">
        <v>13</v>
      </c>
      <c r="O192" s="27" t="s">
        <v>13</v>
      </c>
      <c r="P192" s="25">
        <v>50</v>
      </c>
      <c r="Q192" s="25">
        <v>1</v>
      </c>
      <c r="R192" s="25" t="s">
        <v>87</v>
      </c>
      <c r="S192" s="25" t="s">
        <v>89</v>
      </c>
      <c r="T192" s="25">
        <v>0</v>
      </c>
      <c r="U192" s="25">
        <v>0</v>
      </c>
      <c r="V192" s="25">
        <v>0</v>
      </c>
      <c r="W192" s="25">
        <v>0</v>
      </c>
      <c r="X192" s="25">
        <v>0</v>
      </c>
      <c r="Y192" s="25">
        <v>0</v>
      </c>
      <c r="Z192" s="25">
        <v>0</v>
      </c>
      <c r="AA192" s="25">
        <v>0</v>
      </c>
      <c r="AB192" s="25">
        <v>0</v>
      </c>
      <c r="AC192" s="25">
        <v>0</v>
      </c>
      <c r="AD192" s="25">
        <v>0</v>
      </c>
      <c r="AE192" s="25">
        <v>1</v>
      </c>
      <c r="AF192" s="25" t="s">
        <v>129</v>
      </c>
    </row>
    <row r="193" spans="1:32" x14ac:dyDescent="0.25">
      <c r="A193" s="25" t="s">
        <v>144</v>
      </c>
      <c r="B193" s="25">
        <v>190</v>
      </c>
      <c r="C193" t="s">
        <v>12</v>
      </c>
      <c r="D193" t="s">
        <v>13</v>
      </c>
      <c r="E193" t="s">
        <v>13</v>
      </c>
      <c r="F193" t="s">
        <v>13</v>
      </c>
      <c r="G193" t="s">
        <v>13</v>
      </c>
      <c r="H193" s="27" t="s">
        <v>13</v>
      </c>
      <c r="I193" s="27" t="s">
        <v>13</v>
      </c>
      <c r="J193" s="27" t="s">
        <v>13</v>
      </c>
      <c r="K193" s="27" t="s">
        <v>13</v>
      </c>
      <c r="L193" s="27" t="s">
        <v>13</v>
      </c>
      <c r="M193" s="27" t="s">
        <v>13</v>
      </c>
      <c r="N193" s="27" t="s">
        <v>13</v>
      </c>
      <c r="O193" s="27" t="s">
        <v>13</v>
      </c>
      <c r="P193">
        <v>50</v>
      </c>
      <c r="Q193">
        <v>1</v>
      </c>
      <c r="R193" t="s">
        <v>87</v>
      </c>
      <c r="S193" t="s">
        <v>89</v>
      </c>
      <c r="T193">
        <v>0</v>
      </c>
      <c r="U193">
        <v>0</v>
      </c>
      <c r="V193">
        <v>0</v>
      </c>
      <c r="W193">
        <v>0</v>
      </c>
      <c r="X193">
        <v>0</v>
      </c>
      <c r="Y193">
        <v>0</v>
      </c>
      <c r="Z193">
        <v>0</v>
      </c>
      <c r="AA193">
        <v>0</v>
      </c>
      <c r="AB193">
        <v>0</v>
      </c>
      <c r="AC193">
        <v>0</v>
      </c>
      <c r="AD193">
        <v>0</v>
      </c>
      <c r="AE193">
        <v>1</v>
      </c>
      <c r="AF193" t="s">
        <v>130</v>
      </c>
    </row>
    <row r="194" spans="1:32" x14ac:dyDescent="0.25">
      <c r="A194" s="25" t="s">
        <v>144</v>
      </c>
      <c r="B194" s="25">
        <v>200</v>
      </c>
      <c r="C194" t="s">
        <v>12</v>
      </c>
      <c r="D194">
        <v>0</v>
      </c>
      <c r="E194">
        <v>0</v>
      </c>
      <c r="F194">
        <v>500</v>
      </c>
      <c r="G194">
        <v>130</v>
      </c>
      <c r="H194" s="27">
        <v>0</v>
      </c>
      <c r="I194" s="27">
        <v>0</v>
      </c>
      <c r="J194" s="27">
        <v>0</v>
      </c>
      <c r="K194" s="27">
        <v>0</v>
      </c>
      <c r="L194" s="27">
        <v>0</v>
      </c>
      <c r="M194" s="27">
        <v>0</v>
      </c>
      <c r="N194" s="27">
        <v>0</v>
      </c>
      <c r="O194" s="27">
        <v>0</v>
      </c>
      <c r="P194">
        <v>50</v>
      </c>
      <c r="Q194">
        <v>1</v>
      </c>
      <c r="R194" t="s">
        <v>87</v>
      </c>
      <c r="S194" t="s">
        <v>89</v>
      </c>
      <c r="T194">
        <v>0</v>
      </c>
      <c r="U194">
        <v>0</v>
      </c>
      <c r="V194">
        <v>0</v>
      </c>
      <c r="W194">
        <v>0</v>
      </c>
      <c r="X194">
        <v>0</v>
      </c>
      <c r="Y194">
        <v>0</v>
      </c>
      <c r="Z194">
        <v>0</v>
      </c>
      <c r="AA194">
        <v>0</v>
      </c>
      <c r="AB194">
        <v>0</v>
      </c>
      <c r="AC194">
        <v>0</v>
      </c>
      <c r="AD194">
        <v>0</v>
      </c>
      <c r="AE194">
        <v>1</v>
      </c>
      <c r="AF194" t="s">
        <v>131</v>
      </c>
    </row>
    <row r="195" spans="1:32" x14ac:dyDescent="0.25">
      <c r="A195" s="25" t="s">
        <v>144</v>
      </c>
      <c r="B195" s="25">
        <v>210</v>
      </c>
      <c r="C195" t="s">
        <v>12</v>
      </c>
      <c r="D195">
        <v>0</v>
      </c>
      <c r="E195">
        <v>0</v>
      </c>
      <c r="F195">
        <v>500</v>
      </c>
      <c r="G195">
        <v>130</v>
      </c>
      <c r="H195" s="27">
        <v>0</v>
      </c>
      <c r="I195" s="27">
        <v>0</v>
      </c>
      <c r="J195" s="27">
        <v>0</v>
      </c>
      <c r="K195" s="27">
        <v>0</v>
      </c>
      <c r="L195" s="27">
        <v>0</v>
      </c>
      <c r="M195" s="27">
        <v>0</v>
      </c>
      <c r="N195" s="27">
        <v>0</v>
      </c>
      <c r="O195" s="27">
        <v>0</v>
      </c>
      <c r="P195">
        <v>50</v>
      </c>
      <c r="Q195">
        <v>1</v>
      </c>
      <c r="R195" t="s">
        <v>87</v>
      </c>
      <c r="S195" t="s">
        <v>89</v>
      </c>
      <c r="T195">
        <v>0</v>
      </c>
      <c r="U195">
        <v>0</v>
      </c>
      <c r="V195">
        <v>0</v>
      </c>
      <c r="W195">
        <v>0</v>
      </c>
      <c r="X195">
        <v>0</v>
      </c>
      <c r="Y195">
        <v>0</v>
      </c>
      <c r="Z195">
        <v>0</v>
      </c>
      <c r="AA195">
        <v>0</v>
      </c>
      <c r="AB195">
        <v>0</v>
      </c>
      <c r="AC195">
        <v>0</v>
      </c>
      <c r="AD195">
        <v>0</v>
      </c>
      <c r="AE195">
        <v>1</v>
      </c>
      <c r="AF195" t="s">
        <v>132</v>
      </c>
    </row>
    <row r="196" spans="1:32" s="25" customFormat="1" x14ac:dyDescent="0.25">
      <c r="A196" s="25" t="s">
        <v>144</v>
      </c>
      <c r="B196" s="25">
        <v>220</v>
      </c>
      <c r="C196" s="25" t="s">
        <v>12</v>
      </c>
      <c r="D196" s="25">
        <v>0</v>
      </c>
      <c r="E196" s="25">
        <v>0</v>
      </c>
      <c r="F196" s="25">
        <v>555</v>
      </c>
      <c r="G196" s="25">
        <v>10</v>
      </c>
      <c r="H196" s="27">
        <v>0</v>
      </c>
      <c r="I196" s="27">
        <v>0</v>
      </c>
      <c r="J196" s="27">
        <v>0</v>
      </c>
      <c r="K196" s="27">
        <v>0</v>
      </c>
      <c r="L196" s="27">
        <v>0</v>
      </c>
      <c r="M196" s="27">
        <v>0</v>
      </c>
      <c r="N196" s="27">
        <v>0</v>
      </c>
      <c r="O196" s="27">
        <v>0</v>
      </c>
      <c r="P196" s="25">
        <v>50</v>
      </c>
      <c r="Q196" s="25">
        <v>1</v>
      </c>
      <c r="R196" s="25" t="s">
        <v>87</v>
      </c>
      <c r="S196" s="25" t="s">
        <v>89</v>
      </c>
      <c r="T196" s="25">
        <v>0</v>
      </c>
      <c r="U196" s="25">
        <v>0</v>
      </c>
      <c r="V196" s="25">
        <v>0</v>
      </c>
      <c r="W196" s="25">
        <v>0</v>
      </c>
      <c r="X196" s="25">
        <v>0</v>
      </c>
      <c r="Y196" s="25">
        <v>0</v>
      </c>
      <c r="Z196" s="25">
        <v>0</v>
      </c>
      <c r="AA196" s="25">
        <v>0</v>
      </c>
      <c r="AB196" s="25">
        <v>0</v>
      </c>
      <c r="AC196" s="25">
        <v>0</v>
      </c>
      <c r="AD196" s="25">
        <v>0</v>
      </c>
      <c r="AE196" s="25">
        <v>1</v>
      </c>
      <c r="AF196" s="25" t="s">
        <v>131</v>
      </c>
    </row>
    <row r="197" spans="1:32" s="25" customFormat="1" x14ac:dyDescent="0.25">
      <c r="A197" s="25" t="s">
        <v>144</v>
      </c>
      <c r="B197" s="25">
        <v>230</v>
      </c>
      <c r="C197" s="25" t="s">
        <v>12</v>
      </c>
      <c r="D197" s="25" t="s">
        <v>13</v>
      </c>
      <c r="E197" s="25" t="s">
        <v>13</v>
      </c>
      <c r="F197" s="25" t="s">
        <v>13</v>
      </c>
      <c r="G197" s="25" t="s">
        <v>13</v>
      </c>
      <c r="H197" s="27" t="s">
        <v>13</v>
      </c>
      <c r="I197" s="27" t="s">
        <v>13</v>
      </c>
      <c r="J197" s="27" t="s">
        <v>13</v>
      </c>
      <c r="K197" s="27" t="s">
        <v>13</v>
      </c>
      <c r="L197" s="27" t="s">
        <v>13</v>
      </c>
      <c r="M197" s="27" t="s">
        <v>13</v>
      </c>
      <c r="N197" s="27" t="s">
        <v>13</v>
      </c>
      <c r="O197" s="27" t="s">
        <v>13</v>
      </c>
      <c r="P197" s="25">
        <v>50</v>
      </c>
      <c r="Q197" s="25">
        <v>1</v>
      </c>
      <c r="R197" s="25" t="s">
        <v>87</v>
      </c>
      <c r="S197" s="25" t="s">
        <v>89</v>
      </c>
      <c r="T197" s="25">
        <v>0</v>
      </c>
      <c r="U197" s="25">
        <v>0</v>
      </c>
      <c r="V197" s="25">
        <v>0</v>
      </c>
      <c r="W197" s="25">
        <v>0</v>
      </c>
      <c r="X197" s="25">
        <v>0</v>
      </c>
      <c r="Y197" s="25">
        <v>0</v>
      </c>
      <c r="Z197" s="25">
        <v>0</v>
      </c>
      <c r="AA197" s="25">
        <v>0</v>
      </c>
      <c r="AB197" s="25">
        <v>0</v>
      </c>
      <c r="AC197" s="25">
        <v>0</v>
      </c>
      <c r="AD197" s="25">
        <v>0</v>
      </c>
      <c r="AE197" s="25">
        <v>1</v>
      </c>
      <c r="AF197" s="25" t="s">
        <v>128</v>
      </c>
    </row>
    <row r="198" spans="1:32" s="25" customFormat="1" x14ac:dyDescent="0.25">
      <c r="A198" s="25" t="s">
        <v>145</v>
      </c>
      <c r="B198" s="25">
        <v>240</v>
      </c>
      <c r="C198" s="25" t="s">
        <v>12</v>
      </c>
      <c r="D198" s="25" t="s">
        <v>13</v>
      </c>
      <c r="E198" s="25" t="s">
        <v>13</v>
      </c>
      <c r="F198" s="25" t="s">
        <v>13</v>
      </c>
      <c r="G198" s="25" t="s">
        <v>13</v>
      </c>
      <c r="H198" s="27" t="s">
        <v>13</v>
      </c>
      <c r="I198" s="27" t="s">
        <v>13</v>
      </c>
      <c r="J198" s="27" t="s">
        <v>13</v>
      </c>
      <c r="K198" s="27" t="s">
        <v>13</v>
      </c>
      <c r="L198" s="27" t="s">
        <v>13</v>
      </c>
      <c r="M198" s="27" t="s">
        <v>13</v>
      </c>
      <c r="N198" s="27" t="s">
        <v>13</v>
      </c>
      <c r="O198" s="27" t="s">
        <v>13</v>
      </c>
      <c r="P198" s="25">
        <v>50</v>
      </c>
      <c r="Q198" s="25">
        <v>1</v>
      </c>
      <c r="R198" s="25" t="s">
        <v>87</v>
      </c>
      <c r="S198" s="25" t="s">
        <v>89</v>
      </c>
      <c r="T198" s="25">
        <v>0</v>
      </c>
      <c r="U198" s="25">
        <v>0</v>
      </c>
      <c r="V198" s="25">
        <v>0</v>
      </c>
      <c r="W198" s="25">
        <v>0</v>
      </c>
      <c r="X198" s="25">
        <v>0</v>
      </c>
      <c r="Y198" s="25">
        <v>0</v>
      </c>
      <c r="Z198" s="25">
        <v>0</v>
      </c>
      <c r="AA198" s="25">
        <v>0</v>
      </c>
      <c r="AB198" s="25">
        <v>0</v>
      </c>
      <c r="AC198" s="25">
        <v>0</v>
      </c>
      <c r="AD198" s="25">
        <v>0</v>
      </c>
      <c r="AE198" s="25">
        <v>1</v>
      </c>
      <c r="AF198" s="25" t="s">
        <v>129</v>
      </c>
    </row>
    <row r="199" spans="1:32" s="25" customFormat="1" x14ac:dyDescent="0.25">
      <c r="A199" s="25" t="s">
        <v>145</v>
      </c>
      <c r="B199" s="25">
        <v>250</v>
      </c>
      <c r="C199" s="25" t="s">
        <v>12</v>
      </c>
      <c r="D199" s="25" t="s">
        <v>13</v>
      </c>
      <c r="E199" s="25" t="s">
        <v>13</v>
      </c>
      <c r="F199" s="25" t="s">
        <v>13</v>
      </c>
      <c r="G199" s="25" t="s">
        <v>13</v>
      </c>
      <c r="H199" s="27" t="s">
        <v>13</v>
      </c>
      <c r="I199" s="27" t="s">
        <v>13</v>
      </c>
      <c r="J199" s="27" t="s">
        <v>13</v>
      </c>
      <c r="K199" s="27" t="s">
        <v>13</v>
      </c>
      <c r="L199" s="27" t="s">
        <v>13</v>
      </c>
      <c r="M199" s="27" t="s">
        <v>13</v>
      </c>
      <c r="N199" s="27" t="s">
        <v>13</v>
      </c>
      <c r="O199" s="27" t="s">
        <v>13</v>
      </c>
      <c r="P199" s="25">
        <v>50</v>
      </c>
      <c r="Q199" s="25">
        <v>1</v>
      </c>
      <c r="R199" s="25" t="s">
        <v>87</v>
      </c>
      <c r="S199" s="25" t="s">
        <v>89</v>
      </c>
      <c r="T199" s="25">
        <v>0</v>
      </c>
      <c r="U199" s="25">
        <v>0</v>
      </c>
      <c r="V199" s="25">
        <v>0</v>
      </c>
      <c r="W199" s="25">
        <v>0</v>
      </c>
      <c r="X199" s="25">
        <v>0</v>
      </c>
      <c r="Y199" s="25">
        <v>0</v>
      </c>
      <c r="Z199" s="25">
        <v>0</v>
      </c>
      <c r="AA199" s="25">
        <v>0</v>
      </c>
      <c r="AB199" s="25">
        <v>0</v>
      </c>
      <c r="AC199" s="25">
        <v>0</v>
      </c>
      <c r="AD199" s="25">
        <v>0</v>
      </c>
      <c r="AE199" s="25">
        <v>1</v>
      </c>
      <c r="AF199" s="25" t="s">
        <v>130</v>
      </c>
    </row>
    <row r="200" spans="1:32" x14ac:dyDescent="0.25">
      <c r="A200" s="25" t="s">
        <v>145</v>
      </c>
      <c r="B200" s="25">
        <v>260</v>
      </c>
      <c r="C200" t="s">
        <v>12</v>
      </c>
      <c r="D200">
        <v>0</v>
      </c>
      <c r="E200">
        <v>0</v>
      </c>
      <c r="F200">
        <v>500</v>
      </c>
      <c r="G200">
        <v>130</v>
      </c>
      <c r="H200" s="27">
        <v>0</v>
      </c>
      <c r="I200" s="27">
        <v>0</v>
      </c>
      <c r="J200" s="27">
        <v>0</v>
      </c>
      <c r="K200" s="27">
        <v>0</v>
      </c>
      <c r="L200" s="27">
        <v>0</v>
      </c>
      <c r="M200" s="27">
        <v>0</v>
      </c>
      <c r="N200" s="27">
        <v>0</v>
      </c>
      <c r="O200" s="27">
        <v>0</v>
      </c>
      <c r="P200">
        <v>50</v>
      </c>
      <c r="Q200">
        <v>1</v>
      </c>
      <c r="R200" t="s">
        <v>87</v>
      </c>
      <c r="S200" t="s">
        <v>89</v>
      </c>
      <c r="T200">
        <v>0</v>
      </c>
      <c r="U200">
        <v>0</v>
      </c>
      <c r="V200">
        <v>0</v>
      </c>
      <c r="W200">
        <v>0</v>
      </c>
      <c r="X200">
        <v>0</v>
      </c>
      <c r="Y200">
        <v>0</v>
      </c>
      <c r="Z200">
        <v>0</v>
      </c>
      <c r="AA200">
        <v>0</v>
      </c>
      <c r="AB200">
        <v>0</v>
      </c>
      <c r="AC200">
        <v>0</v>
      </c>
      <c r="AD200">
        <v>0</v>
      </c>
      <c r="AE200">
        <v>1</v>
      </c>
      <c r="AF200" t="s">
        <v>131</v>
      </c>
    </row>
    <row r="201" spans="1:32" x14ac:dyDescent="0.25">
      <c r="A201" s="25" t="s">
        <v>145</v>
      </c>
      <c r="B201" s="25">
        <v>270</v>
      </c>
      <c r="C201" t="s">
        <v>12</v>
      </c>
      <c r="D201">
        <v>0</v>
      </c>
      <c r="E201">
        <v>0</v>
      </c>
      <c r="F201">
        <v>500</v>
      </c>
      <c r="G201">
        <v>130</v>
      </c>
      <c r="H201" s="27">
        <v>0</v>
      </c>
      <c r="I201" s="27">
        <v>0</v>
      </c>
      <c r="J201" s="27">
        <v>0</v>
      </c>
      <c r="K201" s="27">
        <v>0</v>
      </c>
      <c r="L201" s="27">
        <v>0</v>
      </c>
      <c r="M201" s="27">
        <v>0</v>
      </c>
      <c r="N201" s="27">
        <v>0</v>
      </c>
      <c r="O201" s="27">
        <v>0</v>
      </c>
      <c r="P201">
        <v>50</v>
      </c>
      <c r="Q201">
        <v>1</v>
      </c>
      <c r="R201" t="s">
        <v>87</v>
      </c>
      <c r="S201" t="s">
        <v>89</v>
      </c>
      <c r="T201">
        <v>0</v>
      </c>
      <c r="U201">
        <v>0</v>
      </c>
      <c r="V201">
        <v>0</v>
      </c>
      <c r="W201">
        <v>0</v>
      </c>
      <c r="X201">
        <v>0</v>
      </c>
      <c r="Y201">
        <v>0</v>
      </c>
      <c r="Z201">
        <v>0</v>
      </c>
      <c r="AA201">
        <v>0</v>
      </c>
      <c r="AB201">
        <v>0</v>
      </c>
      <c r="AC201">
        <v>0</v>
      </c>
      <c r="AD201">
        <v>0</v>
      </c>
      <c r="AE201">
        <v>1</v>
      </c>
      <c r="AF201" t="s">
        <v>132</v>
      </c>
    </row>
    <row r="202" spans="1:32" x14ac:dyDescent="0.25">
      <c r="A202" s="25" t="s">
        <v>145</v>
      </c>
      <c r="B202" s="25">
        <v>280</v>
      </c>
      <c r="C202" t="s">
        <v>12</v>
      </c>
      <c r="D202">
        <v>0</v>
      </c>
      <c r="E202">
        <v>0</v>
      </c>
      <c r="F202">
        <v>555</v>
      </c>
      <c r="G202">
        <v>10</v>
      </c>
      <c r="H202" s="27">
        <v>0</v>
      </c>
      <c r="I202" s="27">
        <v>0</v>
      </c>
      <c r="J202" s="27">
        <v>0</v>
      </c>
      <c r="K202" s="27">
        <v>0</v>
      </c>
      <c r="L202" s="27">
        <v>0</v>
      </c>
      <c r="M202" s="27">
        <v>0</v>
      </c>
      <c r="N202" s="27">
        <v>0</v>
      </c>
      <c r="O202" s="27">
        <v>0</v>
      </c>
      <c r="P202">
        <v>50</v>
      </c>
      <c r="Q202">
        <v>1</v>
      </c>
      <c r="R202" t="s">
        <v>87</v>
      </c>
      <c r="S202" t="s">
        <v>89</v>
      </c>
      <c r="T202">
        <v>0</v>
      </c>
      <c r="U202">
        <v>0</v>
      </c>
      <c r="V202">
        <v>0</v>
      </c>
      <c r="W202">
        <v>0</v>
      </c>
      <c r="X202">
        <v>0</v>
      </c>
      <c r="Y202">
        <v>0</v>
      </c>
      <c r="Z202">
        <v>0</v>
      </c>
      <c r="AA202">
        <v>0</v>
      </c>
      <c r="AB202">
        <v>0</v>
      </c>
      <c r="AC202">
        <v>0</v>
      </c>
      <c r="AD202">
        <v>0</v>
      </c>
      <c r="AE202">
        <v>1</v>
      </c>
      <c r="AF202" t="s">
        <v>131</v>
      </c>
    </row>
    <row r="203" spans="1:32" x14ac:dyDescent="0.25">
      <c r="A203" s="25" t="s">
        <v>145</v>
      </c>
      <c r="B203" s="25">
        <v>290</v>
      </c>
      <c r="C203" t="s">
        <v>12</v>
      </c>
      <c r="D203" t="s">
        <v>13</v>
      </c>
      <c r="E203" t="s">
        <v>13</v>
      </c>
      <c r="F203" t="s">
        <v>13</v>
      </c>
      <c r="G203" t="s">
        <v>13</v>
      </c>
      <c r="H203" s="27" t="s">
        <v>13</v>
      </c>
      <c r="I203" s="27" t="s">
        <v>13</v>
      </c>
      <c r="J203" s="27" t="s">
        <v>13</v>
      </c>
      <c r="K203" s="27" t="s">
        <v>13</v>
      </c>
      <c r="L203" s="27" t="s">
        <v>13</v>
      </c>
      <c r="M203" s="27" t="s">
        <v>13</v>
      </c>
      <c r="N203" s="27" t="s">
        <v>13</v>
      </c>
      <c r="O203" s="27" t="s">
        <v>13</v>
      </c>
      <c r="P203">
        <v>50</v>
      </c>
      <c r="Q203">
        <v>1</v>
      </c>
      <c r="R203" t="s">
        <v>87</v>
      </c>
      <c r="S203" t="s">
        <v>89</v>
      </c>
      <c r="T203">
        <v>0</v>
      </c>
      <c r="U203">
        <v>0</v>
      </c>
      <c r="V203">
        <v>0</v>
      </c>
      <c r="W203">
        <v>0</v>
      </c>
      <c r="X203">
        <v>0</v>
      </c>
      <c r="Y203">
        <v>0</v>
      </c>
      <c r="Z203">
        <v>0</v>
      </c>
      <c r="AA203">
        <v>0</v>
      </c>
      <c r="AB203">
        <v>0</v>
      </c>
      <c r="AC203">
        <v>0</v>
      </c>
      <c r="AD203">
        <v>0</v>
      </c>
      <c r="AE203">
        <v>1</v>
      </c>
      <c r="AF203" t="s">
        <v>128</v>
      </c>
    </row>
    <row r="204" spans="1:32" x14ac:dyDescent="0.25">
      <c r="A204" s="25" t="s">
        <v>145</v>
      </c>
      <c r="B204" s="25">
        <v>300</v>
      </c>
      <c r="C204" t="s">
        <v>12</v>
      </c>
      <c r="D204" t="s">
        <v>13</v>
      </c>
      <c r="E204" t="s">
        <v>13</v>
      </c>
      <c r="F204" t="s">
        <v>13</v>
      </c>
      <c r="G204" t="s">
        <v>13</v>
      </c>
      <c r="H204" s="27" t="s">
        <v>13</v>
      </c>
      <c r="I204" s="27" t="s">
        <v>13</v>
      </c>
      <c r="J204" s="27" t="s">
        <v>13</v>
      </c>
      <c r="K204" s="27" t="s">
        <v>13</v>
      </c>
      <c r="L204" s="27" t="s">
        <v>13</v>
      </c>
      <c r="M204" s="27" t="s">
        <v>13</v>
      </c>
      <c r="N204" s="27" t="s">
        <v>13</v>
      </c>
      <c r="O204" s="27" t="s">
        <v>13</v>
      </c>
      <c r="P204">
        <v>50</v>
      </c>
      <c r="Q204">
        <v>1</v>
      </c>
      <c r="R204" t="s">
        <v>87</v>
      </c>
      <c r="S204" t="s">
        <v>89</v>
      </c>
      <c r="T204">
        <v>0</v>
      </c>
      <c r="U204">
        <v>0</v>
      </c>
      <c r="V204">
        <v>0</v>
      </c>
      <c r="W204">
        <v>0</v>
      </c>
      <c r="X204">
        <v>0</v>
      </c>
      <c r="Y204">
        <v>0</v>
      </c>
      <c r="Z204">
        <v>0</v>
      </c>
      <c r="AA204">
        <v>0</v>
      </c>
      <c r="AB204">
        <v>0</v>
      </c>
      <c r="AC204">
        <v>0</v>
      </c>
      <c r="AD204">
        <v>0</v>
      </c>
      <c r="AE204">
        <v>1</v>
      </c>
      <c r="AF204" t="s">
        <v>129</v>
      </c>
    </row>
    <row r="205" spans="1:32" s="25" customFormat="1" x14ac:dyDescent="0.25">
      <c r="A205" s="25" t="s">
        <v>145</v>
      </c>
      <c r="B205" s="25">
        <v>310</v>
      </c>
      <c r="C205" s="25" t="s">
        <v>12</v>
      </c>
      <c r="D205" s="25" t="s">
        <v>13</v>
      </c>
      <c r="E205" s="25" t="s">
        <v>13</v>
      </c>
      <c r="F205" s="25" t="s">
        <v>13</v>
      </c>
      <c r="G205" s="25" t="s">
        <v>13</v>
      </c>
      <c r="H205" s="27" t="s">
        <v>13</v>
      </c>
      <c r="I205" s="27" t="s">
        <v>13</v>
      </c>
      <c r="J205" s="27" t="s">
        <v>13</v>
      </c>
      <c r="K205" s="27" t="s">
        <v>13</v>
      </c>
      <c r="L205" s="27" t="s">
        <v>13</v>
      </c>
      <c r="M205" s="27" t="s">
        <v>13</v>
      </c>
      <c r="N205" s="27" t="s">
        <v>13</v>
      </c>
      <c r="O205" s="27" t="s">
        <v>13</v>
      </c>
      <c r="P205" s="25">
        <v>50</v>
      </c>
      <c r="Q205" s="25">
        <v>1</v>
      </c>
      <c r="R205" s="25" t="s">
        <v>87</v>
      </c>
      <c r="S205" s="25" t="s">
        <v>89</v>
      </c>
      <c r="T205" s="25">
        <v>0</v>
      </c>
      <c r="U205" s="25">
        <v>0</v>
      </c>
      <c r="V205" s="25">
        <v>0</v>
      </c>
      <c r="W205" s="25">
        <v>0</v>
      </c>
      <c r="X205" s="25">
        <v>0</v>
      </c>
      <c r="Y205" s="25">
        <v>0</v>
      </c>
      <c r="Z205" s="25">
        <v>0</v>
      </c>
      <c r="AA205" s="25">
        <v>0</v>
      </c>
      <c r="AB205" s="25">
        <v>0</v>
      </c>
      <c r="AC205" s="25">
        <v>0</v>
      </c>
      <c r="AD205" s="25">
        <v>0</v>
      </c>
      <c r="AE205" s="25">
        <v>1</v>
      </c>
      <c r="AF205" s="25" t="s">
        <v>130</v>
      </c>
    </row>
    <row r="206" spans="1:32" s="25" customFormat="1" x14ac:dyDescent="0.25">
      <c r="A206" s="25" t="s">
        <v>146</v>
      </c>
      <c r="B206" s="25">
        <v>320</v>
      </c>
      <c r="C206" s="25" t="s">
        <v>12</v>
      </c>
      <c r="D206" s="25">
        <v>0</v>
      </c>
      <c r="E206" s="25">
        <v>0</v>
      </c>
      <c r="F206" s="25">
        <v>500</v>
      </c>
      <c r="G206" s="25">
        <v>130</v>
      </c>
      <c r="H206" s="27">
        <v>0</v>
      </c>
      <c r="I206" s="27">
        <v>0</v>
      </c>
      <c r="J206" s="27">
        <v>0</v>
      </c>
      <c r="K206" s="27">
        <v>0</v>
      </c>
      <c r="L206" s="27">
        <v>0</v>
      </c>
      <c r="M206" s="27">
        <v>0</v>
      </c>
      <c r="N206" s="27">
        <v>0</v>
      </c>
      <c r="O206" s="27">
        <v>0</v>
      </c>
      <c r="P206" s="25">
        <v>50</v>
      </c>
      <c r="Q206" s="25">
        <v>1</v>
      </c>
      <c r="R206" s="25" t="s">
        <v>87</v>
      </c>
      <c r="S206" s="25" t="s">
        <v>89</v>
      </c>
      <c r="T206" s="25">
        <v>0</v>
      </c>
      <c r="U206" s="25">
        <v>0</v>
      </c>
      <c r="V206" s="25">
        <v>0</v>
      </c>
      <c r="W206" s="25">
        <v>0</v>
      </c>
      <c r="X206" s="25">
        <v>0</v>
      </c>
      <c r="Y206" s="25">
        <v>0</v>
      </c>
      <c r="Z206" s="25">
        <v>0</v>
      </c>
      <c r="AA206" s="25">
        <v>0</v>
      </c>
      <c r="AB206" s="25">
        <v>0</v>
      </c>
      <c r="AC206" s="25">
        <v>0</v>
      </c>
      <c r="AD206" s="25">
        <v>0</v>
      </c>
      <c r="AE206" s="25">
        <v>1</v>
      </c>
      <c r="AF206" s="25" t="s">
        <v>131</v>
      </c>
    </row>
    <row r="207" spans="1:32" s="25" customFormat="1" x14ac:dyDescent="0.25">
      <c r="A207" s="25" t="s">
        <v>146</v>
      </c>
      <c r="B207" s="25">
        <v>330</v>
      </c>
      <c r="C207" s="25" t="s">
        <v>12</v>
      </c>
      <c r="D207" s="25">
        <v>0</v>
      </c>
      <c r="E207" s="25">
        <v>0</v>
      </c>
      <c r="F207" s="25">
        <v>500</v>
      </c>
      <c r="G207" s="25">
        <v>130</v>
      </c>
      <c r="H207" s="27">
        <v>0</v>
      </c>
      <c r="I207" s="27">
        <v>0</v>
      </c>
      <c r="J207" s="27">
        <v>0</v>
      </c>
      <c r="K207" s="27">
        <v>0</v>
      </c>
      <c r="L207" s="27">
        <v>0</v>
      </c>
      <c r="M207" s="27">
        <v>0</v>
      </c>
      <c r="N207" s="27">
        <v>0</v>
      </c>
      <c r="O207" s="27">
        <v>0</v>
      </c>
      <c r="P207" s="25">
        <v>50</v>
      </c>
      <c r="Q207" s="25">
        <v>1</v>
      </c>
      <c r="R207" s="25" t="s">
        <v>87</v>
      </c>
      <c r="S207" s="25" t="s">
        <v>89</v>
      </c>
      <c r="T207" s="25">
        <v>0</v>
      </c>
      <c r="U207" s="25">
        <v>0</v>
      </c>
      <c r="V207" s="25">
        <v>0</v>
      </c>
      <c r="W207" s="25">
        <v>0</v>
      </c>
      <c r="X207" s="25">
        <v>0</v>
      </c>
      <c r="Y207" s="25">
        <v>0</v>
      </c>
      <c r="Z207" s="25">
        <v>0</v>
      </c>
      <c r="AA207" s="25">
        <v>0</v>
      </c>
      <c r="AB207" s="25">
        <v>0</v>
      </c>
      <c r="AC207" s="25">
        <v>0</v>
      </c>
      <c r="AD207" s="25">
        <v>0</v>
      </c>
      <c r="AE207" s="25">
        <v>1</v>
      </c>
      <c r="AF207" s="25" t="s">
        <v>132</v>
      </c>
    </row>
    <row r="208" spans="1:32" s="25" customFormat="1" x14ac:dyDescent="0.25">
      <c r="A208" s="25" t="s">
        <v>146</v>
      </c>
      <c r="B208" s="25">
        <v>340</v>
      </c>
      <c r="C208" s="25" t="s">
        <v>12</v>
      </c>
      <c r="D208" s="25">
        <v>0</v>
      </c>
      <c r="E208" s="25">
        <v>0</v>
      </c>
      <c r="F208" s="25">
        <v>555</v>
      </c>
      <c r="G208" s="25">
        <v>10</v>
      </c>
      <c r="H208" s="27">
        <v>0</v>
      </c>
      <c r="I208" s="27">
        <v>0</v>
      </c>
      <c r="J208" s="27">
        <v>0</v>
      </c>
      <c r="K208" s="27">
        <v>0</v>
      </c>
      <c r="L208" s="27">
        <v>0</v>
      </c>
      <c r="M208" s="27">
        <v>0</v>
      </c>
      <c r="N208" s="27">
        <v>0</v>
      </c>
      <c r="O208" s="27">
        <v>0</v>
      </c>
      <c r="P208" s="25">
        <v>50</v>
      </c>
      <c r="Q208" s="25">
        <v>1</v>
      </c>
      <c r="R208" s="25" t="s">
        <v>87</v>
      </c>
      <c r="S208" s="25" t="s">
        <v>89</v>
      </c>
      <c r="T208" s="25">
        <v>0</v>
      </c>
      <c r="U208" s="25">
        <v>0</v>
      </c>
      <c r="V208" s="25">
        <v>0</v>
      </c>
      <c r="W208" s="25">
        <v>0</v>
      </c>
      <c r="X208" s="25">
        <v>0</v>
      </c>
      <c r="Y208" s="25">
        <v>0</v>
      </c>
      <c r="Z208" s="25">
        <v>0</v>
      </c>
      <c r="AA208" s="25">
        <v>0</v>
      </c>
      <c r="AB208" s="25">
        <v>0</v>
      </c>
      <c r="AC208" s="25">
        <v>0</v>
      </c>
      <c r="AD208" s="25">
        <v>0</v>
      </c>
      <c r="AE208" s="25">
        <v>1</v>
      </c>
      <c r="AF208" s="25" t="s">
        <v>131</v>
      </c>
    </row>
    <row r="209" spans="1:32" x14ac:dyDescent="0.25">
      <c r="A209" s="25" t="s">
        <v>146</v>
      </c>
      <c r="B209" s="25">
        <v>350</v>
      </c>
      <c r="C209" t="s">
        <v>12</v>
      </c>
      <c r="D209" t="s">
        <v>13</v>
      </c>
      <c r="E209" t="s">
        <v>13</v>
      </c>
      <c r="F209" t="s">
        <v>13</v>
      </c>
      <c r="G209" t="s">
        <v>13</v>
      </c>
      <c r="H209" s="27" t="s">
        <v>13</v>
      </c>
      <c r="I209" s="27" t="s">
        <v>13</v>
      </c>
      <c r="J209" s="27" t="s">
        <v>13</v>
      </c>
      <c r="K209" s="27" t="s">
        <v>13</v>
      </c>
      <c r="L209" s="27" t="s">
        <v>13</v>
      </c>
      <c r="M209" s="27" t="s">
        <v>13</v>
      </c>
      <c r="N209" s="27" t="s">
        <v>13</v>
      </c>
      <c r="O209" s="27" t="s">
        <v>13</v>
      </c>
      <c r="P209">
        <v>50</v>
      </c>
      <c r="Q209">
        <v>1</v>
      </c>
      <c r="R209" t="s">
        <v>87</v>
      </c>
      <c r="S209" t="s">
        <v>89</v>
      </c>
      <c r="T209">
        <v>0</v>
      </c>
      <c r="U209">
        <v>0</v>
      </c>
      <c r="V209">
        <v>0</v>
      </c>
      <c r="W209">
        <v>0</v>
      </c>
      <c r="X209">
        <v>0</v>
      </c>
      <c r="Y209">
        <v>0</v>
      </c>
      <c r="Z209">
        <v>0</v>
      </c>
      <c r="AA209">
        <v>0</v>
      </c>
      <c r="AB209">
        <v>0</v>
      </c>
      <c r="AC209">
        <v>0</v>
      </c>
      <c r="AD209">
        <v>0</v>
      </c>
      <c r="AE209">
        <v>1</v>
      </c>
      <c r="AF209" t="s">
        <v>128</v>
      </c>
    </row>
    <row r="210" spans="1:32" x14ac:dyDescent="0.25">
      <c r="A210" s="25" t="s">
        <v>146</v>
      </c>
      <c r="B210" s="25">
        <v>360</v>
      </c>
      <c r="C210" t="s">
        <v>12</v>
      </c>
      <c r="D210" t="s">
        <v>13</v>
      </c>
      <c r="E210" t="s">
        <v>13</v>
      </c>
      <c r="F210" t="s">
        <v>13</v>
      </c>
      <c r="G210" t="s">
        <v>13</v>
      </c>
      <c r="H210" s="27" t="s">
        <v>13</v>
      </c>
      <c r="I210" s="27" t="s">
        <v>13</v>
      </c>
      <c r="J210" s="27" t="s">
        <v>13</v>
      </c>
      <c r="K210" s="27" t="s">
        <v>13</v>
      </c>
      <c r="L210" s="27" t="s">
        <v>13</v>
      </c>
      <c r="M210" s="27" t="s">
        <v>13</v>
      </c>
      <c r="N210" s="27" t="s">
        <v>13</v>
      </c>
      <c r="O210" s="27" t="s">
        <v>13</v>
      </c>
      <c r="P210">
        <v>50</v>
      </c>
      <c r="Q210">
        <v>1</v>
      </c>
      <c r="R210" t="s">
        <v>87</v>
      </c>
      <c r="S210" t="s">
        <v>89</v>
      </c>
      <c r="T210">
        <v>0</v>
      </c>
      <c r="U210">
        <v>0</v>
      </c>
      <c r="V210">
        <v>0</v>
      </c>
      <c r="W210">
        <v>0</v>
      </c>
      <c r="X210">
        <v>0</v>
      </c>
      <c r="Y210">
        <v>0</v>
      </c>
      <c r="Z210">
        <v>0</v>
      </c>
      <c r="AA210">
        <v>0</v>
      </c>
      <c r="AB210">
        <v>0</v>
      </c>
      <c r="AC210">
        <v>0</v>
      </c>
      <c r="AD210">
        <v>0</v>
      </c>
      <c r="AE210">
        <v>1</v>
      </c>
      <c r="AF210" t="s">
        <v>129</v>
      </c>
    </row>
    <row r="211" spans="1:32" x14ac:dyDescent="0.25">
      <c r="A211" s="25" t="s">
        <v>146</v>
      </c>
      <c r="B211" s="25">
        <v>370</v>
      </c>
      <c r="C211" t="s">
        <v>12</v>
      </c>
      <c r="D211" t="s">
        <v>13</v>
      </c>
      <c r="E211" t="s">
        <v>13</v>
      </c>
      <c r="F211" t="s">
        <v>13</v>
      </c>
      <c r="G211" t="s">
        <v>13</v>
      </c>
      <c r="H211" s="27" t="s">
        <v>13</v>
      </c>
      <c r="I211" s="27" t="s">
        <v>13</v>
      </c>
      <c r="J211" s="27" t="s">
        <v>13</v>
      </c>
      <c r="K211" s="27" t="s">
        <v>13</v>
      </c>
      <c r="L211" s="27" t="s">
        <v>13</v>
      </c>
      <c r="M211" s="27" t="s">
        <v>13</v>
      </c>
      <c r="N211" s="27" t="s">
        <v>13</v>
      </c>
      <c r="O211" s="27" t="s">
        <v>13</v>
      </c>
      <c r="P211">
        <v>50</v>
      </c>
      <c r="Q211">
        <v>1</v>
      </c>
      <c r="R211" t="s">
        <v>87</v>
      </c>
      <c r="S211" t="s">
        <v>89</v>
      </c>
      <c r="T211">
        <v>0</v>
      </c>
      <c r="U211">
        <v>0</v>
      </c>
      <c r="V211">
        <v>0</v>
      </c>
      <c r="W211">
        <v>0</v>
      </c>
      <c r="X211">
        <v>0</v>
      </c>
      <c r="Y211">
        <v>0</v>
      </c>
      <c r="Z211">
        <v>0</v>
      </c>
      <c r="AA211">
        <v>0</v>
      </c>
      <c r="AB211">
        <v>0</v>
      </c>
      <c r="AC211">
        <v>0</v>
      </c>
      <c r="AD211">
        <v>0</v>
      </c>
      <c r="AE211">
        <v>1</v>
      </c>
      <c r="AF211" t="s">
        <v>130</v>
      </c>
    </row>
    <row r="212" spans="1:32" s="25" customFormat="1" x14ac:dyDescent="0.25">
      <c r="A212" s="25" t="s">
        <v>146</v>
      </c>
      <c r="B212" s="25">
        <v>380</v>
      </c>
      <c r="C212" s="25" t="s">
        <v>12</v>
      </c>
      <c r="D212" s="25">
        <v>0</v>
      </c>
      <c r="E212" s="25">
        <v>0</v>
      </c>
      <c r="F212" s="25">
        <v>500</v>
      </c>
      <c r="G212" s="25">
        <v>130</v>
      </c>
      <c r="H212" s="27">
        <v>0</v>
      </c>
      <c r="I212" s="27">
        <v>0</v>
      </c>
      <c r="J212" s="27">
        <v>0</v>
      </c>
      <c r="K212" s="27">
        <v>0</v>
      </c>
      <c r="L212" s="27">
        <v>0</v>
      </c>
      <c r="M212" s="27">
        <v>0</v>
      </c>
      <c r="N212" s="27">
        <v>0</v>
      </c>
      <c r="O212" s="27">
        <v>0</v>
      </c>
      <c r="P212" s="25">
        <v>50</v>
      </c>
      <c r="Q212" s="25">
        <v>1</v>
      </c>
      <c r="R212" s="25" t="s">
        <v>87</v>
      </c>
      <c r="S212" s="25" t="s">
        <v>89</v>
      </c>
      <c r="T212" s="25">
        <v>0</v>
      </c>
      <c r="U212" s="25">
        <v>0</v>
      </c>
      <c r="V212" s="25">
        <v>0</v>
      </c>
      <c r="W212" s="25">
        <v>0</v>
      </c>
      <c r="X212" s="25">
        <v>0</v>
      </c>
      <c r="Y212" s="25">
        <v>0</v>
      </c>
      <c r="Z212" s="25">
        <v>0</v>
      </c>
      <c r="AA212" s="25">
        <v>0</v>
      </c>
      <c r="AB212" s="25">
        <v>0</v>
      </c>
      <c r="AC212" s="25">
        <v>0</v>
      </c>
      <c r="AD212" s="25">
        <v>0</v>
      </c>
      <c r="AE212" s="25">
        <v>1</v>
      </c>
      <c r="AF212" s="25" t="s">
        <v>131</v>
      </c>
    </row>
    <row r="213" spans="1:32" s="25" customFormat="1" x14ac:dyDescent="0.25">
      <c r="A213" s="25" t="s">
        <v>146</v>
      </c>
      <c r="B213" s="25">
        <v>390</v>
      </c>
      <c r="C213" s="25" t="s">
        <v>12</v>
      </c>
      <c r="D213" s="25">
        <v>0</v>
      </c>
      <c r="E213" s="25">
        <v>0</v>
      </c>
      <c r="F213" s="25">
        <v>500</v>
      </c>
      <c r="G213" s="25">
        <v>130</v>
      </c>
      <c r="H213" s="27">
        <v>0</v>
      </c>
      <c r="I213" s="27">
        <v>0</v>
      </c>
      <c r="J213" s="27">
        <v>0</v>
      </c>
      <c r="K213" s="27">
        <v>0</v>
      </c>
      <c r="L213" s="27">
        <v>0</v>
      </c>
      <c r="M213" s="27">
        <v>0</v>
      </c>
      <c r="N213" s="27">
        <v>0</v>
      </c>
      <c r="O213" s="27">
        <v>0</v>
      </c>
      <c r="P213" s="25">
        <v>50</v>
      </c>
      <c r="Q213" s="25">
        <v>1</v>
      </c>
      <c r="R213" s="25" t="s">
        <v>87</v>
      </c>
      <c r="S213" s="25" t="s">
        <v>89</v>
      </c>
      <c r="T213" s="25">
        <v>0</v>
      </c>
      <c r="U213" s="25">
        <v>0</v>
      </c>
      <c r="V213" s="25">
        <v>0</v>
      </c>
      <c r="W213" s="25">
        <v>0</v>
      </c>
      <c r="X213" s="25">
        <v>0</v>
      </c>
      <c r="Y213" s="25">
        <v>0</v>
      </c>
      <c r="Z213" s="25">
        <v>0</v>
      </c>
      <c r="AA213" s="25">
        <v>0</v>
      </c>
      <c r="AB213" s="25">
        <v>0</v>
      </c>
      <c r="AC213" s="25">
        <v>0</v>
      </c>
      <c r="AD213" s="25">
        <v>0</v>
      </c>
      <c r="AE213" s="25">
        <v>1</v>
      </c>
      <c r="AF213" s="25" t="s">
        <v>132</v>
      </c>
    </row>
    <row r="214" spans="1:32" s="25" customFormat="1" x14ac:dyDescent="0.25">
      <c r="A214" s="25" t="s">
        <v>147</v>
      </c>
      <c r="B214" s="25">
        <v>400</v>
      </c>
      <c r="C214" s="25" t="s">
        <v>12</v>
      </c>
      <c r="D214" s="25">
        <v>0</v>
      </c>
      <c r="E214" s="25">
        <v>0</v>
      </c>
      <c r="F214" s="25">
        <v>555</v>
      </c>
      <c r="G214" s="25">
        <v>10</v>
      </c>
      <c r="H214" s="27">
        <v>0</v>
      </c>
      <c r="I214" s="27">
        <v>0</v>
      </c>
      <c r="J214" s="27">
        <v>0</v>
      </c>
      <c r="K214" s="27">
        <v>0</v>
      </c>
      <c r="L214" s="27">
        <v>0</v>
      </c>
      <c r="M214" s="27">
        <v>0</v>
      </c>
      <c r="N214" s="27">
        <v>0</v>
      </c>
      <c r="O214" s="27">
        <v>0</v>
      </c>
      <c r="P214" s="25">
        <v>50</v>
      </c>
      <c r="Q214" s="25">
        <v>1</v>
      </c>
      <c r="R214" s="25" t="s">
        <v>87</v>
      </c>
      <c r="S214" s="25" t="s">
        <v>89</v>
      </c>
      <c r="T214" s="25">
        <v>0</v>
      </c>
      <c r="U214" s="25">
        <v>0</v>
      </c>
      <c r="V214" s="25">
        <v>0</v>
      </c>
      <c r="W214" s="25">
        <v>0</v>
      </c>
      <c r="X214" s="25">
        <v>0</v>
      </c>
      <c r="Y214" s="25">
        <v>0</v>
      </c>
      <c r="Z214" s="25">
        <v>0</v>
      </c>
      <c r="AA214" s="25">
        <v>0</v>
      </c>
      <c r="AB214" s="25">
        <v>0</v>
      </c>
      <c r="AC214" s="25">
        <v>0</v>
      </c>
      <c r="AD214" s="25">
        <v>0</v>
      </c>
      <c r="AE214" s="25">
        <v>1</v>
      </c>
      <c r="AF214" s="25" t="s">
        <v>131</v>
      </c>
    </row>
    <row r="215" spans="1:32" s="25" customFormat="1" x14ac:dyDescent="0.25">
      <c r="A215" s="25" t="s">
        <v>147</v>
      </c>
      <c r="B215" s="25">
        <v>410</v>
      </c>
      <c r="C215" s="25" t="s">
        <v>12</v>
      </c>
      <c r="D215" s="25" t="s">
        <v>13</v>
      </c>
      <c r="E215" s="25" t="s">
        <v>13</v>
      </c>
      <c r="F215" s="25" t="s">
        <v>13</v>
      </c>
      <c r="G215" s="25" t="s">
        <v>13</v>
      </c>
      <c r="H215" s="27" t="s">
        <v>13</v>
      </c>
      <c r="I215" s="27" t="s">
        <v>13</v>
      </c>
      <c r="J215" s="27" t="s">
        <v>13</v>
      </c>
      <c r="K215" s="27" t="s">
        <v>13</v>
      </c>
      <c r="L215" s="27" t="s">
        <v>13</v>
      </c>
      <c r="M215" s="27" t="s">
        <v>13</v>
      </c>
      <c r="N215" s="27" t="s">
        <v>13</v>
      </c>
      <c r="O215" s="27" t="s">
        <v>13</v>
      </c>
      <c r="P215" s="25">
        <v>50</v>
      </c>
      <c r="Q215" s="25">
        <v>1</v>
      </c>
      <c r="R215" s="25" t="s">
        <v>87</v>
      </c>
      <c r="S215" s="25" t="s">
        <v>89</v>
      </c>
      <c r="T215" s="25">
        <v>0</v>
      </c>
      <c r="U215" s="25">
        <v>0</v>
      </c>
      <c r="V215" s="25">
        <v>0</v>
      </c>
      <c r="W215" s="25">
        <v>0</v>
      </c>
      <c r="X215" s="25">
        <v>0</v>
      </c>
      <c r="Y215" s="25">
        <v>0</v>
      </c>
      <c r="Z215" s="25">
        <v>0</v>
      </c>
      <c r="AA215" s="25">
        <v>0</v>
      </c>
      <c r="AB215" s="25">
        <v>0</v>
      </c>
      <c r="AC215" s="25">
        <v>0</v>
      </c>
      <c r="AD215" s="25">
        <v>0</v>
      </c>
      <c r="AE215" s="25">
        <v>1</v>
      </c>
      <c r="AF215" s="25" t="s">
        <v>128</v>
      </c>
    </row>
    <row r="216" spans="1:32" x14ac:dyDescent="0.25">
      <c r="A216" s="25" t="s">
        <v>147</v>
      </c>
      <c r="B216">
        <v>420</v>
      </c>
      <c r="C216" t="s">
        <v>12</v>
      </c>
      <c r="D216" t="s">
        <v>13</v>
      </c>
      <c r="E216" t="s">
        <v>13</v>
      </c>
      <c r="F216" t="s">
        <v>13</v>
      </c>
      <c r="G216" t="s">
        <v>13</v>
      </c>
      <c r="H216" s="27" t="s">
        <v>13</v>
      </c>
      <c r="I216" s="27" t="s">
        <v>13</v>
      </c>
      <c r="J216" s="27" t="s">
        <v>13</v>
      </c>
      <c r="K216" s="27" t="s">
        <v>13</v>
      </c>
      <c r="L216" s="27" t="s">
        <v>13</v>
      </c>
      <c r="M216" s="27" t="s">
        <v>13</v>
      </c>
      <c r="N216" s="27" t="s">
        <v>13</v>
      </c>
      <c r="O216" s="27" t="s">
        <v>13</v>
      </c>
      <c r="P216">
        <v>50</v>
      </c>
      <c r="Q216">
        <v>1</v>
      </c>
      <c r="R216" t="s">
        <v>87</v>
      </c>
      <c r="S216" t="s">
        <v>89</v>
      </c>
      <c r="T216">
        <v>0</v>
      </c>
      <c r="U216">
        <v>0</v>
      </c>
      <c r="V216">
        <v>0</v>
      </c>
      <c r="W216">
        <v>0</v>
      </c>
      <c r="X216">
        <v>0</v>
      </c>
      <c r="Y216">
        <v>0</v>
      </c>
      <c r="Z216">
        <v>0</v>
      </c>
      <c r="AA216">
        <v>0</v>
      </c>
      <c r="AB216">
        <v>0</v>
      </c>
      <c r="AC216">
        <v>0</v>
      </c>
      <c r="AD216">
        <v>0</v>
      </c>
      <c r="AE216">
        <v>1</v>
      </c>
      <c r="AF216" t="s">
        <v>129</v>
      </c>
    </row>
    <row r="217" spans="1:32" x14ac:dyDescent="0.25">
      <c r="A217" t="s">
        <v>147</v>
      </c>
      <c r="B217">
        <v>430</v>
      </c>
      <c r="C217" t="s">
        <v>12</v>
      </c>
      <c r="D217" t="s">
        <v>13</v>
      </c>
      <c r="E217" t="s">
        <v>13</v>
      </c>
      <c r="F217" t="s">
        <v>13</v>
      </c>
      <c r="G217" t="s">
        <v>13</v>
      </c>
      <c r="H217" s="27" t="s">
        <v>13</v>
      </c>
      <c r="I217" s="27" t="s">
        <v>13</v>
      </c>
      <c r="J217" s="27" t="s">
        <v>13</v>
      </c>
      <c r="K217" s="27" t="s">
        <v>13</v>
      </c>
      <c r="L217" s="27" t="s">
        <v>13</v>
      </c>
      <c r="M217" s="27" t="s">
        <v>13</v>
      </c>
      <c r="N217" s="27" t="s">
        <v>13</v>
      </c>
      <c r="O217" s="27" t="s">
        <v>13</v>
      </c>
      <c r="P217">
        <v>50</v>
      </c>
      <c r="Q217">
        <v>1</v>
      </c>
      <c r="R217" t="s">
        <v>87</v>
      </c>
      <c r="S217" t="s">
        <v>89</v>
      </c>
      <c r="T217">
        <v>0</v>
      </c>
      <c r="U217">
        <v>0</v>
      </c>
      <c r="V217">
        <v>0</v>
      </c>
      <c r="W217">
        <v>0</v>
      </c>
      <c r="X217">
        <v>0</v>
      </c>
      <c r="Y217">
        <v>0</v>
      </c>
      <c r="Z217">
        <v>0</v>
      </c>
      <c r="AA217">
        <v>0</v>
      </c>
      <c r="AB217">
        <v>0</v>
      </c>
      <c r="AC217">
        <v>0</v>
      </c>
      <c r="AD217">
        <v>0</v>
      </c>
      <c r="AE217">
        <v>1</v>
      </c>
      <c r="AF217" t="s">
        <v>130</v>
      </c>
    </row>
    <row r="218" spans="1:32" x14ac:dyDescent="0.25">
      <c r="A218" t="s">
        <v>147</v>
      </c>
      <c r="B218">
        <v>440</v>
      </c>
      <c r="C218" t="s">
        <v>12</v>
      </c>
      <c r="D218">
        <v>0</v>
      </c>
      <c r="E218">
        <v>0</v>
      </c>
      <c r="F218">
        <v>500</v>
      </c>
      <c r="G218">
        <v>130</v>
      </c>
      <c r="H218" s="27">
        <v>0</v>
      </c>
      <c r="I218" s="27">
        <v>0</v>
      </c>
      <c r="J218" s="27">
        <v>0</v>
      </c>
      <c r="K218" s="27">
        <v>0</v>
      </c>
      <c r="L218" s="27">
        <v>0</v>
      </c>
      <c r="M218" s="27">
        <v>0</v>
      </c>
      <c r="N218" s="27">
        <v>0</v>
      </c>
      <c r="O218" s="27">
        <v>0</v>
      </c>
      <c r="P218">
        <v>50</v>
      </c>
      <c r="Q218">
        <v>1</v>
      </c>
      <c r="R218" t="s">
        <v>87</v>
      </c>
      <c r="S218" t="s">
        <v>89</v>
      </c>
      <c r="T218">
        <v>0</v>
      </c>
      <c r="U218">
        <v>0</v>
      </c>
      <c r="V218">
        <v>0</v>
      </c>
      <c r="W218">
        <v>0</v>
      </c>
      <c r="X218">
        <v>0</v>
      </c>
      <c r="Y218">
        <v>0</v>
      </c>
      <c r="Z218">
        <v>0</v>
      </c>
      <c r="AA218">
        <v>0</v>
      </c>
      <c r="AB218">
        <v>0</v>
      </c>
      <c r="AC218">
        <v>0</v>
      </c>
      <c r="AD218">
        <v>0</v>
      </c>
      <c r="AE218">
        <v>1</v>
      </c>
      <c r="AF218" t="s">
        <v>131</v>
      </c>
    </row>
    <row r="219" spans="1:32" x14ac:dyDescent="0.25">
      <c r="A219" t="s">
        <v>147</v>
      </c>
      <c r="B219">
        <v>450</v>
      </c>
      <c r="C219" t="s">
        <v>12</v>
      </c>
      <c r="D219">
        <v>0</v>
      </c>
      <c r="E219">
        <v>0</v>
      </c>
      <c r="F219">
        <v>500</v>
      </c>
      <c r="G219">
        <v>130</v>
      </c>
      <c r="H219" s="27">
        <v>0</v>
      </c>
      <c r="I219" s="27">
        <v>0</v>
      </c>
      <c r="J219" s="27">
        <v>0</v>
      </c>
      <c r="K219" s="27">
        <v>0</v>
      </c>
      <c r="L219" s="27">
        <v>0</v>
      </c>
      <c r="M219" s="27">
        <v>0</v>
      </c>
      <c r="N219" s="27">
        <v>0</v>
      </c>
      <c r="O219" s="27">
        <v>0</v>
      </c>
      <c r="P219">
        <v>50</v>
      </c>
      <c r="Q219">
        <v>1</v>
      </c>
      <c r="R219" t="s">
        <v>87</v>
      </c>
      <c r="S219" t="s">
        <v>89</v>
      </c>
      <c r="T219">
        <v>0</v>
      </c>
      <c r="U219">
        <v>0</v>
      </c>
      <c r="V219">
        <v>0</v>
      </c>
      <c r="W219">
        <v>0</v>
      </c>
      <c r="X219">
        <v>0</v>
      </c>
      <c r="Y219">
        <v>0</v>
      </c>
      <c r="Z219">
        <v>0</v>
      </c>
      <c r="AA219">
        <v>0</v>
      </c>
      <c r="AB219">
        <v>0</v>
      </c>
      <c r="AC219">
        <v>0</v>
      </c>
      <c r="AD219">
        <v>0</v>
      </c>
      <c r="AE219">
        <v>1</v>
      </c>
      <c r="AF219" t="s">
        <v>132</v>
      </c>
    </row>
    <row r="220" spans="1:32" x14ac:dyDescent="0.25">
      <c r="A220" t="s">
        <v>147</v>
      </c>
      <c r="B220">
        <v>460</v>
      </c>
      <c r="C220" t="s">
        <v>12</v>
      </c>
      <c r="D220">
        <v>0</v>
      </c>
      <c r="E220">
        <v>0</v>
      </c>
      <c r="F220">
        <v>555</v>
      </c>
      <c r="G220">
        <v>10</v>
      </c>
      <c r="H220" s="27">
        <v>0</v>
      </c>
      <c r="I220" s="27">
        <v>0</v>
      </c>
      <c r="J220" s="27">
        <v>0</v>
      </c>
      <c r="K220" s="27">
        <v>0</v>
      </c>
      <c r="L220" s="27">
        <v>0</v>
      </c>
      <c r="M220" s="27">
        <v>0</v>
      </c>
      <c r="N220" s="27">
        <v>0</v>
      </c>
      <c r="O220" s="27">
        <v>0</v>
      </c>
      <c r="P220">
        <v>50</v>
      </c>
      <c r="Q220">
        <v>1</v>
      </c>
      <c r="R220" t="s">
        <v>87</v>
      </c>
      <c r="S220" t="s">
        <v>89</v>
      </c>
      <c r="T220">
        <v>0</v>
      </c>
      <c r="U220">
        <v>0</v>
      </c>
      <c r="V220">
        <v>0</v>
      </c>
      <c r="W220">
        <v>0</v>
      </c>
      <c r="X220">
        <v>0</v>
      </c>
      <c r="Y220">
        <v>0</v>
      </c>
      <c r="Z220">
        <v>0</v>
      </c>
      <c r="AA220">
        <v>0</v>
      </c>
      <c r="AB220">
        <v>0</v>
      </c>
      <c r="AC220">
        <v>0</v>
      </c>
      <c r="AD220">
        <v>0</v>
      </c>
      <c r="AE220">
        <v>1</v>
      </c>
      <c r="AF220" t="s">
        <v>131</v>
      </c>
    </row>
    <row r="221" spans="1:32" x14ac:dyDescent="0.25">
      <c r="A221" t="s">
        <v>147</v>
      </c>
      <c r="B221">
        <v>470</v>
      </c>
      <c r="C221" t="s">
        <v>12</v>
      </c>
      <c r="D221" t="s">
        <v>13</v>
      </c>
      <c r="E221" t="s">
        <v>13</v>
      </c>
      <c r="F221" t="s">
        <v>13</v>
      </c>
      <c r="G221" t="s">
        <v>13</v>
      </c>
      <c r="H221" s="27" t="s">
        <v>13</v>
      </c>
      <c r="I221" s="27" t="s">
        <v>13</v>
      </c>
      <c r="J221" s="27" t="s">
        <v>13</v>
      </c>
      <c r="K221" s="27" t="s">
        <v>13</v>
      </c>
      <c r="L221" s="27" t="s">
        <v>13</v>
      </c>
      <c r="M221" s="27" t="s">
        <v>13</v>
      </c>
      <c r="N221" s="27" t="s">
        <v>13</v>
      </c>
      <c r="O221" s="27" t="s">
        <v>13</v>
      </c>
      <c r="P221">
        <v>50</v>
      </c>
      <c r="Q221">
        <v>1</v>
      </c>
      <c r="R221" t="s">
        <v>87</v>
      </c>
      <c r="S221" t="s">
        <v>89</v>
      </c>
      <c r="T221">
        <v>0</v>
      </c>
      <c r="U221">
        <v>0</v>
      </c>
      <c r="V221">
        <v>0</v>
      </c>
      <c r="W221">
        <v>0</v>
      </c>
      <c r="X221">
        <v>0</v>
      </c>
      <c r="Y221">
        <v>0</v>
      </c>
      <c r="Z221">
        <v>0</v>
      </c>
      <c r="AA221">
        <v>0</v>
      </c>
      <c r="AB221">
        <v>0</v>
      </c>
      <c r="AC221">
        <v>0</v>
      </c>
      <c r="AD221">
        <v>0</v>
      </c>
      <c r="AE221">
        <v>1</v>
      </c>
      <c r="AF221" t="s">
        <v>128</v>
      </c>
    </row>
    <row r="222" spans="1:32" x14ac:dyDescent="0.25">
      <c r="A222" t="s">
        <v>148</v>
      </c>
      <c r="B222">
        <v>480</v>
      </c>
      <c r="C222" t="s">
        <v>12</v>
      </c>
      <c r="D222" t="s">
        <v>13</v>
      </c>
      <c r="E222" t="s">
        <v>13</v>
      </c>
      <c r="F222" t="s">
        <v>13</v>
      </c>
      <c r="G222" t="s">
        <v>13</v>
      </c>
      <c r="H222" s="27" t="s">
        <v>13</v>
      </c>
      <c r="I222" s="27" t="s">
        <v>13</v>
      </c>
      <c r="J222" s="27" t="s">
        <v>13</v>
      </c>
      <c r="K222" s="27" t="s">
        <v>13</v>
      </c>
      <c r="L222" s="27" t="s">
        <v>13</v>
      </c>
      <c r="M222" s="27" t="s">
        <v>13</v>
      </c>
      <c r="N222" s="27" t="s">
        <v>13</v>
      </c>
      <c r="O222" s="27" t="s">
        <v>13</v>
      </c>
      <c r="P222">
        <v>50</v>
      </c>
      <c r="Q222">
        <v>1</v>
      </c>
      <c r="R222" t="s">
        <v>87</v>
      </c>
      <c r="S222" t="s">
        <v>89</v>
      </c>
      <c r="T222">
        <v>0</v>
      </c>
      <c r="U222">
        <v>0</v>
      </c>
      <c r="V222">
        <v>0</v>
      </c>
      <c r="W222">
        <v>0</v>
      </c>
      <c r="X222">
        <v>0</v>
      </c>
      <c r="Y222">
        <v>0</v>
      </c>
      <c r="Z222">
        <v>0</v>
      </c>
      <c r="AA222">
        <v>0</v>
      </c>
      <c r="AB222">
        <v>0</v>
      </c>
      <c r="AC222">
        <v>0</v>
      </c>
      <c r="AD222">
        <v>0</v>
      </c>
      <c r="AE222">
        <v>1</v>
      </c>
      <c r="AF222" t="s">
        <v>129</v>
      </c>
    </row>
    <row r="223" spans="1:32" x14ac:dyDescent="0.25">
      <c r="A223" t="s">
        <v>148</v>
      </c>
      <c r="B223">
        <v>490</v>
      </c>
      <c r="C223" t="s">
        <v>12</v>
      </c>
      <c r="D223" t="s">
        <v>13</v>
      </c>
      <c r="E223" t="s">
        <v>13</v>
      </c>
      <c r="F223" t="s">
        <v>13</v>
      </c>
      <c r="G223" t="s">
        <v>13</v>
      </c>
      <c r="H223" s="27" t="s">
        <v>13</v>
      </c>
      <c r="I223" s="27" t="s">
        <v>13</v>
      </c>
      <c r="J223" s="27" t="s">
        <v>13</v>
      </c>
      <c r="K223" s="27" t="s">
        <v>13</v>
      </c>
      <c r="L223" s="27" t="s">
        <v>13</v>
      </c>
      <c r="M223" s="27" t="s">
        <v>13</v>
      </c>
      <c r="N223" s="27" t="s">
        <v>13</v>
      </c>
      <c r="O223" s="27" t="s">
        <v>13</v>
      </c>
      <c r="P223">
        <v>50</v>
      </c>
      <c r="Q223">
        <v>1</v>
      </c>
      <c r="R223" t="s">
        <v>87</v>
      </c>
      <c r="S223" t="s">
        <v>89</v>
      </c>
      <c r="T223">
        <v>0</v>
      </c>
      <c r="U223">
        <v>0</v>
      </c>
      <c r="V223">
        <v>0</v>
      </c>
      <c r="W223">
        <v>0</v>
      </c>
      <c r="X223">
        <v>0</v>
      </c>
      <c r="Y223">
        <v>0</v>
      </c>
      <c r="Z223">
        <v>0</v>
      </c>
      <c r="AA223">
        <v>0</v>
      </c>
      <c r="AB223">
        <v>0</v>
      </c>
      <c r="AC223">
        <v>0</v>
      </c>
      <c r="AD223">
        <v>0</v>
      </c>
      <c r="AE223">
        <v>1</v>
      </c>
      <c r="AF223" t="s">
        <v>130</v>
      </c>
    </row>
    <row r="224" spans="1:32" x14ac:dyDescent="0.25">
      <c r="A224" t="s">
        <v>148</v>
      </c>
      <c r="B224">
        <v>500</v>
      </c>
      <c r="C224" t="s">
        <v>12</v>
      </c>
      <c r="D224">
        <v>0</v>
      </c>
      <c r="E224">
        <v>0</v>
      </c>
      <c r="F224">
        <v>500</v>
      </c>
      <c r="G224">
        <v>130</v>
      </c>
      <c r="H224" s="27">
        <v>0</v>
      </c>
      <c r="I224" s="27">
        <v>0</v>
      </c>
      <c r="J224" s="27">
        <v>0</v>
      </c>
      <c r="K224" s="27">
        <v>0</v>
      </c>
      <c r="L224" s="27">
        <v>0</v>
      </c>
      <c r="M224" s="27">
        <v>0</v>
      </c>
      <c r="N224" s="27">
        <v>0</v>
      </c>
      <c r="O224" s="27">
        <v>0</v>
      </c>
      <c r="P224">
        <v>50</v>
      </c>
      <c r="Q224">
        <v>1</v>
      </c>
      <c r="R224" t="s">
        <v>87</v>
      </c>
      <c r="S224" t="s">
        <v>89</v>
      </c>
      <c r="T224">
        <v>0</v>
      </c>
      <c r="U224">
        <v>0</v>
      </c>
      <c r="V224">
        <v>0</v>
      </c>
      <c r="W224">
        <v>0</v>
      </c>
      <c r="X224">
        <v>0</v>
      </c>
      <c r="Y224">
        <v>0</v>
      </c>
      <c r="Z224">
        <v>0</v>
      </c>
      <c r="AA224">
        <v>0</v>
      </c>
      <c r="AB224">
        <v>0</v>
      </c>
      <c r="AC224">
        <v>0</v>
      </c>
      <c r="AD224">
        <v>0</v>
      </c>
      <c r="AE224">
        <v>1</v>
      </c>
      <c r="AF224" t="s">
        <v>131</v>
      </c>
    </row>
    <row r="225" spans="1:32" x14ac:dyDescent="0.25">
      <c r="A225" t="s">
        <v>148</v>
      </c>
      <c r="B225">
        <v>510</v>
      </c>
      <c r="C225" t="s">
        <v>12</v>
      </c>
      <c r="D225">
        <v>0</v>
      </c>
      <c r="E225">
        <v>0</v>
      </c>
      <c r="F225">
        <v>500</v>
      </c>
      <c r="G225">
        <v>130</v>
      </c>
      <c r="H225" s="27">
        <v>0</v>
      </c>
      <c r="I225" s="27">
        <v>0</v>
      </c>
      <c r="J225" s="27">
        <v>0</v>
      </c>
      <c r="K225" s="27">
        <v>0</v>
      </c>
      <c r="L225" s="27">
        <v>0</v>
      </c>
      <c r="M225" s="27">
        <v>0</v>
      </c>
      <c r="N225" s="27">
        <v>0</v>
      </c>
      <c r="O225" s="27">
        <v>0</v>
      </c>
      <c r="P225">
        <v>50</v>
      </c>
      <c r="Q225">
        <v>1</v>
      </c>
      <c r="R225" t="s">
        <v>87</v>
      </c>
      <c r="S225" t="s">
        <v>89</v>
      </c>
      <c r="T225">
        <v>0</v>
      </c>
      <c r="U225">
        <v>0</v>
      </c>
      <c r="V225">
        <v>0</v>
      </c>
      <c r="W225">
        <v>0</v>
      </c>
      <c r="X225">
        <v>0</v>
      </c>
      <c r="Y225">
        <v>0</v>
      </c>
      <c r="Z225">
        <v>0</v>
      </c>
      <c r="AA225">
        <v>0</v>
      </c>
      <c r="AB225">
        <v>0</v>
      </c>
      <c r="AC225">
        <v>0</v>
      </c>
      <c r="AD225">
        <v>0</v>
      </c>
      <c r="AE225">
        <v>1</v>
      </c>
      <c r="AF225" t="s">
        <v>132</v>
      </c>
    </row>
    <row r="226" spans="1:32" x14ac:dyDescent="0.25">
      <c r="A226" t="s">
        <v>148</v>
      </c>
      <c r="B226">
        <v>520</v>
      </c>
      <c r="C226" t="s">
        <v>12</v>
      </c>
      <c r="D226">
        <v>0</v>
      </c>
      <c r="E226">
        <v>0</v>
      </c>
      <c r="F226">
        <v>555</v>
      </c>
      <c r="G226">
        <v>10</v>
      </c>
      <c r="H226" s="27">
        <v>0</v>
      </c>
      <c r="I226" s="27">
        <v>0</v>
      </c>
      <c r="J226" s="27">
        <v>0</v>
      </c>
      <c r="K226" s="27">
        <v>0</v>
      </c>
      <c r="L226" s="27">
        <v>0</v>
      </c>
      <c r="M226" s="27">
        <v>0</v>
      </c>
      <c r="N226" s="27">
        <v>0</v>
      </c>
      <c r="O226" s="27">
        <v>0</v>
      </c>
      <c r="P226">
        <v>50</v>
      </c>
      <c r="Q226">
        <v>1</v>
      </c>
      <c r="R226" t="s">
        <v>87</v>
      </c>
      <c r="S226" t="s">
        <v>89</v>
      </c>
      <c r="T226">
        <v>0</v>
      </c>
      <c r="U226">
        <v>0</v>
      </c>
      <c r="V226">
        <v>0</v>
      </c>
      <c r="W226">
        <v>0</v>
      </c>
      <c r="X226">
        <v>0</v>
      </c>
      <c r="Y226">
        <v>0</v>
      </c>
      <c r="Z226">
        <v>0</v>
      </c>
      <c r="AA226">
        <v>0</v>
      </c>
      <c r="AB226">
        <v>0</v>
      </c>
      <c r="AC226">
        <v>0</v>
      </c>
      <c r="AD226">
        <v>0</v>
      </c>
      <c r="AE226">
        <v>1</v>
      </c>
      <c r="AF226" t="s">
        <v>131</v>
      </c>
    </row>
    <row r="227" spans="1:32" x14ac:dyDescent="0.25">
      <c r="A227" t="s">
        <v>148</v>
      </c>
      <c r="B227">
        <v>530</v>
      </c>
      <c r="C227" t="s">
        <v>12</v>
      </c>
      <c r="D227" t="s">
        <v>13</v>
      </c>
      <c r="E227" t="s">
        <v>13</v>
      </c>
      <c r="F227" t="s">
        <v>13</v>
      </c>
      <c r="G227" t="s">
        <v>13</v>
      </c>
      <c r="H227" s="27" t="s">
        <v>13</v>
      </c>
      <c r="I227" s="27" t="s">
        <v>13</v>
      </c>
      <c r="J227" s="27" t="s">
        <v>13</v>
      </c>
      <c r="K227" s="27" t="s">
        <v>13</v>
      </c>
      <c r="L227" s="27" t="s">
        <v>13</v>
      </c>
      <c r="M227" s="27" t="s">
        <v>13</v>
      </c>
      <c r="N227" s="27" t="s">
        <v>13</v>
      </c>
      <c r="O227" s="27" t="s">
        <v>13</v>
      </c>
      <c r="P227">
        <v>50</v>
      </c>
      <c r="Q227">
        <v>1</v>
      </c>
      <c r="R227" t="s">
        <v>87</v>
      </c>
      <c r="S227" t="s">
        <v>89</v>
      </c>
      <c r="T227">
        <v>0</v>
      </c>
      <c r="U227">
        <v>0</v>
      </c>
      <c r="V227">
        <v>0</v>
      </c>
      <c r="W227">
        <v>0</v>
      </c>
      <c r="X227">
        <v>0</v>
      </c>
      <c r="Y227">
        <v>0</v>
      </c>
      <c r="Z227">
        <v>0</v>
      </c>
      <c r="AA227">
        <v>0</v>
      </c>
      <c r="AB227">
        <v>0</v>
      </c>
      <c r="AC227">
        <v>0</v>
      </c>
      <c r="AD227">
        <v>0</v>
      </c>
      <c r="AE227">
        <v>1</v>
      </c>
      <c r="AF227" t="s">
        <v>128</v>
      </c>
    </row>
    <row r="228" spans="1:32" x14ac:dyDescent="0.25">
      <c r="A228" t="s">
        <v>148</v>
      </c>
      <c r="B228">
        <v>540</v>
      </c>
      <c r="C228" t="s">
        <v>12</v>
      </c>
      <c r="D228" t="s">
        <v>13</v>
      </c>
      <c r="E228" t="s">
        <v>13</v>
      </c>
      <c r="F228" t="s">
        <v>13</v>
      </c>
      <c r="G228" t="s">
        <v>13</v>
      </c>
      <c r="H228" s="27" t="s">
        <v>13</v>
      </c>
      <c r="I228" s="27" t="s">
        <v>13</v>
      </c>
      <c r="J228" s="27" t="s">
        <v>13</v>
      </c>
      <c r="K228" s="27" t="s">
        <v>13</v>
      </c>
      <c r="L228" s="27" t="s">
        <v>13</v>
      </c>
      <c r="M228" s="27" t="s">
        <v>13</v>
      </c>
      <c r="N228" s="27" t="s">
        <v>13</v>
      </c>
      <c r="O228" s="27" t="s">
        <v>13</v>
      </c>
      <c r="P228">
        <v>50</v>
      </c>
      <c r="Q228">
        <v>1</v>
      </c>
      <c r="R228" t="s">
        <v>87</v>
      </c>
      <c r="S228" t="s">
        <v>89</v>
      </c>
      <c r="T228">
        <v>0</v>
      </c>
      <c r="U228">
        <v>0</v>
      </c>
      <c r="V228">
        <v>0</v>
      </c>
      <c r="W228">
        <v>0</v>
      </c>
      <c r="X228">
        <v>0</v>
      </c>
      <c r="Y228">
        <v>0</v>
      </c>
      <c r="Z228">
        <v>0</v>
      </c>
      <c r="AA228">
        <v>0</v>
      </c>
      <c r="AB228">
        <v>0</v>
      </c>
      <c r="AC228">
        <v>0</v>
      </c>
      <c r="AD228">
        <v>0</v>
      </c>
      <c r="AE228">
        <v>1</v>
      </c>
      <c r="AF228" t="s">
        <v>129</v>
      </c>
    </row>
    <row r="229" spans="1:32" x14ac:dyDescent="0.25">
      <c r="A229" t="s">
        <v>148</v>
      </c>
      <c r="B229">
        <v>550</v>
      </c>
      <c r="C229" t="s">
        <v>12</v>
      </c>
      <c r="D229" t="s">
        <v>13</v>
      </c>
      <c r="E229" t="s">
        <v>13</v>
      </c>
      <c r="F229" t="s">
        <v>13</v>
      </c>
      <c r="G229" t="s">
        <v>13</v>
      </c>
      <c r="H229" s="27" t="s">
        <v>13</v>
      </c>
      <c r="I229" s="27" t="s">
        <v>13</v>
      </c>
      <c r="J229" s="27" t="s">
        <v>13</v>
      </c>
      <c r="K229" s="27" t="s">
        <v>13</v>
      </c>
      <c r="L229" s="27" t="s">
        <v>13</v>
      </c>
      <c r="M229" s="27" t="s">
        <v>13</v>
      </c>
      <c r="N229" s="27" t="s">
        <v>13</v>
      </c>
      <c r="O229" s="27" t="s">
        <v>13</v>
      </c>
      <c r="P229">
        <v>50</v>
      </c>
      <c r="Q229">
        <v>1</v>
      </c>
      <c r="R229" t="s">
        <v>87</v>
      </c>
      <c r="S229" t="s">
        <v>89</v>
      </c>
      <c r="T229">
        <v>0</v>
      </c>
      <c r="U229">
        <v>0</v>
      </c>
      <c r="V229">
        <v>0</v>
      </c>
      <c r="W229">
        <v>0</v>
      </c>
      <c r="X229">
        <v>0</v>
      </c>
      <c r="Y229">
        <v>0</v>
      </c>
      <c r="Z229">
        <v>0</v>
      </c>
      <c r="AA229">
        <v>0</v>
      </c>
      <c r="AB229">
        <v>0</v>
      </c>
      <c r="AC229">
        <v>0</v>
      </c>
      <c r="AD229">
        <v>0</v>
      </c>
      <c r="AE229">
        <v>1</v>
      </c>
      <c r="AF229" t="s">
        <v>130</v>
      </c>
    </row>
    <row r="230" spans="1:32" x14ac:dyDescent="0.25">
      <c r="A230" t="s">
        <v>165</v>
      </c>
      <c r="B230">
        <v>560</v>
      </c>
      <c r="C230" t="s">
        <v>12</v>
      </c>
      <c r="D230">
        <v>0</v>
      </c>
      <c r="E230">
        <v>0</v>
      </c>
      <c r="F230">
        <v>500</v>
      </c>
      <c r="G230">
        <v>130</v>
      </c>
      <c r="H230" s="27">
        <v>0</v>
      </c>
      <c r="I230" s="27">
        <v>0</v>
      </c>
      <c r="J230" s="27">
        <v>0</v>
      </c>
      <c r="K230" s="27">
        <v>0</v>
      </c>
      <c r="L230" s="27">
        <v>0</v>
      </c>
      <c r="M230" s="27">
        <v>0</v>
      </c>
      <c r="N230" s="27">
        <v>0</v>
      </c>
      <c r="O230" s="27">
        <v>0</v>
      </c>
      <c r="P230">
        <v>50</v>
      </c>
      <c r="Q230">
        <v>1</v>
      </c>
      <c r="R230" t="s">
        <v>87</v>
      </c>
      <c r="S230" t="s">
        <v>89</v>
      </c>
      <c r="T230">
        <v>0</v>
      </c>
      <c r="U230">
        <v>0</v>
      </c>
      <c r="V230">
        <v>0</v>
      </c>
      <c r="W230">
        <v>0</v>
      </c>
      <c r="X230">
        <v>0</v>
      </c>
      <c r="Y230">
        <v>0</v>
      </c>
      <c r="Z230">
        <v>0</v>
      </c>
      <c r="AA230">
        <v>0</v>
      </c>
      <c r="AB230">
        <v>0</v>
      </c>
      <c r="AC230">
        <v>0</v>
      </c>
      <c r="AD230">
        <v>0</v>
      </c>
      <c r="AE230">
        <v>1</v>
      </c>
      <c r="AF230" t="s">
        <v>131</v>
      </c>
    </row>
    <row r="231" spans="1:32" x14ac:dyDescent="0.25">
      <c r="A231" t="s">
        <v>165</v>
      </c>
      <c r="B231">
        <v>570</v>
      </c>
      <c r="C231" t="s">
        <v>12</v>
      </c>
      <c r="D231">
        <v>0</v>
      </c>
      <c r="E231">
        <v>0</v>
      </c>
      <c r="F231">
        <v>500</v>
      </c>
      <c r="G231">
        <v>130</v>
      </c>
      <c r="H231" s="27">
        <v>0</v>
      </c>
      <c r="I231" s="27">
        <v>0</v>
      </c>
      <c r="J231" s="27">
        <v>0</v>
      </c>
      <c r="K231" s="27">
        <v>0</v>
      </c>
      <c r="L231" s="27">
        <v>0</v>
      </c>
      <c r="M231" s="27">
        <v>0</v>
      </c>
      <c r="N231" s="27">
        <v>0</v>
      </c>
      <c r="O231" s="27">
        <v>0</v>
      </c>
      <c r="P231">
        <v>50</v>
      </c>
      <c r="Q231">
        <v>1</v>
      </c>
      <c r="R231" t="s">
        <v>87</v>
      </c>
      <c r="S231" t="s">
        <v>89</v>
      </c>
      <c r="T231">
        <v>0</v>
      </c>
      <c r="U231">
        <v>0</v>
      </c>
      <c r="V231">
        <v>0</v>
      </c>
      <c r="W231">
        <v>0</v>
      </c>
      <c r="X231">
        <v>0</v>
      </c>
      <c r="Y231">
        <v>0</v>
      </c>
      <c r="Z231">
        <v>0</v>
      </c>
      <c r="AA231">
        <v>0</v>
      </c>
      <c r="AB231">
        <v>0</v>
      </c>
      <c r="AC231">
        <v>0</v>
      </c>
      <c r="AD231">
        <v>0</v>
      </c>
      <c r="AE231">
        <v>1</v>
      </c>
      <c r="AF231" t="s">
        <v>132</v>
      </c>
    </row>
    <row r="232" spans="1:32" x14ac:dyDescent="0.25">
      <c r="A232" t="s">
        <v>165</v>
      </c>
      <c r="B232">
        <v>580</v>
      </c>
      <c r="C232" t="s">
        <v>12</v>
      </c>
      <c r="D232">
        <v>0</v>
      </c>
      <c r="E232">
        <v>0</v>
      </c>
      <c r="F232">
        <v>555</v>
      </c>
      <c r="G232">
        <v>10</v>
      </c>
      <c r="H232" s="27">
        <v>0</v>
      </c>
      <c r="I232" s="27">
        <v>0</v>
      </c>
      <c r="J232" s="27">
        <v>0</v>
      </c>
      <c r="K232" s="27">
        <v>0</v>
      </c>
      <c r="L232" s="27">
        <v>0</v>
      </c>
      <c r="M232" s="27">
        <v>0</v>
      </c>
      <c r="N232" s="27">
        <v>0</v>
      </c>
      <c r="O232" s="27">
        <v>0</v>
      </c>
      <c r="P232">
        <v>50</v>
      </c>
      <c r="Q232">
        <v>1</v>
      </c>
      <c r="R232" t="s">
        <v>87</v>
      </c>
      <c r="S232" t="s">
        <v>89</v>
      </c>
      <c r="T232">
        <v>0</v>
      </c>
      <c r="U232">
        <v>0</v>
      </c>
      <c r="V232">
        <v>0</v>
      </c>
      <c r="W232">
        <v>0</v>
      </c>
      <c r="X232">
        <v>0</v>
      </c>
      <c r="Y232">
        <v>0</v>
      </c>
      <c r="Z232">
        <v>0</v>
      </c>
      <c r="AA232">
        <v>0</v>
      </c>
      <c r="AB232">
        <v>0</v>
      </c>
      <c r="AC232">
        <v>0</v>
      </c>
      <c r="AD232">
        <v>0</v>
      </c>
      <c r="AE232">
        <v>1</v>
      </c>
      <c r="AF232" t="s">
        <v>131</v>
      </c>
    </row>
    <row r="233" spans="1:32" x14ac:dyDescent="0.25">
      <c r="A233" t="s">
        <v>165</v>
      </c>
      <c r="B233">
        <v>590</v>
      </c>
      <c r="C233" t="s">
        <v>12</v>
      </c>
      <c r="D233" t="s">
        <v>13</v>
      </c>
      <c r="E233" t="s">
        <v>13</v>
      </c>
      <c r="F233" t="s">
        <v>13</v>
      </c>
      <c r="G233" t="s">
        <v>13</v>
      </c>
      <c r="H233" s="27" t="s">
        <v>13</v>
      </c>
      <c r="I233" s="27" t="s">
        <v>13</v>
      </c>
      <c r="J233" s="27" t="s">
        <v>13</v>
      </c>
      <c r="K233" s="27" t="s">
        <v>13</v>
      </c>
      <c r="L233" s="27" t="s">
        <v>13</v>
      </c>
      <c r="M233" s="27" t="s">
        <v>13</v>
      </c>
      <c r="N233" s="27" t="s">
        <v>13</v>
      </c>
      <c r="O233" s="27" t="s">
        <v>13</v>
      </c>
      <c r="P233">
        <v>50</v>
      </c>
      <c r="Q233">
        <v>1</v>
      </c>
      <c r="R233" t="s">
        <v>87</v>
      </c>
      <c r="S233" t="s">
        <v>89</v>
      </c>
      <c r="T233">
        <v>0</v>
      </c>
      <c r="U233">
        <v>0</v>
      </c>
      <c r="V233">
        <v>0</v>
      </c>
      <c r="W233">
        <v>0</v>
      </c>
      <c r="X233">
        <v>0</v>
      </c>
      <c r="Y233">
        <v>0</v>
      </c>
      <c r="Z233">
        <v>0</v>
      </c>
      <c r="AA233">
        <v>0</v>
      </c>
      <c r="AB233">
        <v>0</v>
      </c>
      <c r="AC233">
        <v>0</v>
      </c>
      <c r="AD233">
        <v>0</v>
      </c>
      <c r="AE233">
        <v>1</v>
      </c>
      <c r="AF233" t="s">
        <v>128</v>
      </c>
    </row>
    <row r="234" spans="1:32" x14ac:dyDescent="0.25">
      <c r="A234" t="s">
        <v>165</v>
      </c>
      <c r="B234">
        <v>600</v>
      </c>
      <c r="C234" t="s">
        <v>12</v>
      </c>
      <c r="D234" t="s">
        <v>13</v>
      </c>
      <c r="E234" t="s">
        <v>13</v>
      </c>
      <c r="F234" t="s">
        <v>13</v>
      </c>
      <c r="G234" t="s">
        <v>13</v>
      </c>
      <c r="H234" s="27" t="s">
        <v>13</v>
      </c>
      <c r="I234" s="27" t="s">
        <v>13</v>
      </c>
      <c r="J234" s="27" t="s">
        <v>13</v>
      </c>
      <c r="K234" s="27" t="s">
        <v>13</v>
      </c>
      <c r="L234" s="27" t="s">
        <v>13</v>
      </c>
      <c r="M234" s="27" t="s">
        <v>13</v>
      </c>
      <c r="N234" s="27" t="s">
        <v>13</v>
      </c>
      <c r="O234" s="27" t="s">
        <v>13</v>
      </c>
      <c r="P234">
        <v>50</v>
      </c>
      <c r="Q234">
        <v>1</v>
      </c>
      <c r="R234" t="s">
        <v>87</v>
      </c>
      <c r="S234" t="s">
        <v>89</v>
      </c>
      <c r="T234">
        <v>0</v>
      </c>
      <c r="U234">
        <v>0</v>
      </c>
      <c r="V234">
        <v>0</v>
      </c>
      <c r="W234">
        <v>0</v>
      </c>
      <c r="X234">
        <v>0</v>
      </c>
      <c r="Y234">
        <v>0</v>
      </c>
      <c r="Z234">
        <v>0</v>
      </c>
      <c r="AA234">
        <v>0</v>
      </c>
      <c r="AB234">
        <v>0</v>
      </c>
      <c r="AC234">
        <v>0</v>
      </c>
      <c r="AD234">
        <v>0</v>
      </c>
      <c r="AE234">
        <v>1</v>
      </c>
      <c r="AF234" t="s">
        <v>129</v>
      </c>
    </row>
    <row r="235" spans="1:32" x14ac:dyDescent="0.25">
      <c r="A235" t="s">
        <v>165</v>
      </c>
      <c r="B235">
        <v>610</v>
      </c>
      <c r="C235" t="s">
        <v>12</v>
      </c>
      <c r="D235" t="s">
        <v>13</v>
      </c>
      <c r="E235" t="s">
        <v>13</v>
      </c>
      <c r="F235" t="s">
        <v>13</v>
      </c>
      <c r="G235" t="s">
        <v>13</v>
      </c>
      <c r="H235" s="27" t="s">
        <v>13</v>
      </c>
      <c r="I235" s="27" t="s">
        <v>13</v>
      </c>
      <c r="J235" s="27" t="s">
        <v>13</v>
      </c>
      <c r="K235" s="27" t="s">
        <v>13</v>
      </c>
      <c r="L235" s="27" t="s">
        <v>13</v>
      </c>
      <c r="M235" s="27" t="s">
        <v>13</v>
      </c>
      <c r="N235" s="27" t="s">
        <v>13</v>
      </c>
      <c r="O235" s="27" t="s">
        <v>13</v>
      </c>
      <c r="P235">
        <v>50</v>
      </c>
      <c r="Q235">
        <v>1</v>
      </c>
      <c r="R235" t="s">
        <v>87</v>
      </c>
      <c r="S235" t="s">
        <v>89</v>
      </c>
      <c r="T235">
        <v>0</v>
      </c>
      <c r="U235">
        <v>0</v>
      </c>
      <c r="V235">
        <v>0</v>
      </c>
      <c r="W235">
        <v>0</v>
      </c>
      <c r="X235">
        <v>0</v>
      </c>
      <c r="Y235">
        <v>0</v>
      </c>
      <c r="Z235">
        <v>0</v>
      </c>
      <c r="AA235">
        <v>0</v>
      </c>
      <c r="AB235">
        <v>0</v>
      </c>
      <c r="AC235">
        <v>0</v>
      </c>
      <c r="AD235">
        <v>0</v>
      </c>
      <c r="AE235">
        <v>1</v>
      </c>
      <c r="AF235" t="s">
        <v>130</v>
      </c>
    </row>
    <row r="236" spans="1:32" x14ac:dyDescent="0.25">
      <c r="A236" t="s">
        <v>165</v>
      </c>
      <c r="B236">
        <v>620</v>
      </c>
      <c r="C236" t="s">
        <v>12</v>
      </c>
      <c r="D236">
        <v>0</v>
      </c>
      <c r="E236">
        <v>0</v>
      </c>
      <c r="F236">
        <v>500</v>
      </c>
      <c r="G236">
        <v>130</v>
      </c>
      <c r="H236" s="27">
        <v>0</v>
      </c>
      <c r="I236" s="27">
        <v>0</v>
      </c>
      <c r="J236" s="27">
        <v>0</v>
      </c>
      <c r="K236" s="27">
        <v>0</v>
      </c>
      <c r="L236" s="27">
        <v>0</v>
      </c>
      <c r="M236" s="27">
        <v>0</v>
      </c>
      <c r="N236" s="27">
        <v>0</v>
      </c>
      <c r="O236" s="27">
        <v>0</v>
      </c>
      <c r="P236">
        <v>50</v>
      </c>
      <c r="Q236">
        <v>1</v>
      </c>
      <c r="R236" t="s">
        <v>87</v>
      </c>
      <c r="S236" t="s">
        <v>89</v>
      </c>
      <c r="T236">
        <v>0</v>
      </c>
      <c r="U236">
        <v>0</v>
      </c>
      <c r="V236">
        <v>0</v>
      </c>
      <c r="W236">
        <v>0</v>
      </c>
      <c r="X236">
        <v>0</v>
      </c>
      <c r="Y236">
        <v>0</v>
      </c>
      <c r="Z236">
        <v>0</v>
      </c>
      <c r="AA236">
        <v>0</v>
      </c>
      <c r="AB236">
        <v>0</v>
      </c>
      <c r="AC236">
        <v>0</v>
      </c>
      <c r="AD236">
        <v>0</v>
      </c>
      <c r="AE236">
        <v>1</v>
      </c>
      <c r="AF236" t="s">
        <v>131</v>
      </c>
    </row>
    <row r="237" spans="1:32" x14ac:dyDescent="0.25">
      <c r="A237" t="s">
        <v>165</v>
      </c>
      <c r="B237">
        <v>630</v>
      </c>
      <c r="C237" t="s">
        <v>12</v>
      </c>
      <c r="D237">
        <v>0</v>
      </c>
      <c r="E237">
        <v>0</v>
      </c>
      <c r="F237">
        <v>500</v>
      </c>
      <c r="G237">
        <v>130</v>
      </c>
      <c r="H237" s="27">
        <v>0</v>
      </c>
      <c r="I237" s="27">
        <v>0</v>
      </c>
      <c r="J237" s="27">
        <v>0</v>
      </c>
      <c r="K237" s="27">
        <v>0</v>
      </c>
      <c r="L237" s="27">
        <v>0</v>
      </c>
      <c r="M237" s="27">
        <v>0</v>
      </c>
      <c r="N237" s="27">
        <v>0</v>
      </c>
      <c r="O237" s="27">
        <v>0</v>
      </c>
      <c r="P237">
        <v>50</v>
      </c>
      <c r="Q237">
        <v>1</v>
      </c>
      <c r="R237" t="s">
        <v>87</v>
      </c>
      <c r="S237" t="s">
        <v>89</v>
      </c>
      <c r="T237">
        <v>0</v>
      </c>
      <c r="U237">
        <v>0</v>
      </c>
      <c r="V237">
        <v>0</v>
      </c>
      <c r="W237">
        <v>0</v>
      </c>
      <c r="X237">
        <v>0</v>
      </c>
      <c r="Y237">
        <v>0</v>
      </c>
      <c r="Z237">
        <v>0</v>
      </c>
      <c r="AA237">
        <v>0</v>
      </c>
      <c r="AB237">
        <v>0</v>
      </c>
      <c r="AC237">
        <v>0</v>
      </c>
      <c r="AD237">
        <v>0</v>
      </c>
      <c r="AE237">
        <v>1</v>
      </c>
      <c r="AF237" t="s">
        <v>132</v>
      </c>
    </row>
    <row r="238" spans="1:32" x14ac:dyDescent="0.25">
      <c r="A238" t="s">
        <v>166</v>
      </c>
      <c r="B238">
        <v>640</v>
      </c>
      <c r="C238" t="s">
        <v>12</v>
      </c>
      <c r="D238">
        <v>0</v>
      </c>
      <c r="E238">
        <v>0</v>
      </c>
      <c r="F238">
        <v>555</v>
      </c>
      <c r="G238">
        <v>10</v>
      </c>
      <c r="H238" s="27">
        <v>0</v>
      </c>
      <c r="I238" s="27">
        <v>0</v>
      </c>
      <c r="J238" s="27">
        <v>0</v>
      </c>
      <c r="K238" s="27">
        <v>0</v>
      </c>
      <c r="L238" s="27">
        <v>0</v>
      </c>
      <c r="M238" s="27">
        <v>0</v>
      </c>
      <c r="N238" s="27">
        <v>0</v>
      </c>
      <c r="O238" s="27">
        <v>0</v>
      </c>
      <c r="P238">
        <v>50</v>
      </c>
      <c r="Q238">
        <v>1</v>
      </c>
      <c r="R238" t="s">
        <v>87</v>
      </c>
      <c r="S238" t="s">
        <v>89</v>
      </c>
      <c r="T238">
        <v>0</v>
      </c>
      <c r="U238">
        <v>0</v>
      </c>
      <c r="V238">
        <v>0</v>
      </c>
      <c r="W238">
        <v>0</v>
      </c>
      <c r="X238">
        <v>0</v>
      </c>
      <c r="Y238">
        <v>0</v>
      </c>
      <c r="Z238">
        <v>0</v>
      </c>
      <c r="AA238">
        <v>0</v>
      </c>
      <c r="AB238">
        <v>0</v>
      </c>
      <c r="AC238">
        <v>0</v>
      </c>
      <c r="AD238">
        <v>0</v>
      </c>
      <c r="AE238">
        <v>1</v>
      </c>
      <c r="AF238" t="s">
        <v>131</v>
      </c>
    </row>
    <row r="239" spans="1:32" x14ac:dyDescent="0.25">
      <c r="A239" t="s">
        <v>166</v>
      </c>
      <c r="B239">
        <v>650</v>
      </c>
      <c r="C239" t="s">
        <v>12</v>
      </c>
      <c r="D239" t="s">
        <v>13</v>
      </c>
      <c r="E239" t="s">
        <v>13</v>
      </c>
      <c r="F239" t="s">
        <v>13</v>
      </c>
      <c r="G239" t="s">
        <v>13</v>
      </c>
      <c r="H239" s="27" t="s">
        <v>13</v>
      </c>
      <c r="I239" s="27" t="s">
        <v>13</v>
      </c>
      <c r="J239" s="27" t="s">
        <v>13</v>
      </c>
      <c r="K239" s="27" t="s">
        <v>13</v>
      </c>
      <c r="L239" s="27" t="s">
        <v>13</v>
      </c>
      <c r="M239" s="27" t="s">
        <v>13</v>
      </c>
      <c r="N239" s="27" t="s">
        <v>13</v>
      </c>
      <c r="O239" s="27" t="s">
        <v>13</v>
      </c>
      <c r="P239">
        <v>50</v>
      </c>
      <c r="Q239">
        <v>1</v>
      </c>
      <c r="R239" t="s">
        <v>87</v>
      </c>
      <c r="S239" t="s">
        <v>89</v>
      </c>
      <c r="T239">
        <v>0</v>
      </c>
      <c r="U239">
        <v>0</v>
      </c>
      <c r="V239">
        <v>0</v>
      </c>
      <c r="W239">
        <v>0</v>
      </c>
      <c r="X239">
        <v>0</v>
      </c>
      <c r="Y239">
        <v>0</v>
      </c>
      <c r="Z239">
        <v>0</v>
      </c>
      <c r="AA239">
        <v>0</v>
      </c>
      <c r="AB239">
        <v>0</v>
      </c>
      <c r="AC239">
        <v>0</v>
      </c>
      <c r="AD239">
        <v>0</v>
      </c>
      <c r="AE239">
        <v>1</v>
      </c>
      <c r="AF239" t="s">
        <v>128</v>
      </c>
    </row>
    <row r="240" spans="1:32" x14ac:dyDescent="0.25">
      <c r="A240" t="s">
        <v>166</v>
      </c>
      <c r="B240">
        <v>660</v>
      </c>
      <c r="C240" t="s">
        <v>12</v>
      </c>
      <c r="D240" t="s">
        <v>13</v>
      </c>
      <c r="E240" t="s">
        <v>13</v>
      </c>
      <c r="F240" t="s">
        <v>13</v>
      </c>
      <c r="G240" t="s">
        <v>13</v>
      </c>
      <c r="H240" s="27" t="s">
        <v>13</v>
      </c>
      <c r="I240" s="27" t="s">
        <v>13</v>
      </c>
      <c r="J240" s="27" t="s">
        <v>13</v>
      </c>
      <c r="K240" s="27" t="s">
        <v>13</v>
      </c>
      <c r="L240" s="27" t="s">
        <v>13</v>
      </c>
      <c r="M240" s="27" t="s">
        <v>13</v>
      </c>
      <c r="N240" s="27" t="s">
        <v>13</v>
      </c>
      <c r="O240" s="27" t="s">
        <v>13</v>
      </c>
      <c r="P240">
        <v>50</v>
      </c>
      <c r="Q240">
        <v>1</v>
      </c>
      <c r="R240" t="s">
        <v>87</v>
      </c>
      <c r="S240" t="s">
        <v>89</v>
      </c>
      <c r="T240">
        <v>0</v>
      </c>
      <c r="U240">
        <v>0</v>
      </c>
      <c r="V240">
        <v>0</v>
      </c>
      <c r="W240">
        <v>0</v>
      </c>
      <c r="X240">
        <v>0</v>
      </c>
      <c r="Y240">
        <v>0</v>
      </c>
      <c r="Z240">
        <v>0</v>
      </c>
      <c r="AA240">
        <v>0</v>
      </c>
      <c r="AB240">
        <v>0</v>
      </c>
      <c r="AC240">
        <v>0</v>
      </c>
      <c r="AD240">
        <v>0</v>
      </c>
      <c r="AE240">
        <v>1</v>
      </c>
      <c r="AF240" t="s">
        <v>129</v>
      </c>
    </row>
    <row r="241" spans="1:32" x14ac:dyDescent="0.25">
      <c r="A241" t="s">
        <v>166</v>
      </c>
      <c r="B241">
        <v>670</v>
      </c>
      <c r="C241" t="s">
        <v>12</v>
      </c>
      <c r="D241" t="s">
        <v>13</v>
      </c>
      <c r="E241" t="s">
        <v>13</v>
      </c>
      <c r="F241" t="s">
        <v>13</v>
      </c>
      <c r="G241" t="s">
        <v>13</v>
      </c>
      <c r="H241" s="27" t="s">
        <v>13</v>
      </c>
      <c r="I241" s="27" t="s">
        <v>13</v>
      </c>
      <c r="J241" s="27" t="s">
        <v>13</v>
      </c>
      <c r="K241" s="27" t="s">
        <v>13</v>
      </c>
      <c r="L241" s="27" t="s">
        <v>13</v>
      </c>
      <c r="M241" s="27" t="s">
        <v>13</v>
      </c>
      <c r="N241" s="27" t="s">
        <v>13</v>
      </c>
      <c r="O241" s="27" t="s">
        <v>13</v>
      </c>
      <c r="P241">
        <v>50</v>
      </c>
      <c r="Q241">
        <v>1</v>
      </c>
      <c r="R241" t="s">
        <v>87</v>
      </c>
      <c r="S241" t="s">
        <v>89</v>
      </c>
      <c r="T241">
        <v>0</v>
      </c>
      <c r="U241">
        <v>0</v>
      </c>
      <c r="V241">
        <v>0</v>
      </c>
      <c r="W241">
        <v>0</v>
      </c>
      <c r="X241">
        <v>0</v>
      </c>
      <c r="Y241">
        <v>0</v>
      </c>
      <c r="Z241">
        <v>0</v>
      </c>
      <c r="AA241">
        <v>0</v>
      </c>
      <c r="AB241">
        <v>0</v>
      </c>
      <c r="AC241">
        <v>0</v>
      </c>
      <c r="AD241">
        <v>0</v>
      </c>
      <c r="AE241">
        <v>1</v>
      </c>
      <c r="AF241" t="s">
        <v>130</v>
      </c>
    </row>
    <row r="242" spans="1:32" x14ac:dyDescent="0.25">
      <c r="A242" t="s">
        <v>166</v>
      </c>
      <c r="B242">
        <v>680</v>
      </c>
      <c r="C242" t="s">
        <v>12</v>
      </c>
      <c r="D242">
        <v>0</v>
      </c>
      <c r="E242">
        <v>0</v>
      </c>
      <c r="F242">
        <v>500</v>
      </c>
      <c r="G242">
        <v>130</v>
      </c>
      <c r="H242" s="27">
        <v>0</v>
      </c>
      <c r="I242" s="27">
        <v>0</v>
      </c>
      <c r="J242" s="27">
        <v>0</v>
      </c>
      <c r="K242" s="27">
        <v>0</v>
      </c>
      <c r="L242" s="27">
        <v>0</v>
      </c>
      <c r="M242" s="27">
        <v>0</v>
      </c>
      <c r="N242" s="27">
        <v>0</v>
      </c>
      <c r="O242" s="27">
        <v>0</v>
      </c>
      <c r="P242">
        <v>50</v>
      </c>
      <c r="Q242">
        <v>1</v>
      </c>
      <c r="R242" t="s">
        <v>87</v>
      </c>
      <c r="S242" t="s">
        <v>89</v>
      </c>
      <c r="T242">
        <v>0</v>
      </c>
      <c r="U242">
        <v>0</v>
      </c>
      <c r="V242">
        <v>0</v>
      </c>
      <c r="W242">
        <v>0</v>
      </c>
      <c r="X242">
        <v>0</v>
      </c>
      <c r="Y242">
        <v>0</v>
      </c>
      <c r="Z242">
        <v>0</v>
      </c>
      <c r="AA242">
        <v>0</v>
      </c>
      <c r="AB242">
        <v>0</v>
      </c>
      <c r="AC242">
        <v>0</v>
      </c>
      <c r="AD242">
        <v>0</v>
      </c>
      <c r="AE242">
        <v>1</v>
      </c>
      <c r="AF242" t="s">
        <v>131</v>
      </c>
    </row>
    <row r="243" spans="1:32" x14ac:dyDescent="0.25">
      <c r="A243" t="s">
        <v>166</v>
      </c>
      <c r="B243">
        <v>690</v>
      </c>
      <c r="C243" t="s">
        <v>12</v>
      </c>
      <c r="D243">
        <v>0</v>
      </c>
      <c r="E243">
        <v>0</v>
      </c>
      <c r="F243">
        <v>500</v>
      </c>
      <c r="G243">
        <v>130</v>
      </c>
      <c r="H243" s="27">
        <v>0</v>
      </c>
      <c r="I243" s="27">
        <v>0</v>
      </c>
      <c r="J243" s="27">
        <v>0</v>
      </c>
      <c r="K243" s="27">
        <v>0</v>
      </c>
      <c r="L243" s="27">
        <v>0</v>
      </c>
      <c r="M243" s="27">
        <v>0</v>
      </c>
      <c r="N243" s="27">
        <v>0</v>
      </c>
      <c r="O243" s="27">
        <v>0</v>
      </c>
      <c r="P243">
        <v>50</v>
      </c>
      <c r="Q243">
        <v>1</v>
      </c>
      <c r="R243" t="s">
        <v>87</v>
      </c>
      <c r="S243" t="s">
        <v>89</v>
      </c>
      <c r="T243">
        <v>0</v>
      </c>
      <c r="U243">
        <v>0</v>
      </c>
      <c r="V243">
        <v>0</v>
      </c>
      <c r="W243">
        <v>0</v>
      </c>
      <c r="X243">
        <v>0</v>
      </c>
      <c r="Y243">
        <v>0</v>
      </c>
      <c r="Z243">
        <v>0</v>
      </c>
      <c r="AA243">
        <v>0</v>
      </c>
      <c r="AB243">
        <v>0</v>
      </c>
      <c r="AC243">
        <v>0</v>
      </c>
      <c r="AD243">
        <v>1</v>
      </c>
      <c r="AE243">
        <v>1</v>
      </c>
      <c r="AF243" t="s">
        <v>132</v>
      </c>
    </row>
    <row r="244" spans="1:32" x14ac:dyDescent="0.25">
      <c r="A244" t="s">
        <v>166</v>
      </c>
      <c r="B244">
        <v>700</v>
      </c>
      <c r="C244" t="s">
        <v>12</v>
      </c>
      <c r="D244">
        <v>0</v>
      </c>
      <c r="E244">
        <v>0</v>
      </c>
      <c r="F244">
        <v>555</v>
      </c>
      <c r="G244">
        <v>10</v>
      </c>
      <c r="H244" s="27">
        <v>0</v>
      </c>
      <c r="I244" s="27">
        <v>0</v>
      </c>
      <c r="J244" s="27">
        <v>0</v>
      </c>
      <c r="K244" s="27">
        <v>0</v>
      </c>
      <c r="L244" s="27">
        <v>0</v>
      </c>
      <c r="M244" s="27">
        <v>0</v>
      </c>
      <c r="N244" s="27">
        <v>0</v>
      </c>
      <c r="O244" s="27">
        <v>0</v>
      </c>
      <c r="P244">
        <v>50</v>
      </c>
      <c r="Q244">
        <v>1</v>
      </c>
      <c r="R244" t="s">
        <v>87</v>
      </c>
      <c r="S244" t="s">
        <v>89</v>
      </c>
      <c r="T244">
        <v>0</v>
      </c>
      <c r="U244">
        <v>0</v>
      </c>
      <c r="V244">
        <v>0</v>
      </c>
      <c r="W244">
        <v>0</v>
      </c>
      <c r="X244">
        <v>0</v>
      </c>
      <c r="Y244">
        <v>0</v>
      </c>
      <c r="Z244">
        <v>0</v>
      </c>
      <c r="AA244">
        <v>0</v>
      </c>
      <c r="AB244">
        <v>0</v>
      </c>
      <c r="AC244">
        <v>0</v>
      </c>
      <c r="AD244">
        <v>1</v>
      </c>
      <c r="AE244">
        <v>1</v>
      </c>
      <c r="AF244" t="s">
        <v>131</v>
      </c>
    </row>
    <row r="245" spans="1:32" x14ac:dyDescent="0.25">
      <c r="A245" t="s">
        <v>167</v>
      </c>
      <c r="B245">
        <v>10</v>
      </c>
      <c r="C245" t="s">
        <v>12</v>
      </c>
      <c r="D245">
        <v>0</v>
      </c>
      <c r="E245">
        <v>0</v>
      </c>
      <c r="F245">
        <v>100</v>
      </c>
      <c r="G245">
        <v>100</v>
      </c>
      <c r="H245" s="27">
        <v>1</v>
      </c>
      <c r="I245" s="27">
        <v>0</v>
      </c>
      <c r="J245" s="27">
        <v>0</v>
      </c>
      <c r="K245" s="27">
        <v>0</v>
      </c>
      <c r="L245" s="27">
        <v>0</v>
      </c>
      <c r="M245" s="27">
        <v>0</v>
      </c>
      <c r="N245" s="27">
        <v>0</v>
      </c>
      <c r="O245" s="27">
        <v>0</v>
      </c>
      <c r="P245" t="s">
        <v>13</v>
      </c>
      <c r="Q245" t="s">
        <v>13</v>
      </c>
      <c r="R245" t="s">
        <v>13</v>
      </c>
      <c r="S245" t="s">
        <v>13</v>
      </c>
      <c r="T245" t="s">
        <v>13</v>
      </c>
      <c r="U245" t="s">
        <v>13</v>
      </c>
      <c r="V245" t="s">
        <v>13</v>
      </c>
      <c r="W245" t="s">
        <v>13</v>
      </c>
      <c r="X245" t="s">
        <v>13</v>
      </c>
      <c r="Y245" t="s">
        <v>13</v>
      </c>
      <c r="Z245" t="s">
        <v>13</v>
      </c>
      <c r="AA245" t="s">
        <v>13</v>
      </c>
      <c r="AB245">
        <v>0</v>
      </c>
      <c r="AC245">
        <v>0</v>
      </c>
      <c r="AD245" t="s">
        <v>13</v>
      </c>
      <c r="AE245" t="s">
        <v>13</v>
      </c>
      <c r="AF245" t="s">
        <v>13</v>
      </c>
    </row>
    <row r="246" spans="1:32" x14ac:dyDescent="0.25">
      <c r="A246" t="s">
        <v>167</v>
      </c>
      <c r="B246">
        <v>10</v>
      </c>
      <c r="C246" t="s">
        <v>12</v>
      </c>
      <c r="D246">
        <v>0</v>
      </c>
      <c r="E246">
        <v>0</v>
      </c>
      <c r="F246">
        <v>200</v>
      </c>
      <c r="G246">
        <v>-22</v>
      </c>
      <c r="H246" s="27">
        <v>1</v>
      </c>
      <c r="I246" s="27">
        <v>0</v>
      </c>
      <c r="J246" s="27">
        <v>0</v>
      </c>
      <c r="K246" s="27">
        <v>0</v>
      </c>
      <c r="L246" s="27">
        <v>0</v>
      </c>
      <c r="M246" s="27">
        <v>0</v>
      </c>
      <c r="N246" s="27">
        <v>0</v>
      </c>
      <c r="O246" s="27">
        <v>0</v>
      </c>
      <c r="P246">
        <v>700</v>
      </c>
      <c r="Q246">
        <v>-22</v>
      </c>
      <c r="R246" t="s">
        <v>86</v>
      </c>
      <c r="S246" t="s">
        <v>88</v>
      </c>
      <c r="T246">
        <v>1</v>
      </c>
      <c r="U246">
        <v>0</v>
      </c>
      <c r="V246">
        <v>0</v>
      </c>
      <c r="W246">
        <v>0</v>
      </c>
      <c r="X246">
        <v>0</v>
      </c>
      <c r="Y246">
        <v>0</v>
      </c>
      <c r="Z246">
        <v>0</v>
      </c>
      <c r="AA246">
        <v>0</v>
      </c>
      <c r="AB246">
        <v>0</v>
      </c>
      <c r="AC246">
        <v>0</v>
      </c>
      <c r="AD246">
        <v>0</v>
      </c>
      <c r="AE246">
        <v>0</v>
      </c>
      <c r="AF246">
        <v>0</v>
      </c>
    </row>
    <row r="247" spans="1:32" x14ac:dyDescent="0.25">
      <c r="A247" t="s">
        <v>167</v>
      </c>
      <c r="B247">
        <f>B246+10</f>
        <v>20</v>
      </c>
      <c r="C247" t="s">
        <v>12</v>
      </c>
      <c r="D247">
        <v>0</v>
      </c>
      <c r="E247">
        <v>0</v>
      </c>
      <c r="F247" t="s">
        <v>13</v>
      </c>
      <c r="G247" t="s">
        <v>13</v>
      </c>
      <c r="H247" s="27" t="s">
        <v>13</v>
      </c>
      <c r="I247" s="27" t="s">
        <v>13</v>
      </c>
      <c r="J247" s="27" t="s">
        <v>13</v>
      </c>
      <c r="K247" s="27" t="s">
        <v>13</v>
      </c>
      <c r="L247" s="27" t="s">
        <v>13</v>
      </c>
      <c r="M247" s="27" t="s">
        <v>13</v>
      </c>
      <c r="N247" s="27" t="s">
        <v>13</v>
      </c>
      <c r="O247" s="27" t="s">
        <v>13</v>
      </c>
      <c r="P247">
        <v>700</v>
      </c>
      <c r="Q247">
        <v>560</v>
      </c>
      <c r="R247" t="s">
        <v>86</v>
      </c>
      <c r="S247" t="s">
        <v>88</v>
      </c>
      <c r="T247">
        <v>1</v>
      </c>
      <c r="U247">
        <v>0</v>
      </c>
      <c r="V247">
        <v>0</v>
      </c>
      <c r="W247">
        <v>0</v>
      </c>
      <c r="X247">
        <v>0</v>
      </c>
      <c r="Y247">
        <v>0</v>
      </c>
      <c r="Z247">
        <v>0</v>
      </c>
      <c r="AA247">
        <v>0</v>
      </c>
      <c r="AB247">
        <v>0</v>
      </c>
      <c r="AC247">
        <v>0</v>
      </c>
      <c r="AD247">
        <v>0</v>
      </c>
      <c r="AE247">
        <v>0</v>
      </c>
      <c r="AF247">
        <v>0</v>
      </c>
    </row>
    <row r="248" spans="1:32" s="25" customFormat="1" x14ac:dyDescent="0.25">
      <c r="A248" s="25" t="s">
        <v>167</v>
      </c>
      <c r="B248" s="25">
        <f t="shared" ref="B248:B252" si="0">B247+10</f>
        <v>30</v>
      </c>
      <c r="C248" s="25" t="s">
        <v>12</v>
      </c>
      <c r="D248" s="25">
        <v>0</v>
      </c>
      <c r="E248" s="25">
        <v>0</v>
      </c>
      <c r="F248" s="25" t="s">
        <v>13</v>
      </c>
      <c r="G248" s="25" t="s">
        <v>13</v>
      </c>
      <c r="H248" s="27" t="s">
        <v>13</v>
      </c>
      <c r="I248" s="27" t="s">
        <v>13</v>
      </c>
      <c r="J248" s="27" t="s">
        <v>13</v>
      </c>
      <c r="K248" s="27" t="s">
        <v>13</v>
      </c>
      <c r="L248" s="27" t="s">
        <v>13</v>
      </c>
      <c r="M248" s="27" t="s">
        <v>13</v>
      </c>
      <c r="N248" s="27" t="s">
        <v>13</v>
      </c>
      <c r="O248" s="27" t="s">
        <v>13</v>
      </c>
      <c r="P248" s="25">
        <v>700</v>
      </c>
      <c r="Q248" s="25">
        <v>560</v>
      </c>
      <c r="R248" s="25" t="s">
        <v>86</v>
      </c>
      <c r="S248" s="25" t="s">
        <v>88</v>
      </c>
      <c r="T248" s="25">
        <v>1</v>
      </c>
      <c r="U248" s="25">
        <v>0</v>
      </c>
      <c r="V248" s="25">
        <v>0</v>
      </c>
      <c r="W248" s="25">
        <v>0</v>
      </c>
      <c r="X248" s="25">
        <v>0</v>
      </c>
      <c r="Y248" s="25">
        <v>0</v>
      </c>
      <c r="Z248" s="25">
        <v>0</v>
      </c>
      <c r="AA248" s="25">
        <v>0</v>
      </c>
      <c r="AB248" s="25">
        <v>0</v>
      </c>
      <c r="AC248" s="25">
        <v>0</v>
      </c>
      <c r="AD248" s="25">
        <v>0</v>
      </c>
      <c r="AE248" s="25">
        <v>0</v>
      </c>
      <c r="AF248" s="25">
        <v>0</v>
      </c>
    </row>
    <row r="249" spans="1:32" s="25" customFormat="1" x14ac:dyDescent="0.25">
      <c r="A249" s="25" t="s">
        <v>167</v>
      </c>
      <c r="B249" s="25">
        <f t="shared" si="0"/>
        <v>40</v>
      </c>
      <c r="C249" s="25" t="s">
        <v>12</v>
      </c>
      <c r="D249" s="25">
        <v>0</v>
      </c>
      <c r="E249" s="25">
        <v>0</v>
      </c>
      <c r="F249" s="25" t="s">
        <v>13</v>
      </c>
      <c r="G249" s="25" t="s">
        <v>13</v>
      </c>
      <c r="H249" s="27" t="s">
        <v>13</v>
      </c>
      <c r="I249" s="27" t="s">
        <v>13</v>
      </c>
      <c r="J249" s="27" t="s">
        <v>13</v>
      </c>
      <c r="K249" s="27" t="s">
        <v>13</v>
      </c>
      <c r="L249" s="27" t="s">
        <v>13</v>
      </c>
      <c r="M249" s="27" t="s">
        <v>13</v>
      </c>
      <c r="N249" s="27" t="s">
        <v>13</v>
      </c>
      <c r="O249" s="27" t="s">
        <v>13</v>
      </c>
      <c r="P249" s="25">
        <v>700</v>
      </c>
      <c r="Q249" s="25">
        <v>560</v>
      </c>
      <c r="R249" s="25" t="s">
        <v>86</v>
      </c>
      <c r="S249" s="25" t="s">
        <v>88</v>
      </c>
      <c r="T249" s="25">
        <v>1</v>
      </c>
      <c r="U249" s="25">
        <v>0</v>
      </c>
      <c r="V249" s="25">
        <v>0</v>
      </c>
      <c r="W249" s="25">
        <v>0</v>
      </c>
      <c r="X249" s="25">
        <v>0</v>
      </c>
      <c r="Y249" s="25">
        <v>0</v>
      </c>
      <c r="Z249" s="25">
        <v>0</v>
      </c>
      <c r="AA249" s="25">
        <v>0</v>
      </c>
      <c r="AB249" s="25">
        <v>0</v>
      </c>
      <c r="AC249" s="25">
        <v>0</v>
      </c>
      <c r="AD249" s="25">
        <v>0</v>
      </c>
      <c r="AE249" s="25">
        <v>0</v>
      </c>
      <c r="AF249" s="25">
        <v>0</v>
      </c>
    </row>
    <row r="250" spans="1:32" s="25" customFormat="1" x14ac:dyDescent="0.25">
      <c r="A250" s="25" t="s">
        <v>167</v>
      </c>
      <c r="B250" s="25">
        <f t="shared" si="0"/>
        <v>50</v>
      </c>
      <c r="C250" s="25" t="s">
        <v>12</v>
      </c>
      <c r="D250" s="25">
        <v>0</v>
      </c>
      <c r="E250" s="25">
        <v>0</v>
      </c>
      <c r="F250" s="25" t="s">
        <v>13</v>
      </c>
      <c r="G250" s="25" t="s">
        <v>13</v>
      </c>
      <c r="H250" s="27" t="s">
        <v>13</v>
      </c>
      <c r="I250" s="27" t="s">
        <v>13</v>
      </c>
      <c r="J250" s="27" t="s">
        <v>13</v>
      </c>
      <c r="K250" s="27" t="s">
        <v>13</v>
      </c>
      <c r="L250" s="27" t="s">
        <v>13</v>
      </c>
      <c r="M250" s="27" t="s">
        <v>13</v>
      </c>
      <c r="N250" s="27" t="s">
        <v>13</v>
      </c>
      <c r="O250" s="27" t="s">
        <v>13</v>
      </c>
      <c r="P250" s="25">
        <v>700</v>
      </c>
      <c r="Q250" s="25">
        <v>560</v>
      </c>
      <c r="R250" s="25" t="s">
        <v>86</v>
      </c>
      <c r="S250" s="25" t="s">
        <v>88</v>
      </c>
      <c r="T250" s="25">
        <v>1</v>
      </c>
      <c r="U250" s="25">
        <v>0</v>
      </c>
      <c r="V250" s="25">
        <v>0</v>
      </c>
      <c r="W250" s="25">
        <v>0</v>
      </c>
      <c r="X250" s="25">
        <v>0</v>
      </c>
      <c r="Y250" s="25">
        <v>0</v>
      </c>
      <c r="Z250" s="25">
        <v>0</v>
      </c>
      <c r="AA250" s="25">
        <v>0</v>
      </c>
      <c r="AB250" s="25">
        <v>0</v>
      </c>
      <c r="AC250" s="25">
        <v>0</v>
      </c>
      <c r="AD250" s="25">
        <v>0</v>
      </c>
      <c r="AE250" s="25">
        <v>0</v>
      </c>
      <c r="AF250" s="25">
        <v>0</v>
      </c>
    </row>
    <row r="251" spans="1:32" s="25" customFormat="1" x14ac:dyDescent="0.25">
      <c r="A251" s="25" t="s">
        <v>167</v>
      </c>
      <c r="B251" s="25">
        <f t="shared" si="0"/>
        <v>60</v>
      </c>
      <c r="C251" s="25" t="s">
        <v>12</v>
      </c>
      <c r="D251" s="25">
        <v>0</v>
      </c>
      <c r="E251" s="25">
        <v>0</v>
      </c>
      <c r="F251" s="25" t="s">
        <v>13</v>
      </c>
      <c r="G251" s="25" t="s">
        <v>13</v>
      </c>
      <c r="H251" s="27" t="s">
        <v>13</v>
      </c>
      <c r="I251" s="27" t="s">
        <v>13</v>
      </c>
      <c r="J251" s="27" t="s">
        <v>13</v>
      </c>
      <c r="K251" s="27" t="s">
        <v>13</v>
      </c>
      <c r="L251" s="27" t="s">
        <v>13</v>
      </c>
      <c r="M251" s="27" t="s">
        <v>13</v>
      </c>
      <c r="N251" s="27" t="s">
        <v>13</v>
      </c>
      <c r="O251" s="27" t="s">
        <v>13</v>
      </c>
      <c r="P251" s="25">
        <v>700</v>
      </c>
      <c r="Q251" s="25">
        <v>560</v>
      </c>
      <c r="R251" s="25" t="s">
        <v>86</v>
      </c>
      <c r="S251" s="25" t="s">
        <v>88</v>
      </c>
      <c r="T251" s="25">
        <v>1</v>
      </c>
      <c r="U251" s="25">
        <v>0</v>
      </c>
      <c r="V251" s="25">
        <v>0</v>
      </c>
      <c r="W251" s="25">
        <v>0</v>
      </c>
      <c r="X251" s="25">
        <v>0</v>
      </c>
      <c r="Y251" s="25">
        <v>0</v>
      </c>
      <c r="Z251" s="25">
        <v>0</v>
      </c>
      <c r="AA251" s="25">
        <v>0</v>
      </c>
      <c r="AB251" s="25">
        <v>0</v>
      </c>
      <c r="AC251" s="25">
        <v>0</v>
      </c>
      <c r="AD251" s="25">
        <v>0</v>
      </c>
      <c r="AE251" s="25">
        <v>0</v>
      </c>
      <c r="AF251" s="25">
        <v>0</v>
      </c>
    </row>
    <row r="252" spans="1:32" x14ac:dyDescent="0.25">
      <c r="A252" t="s">
        <v>167</v>
      </c>
      <c r="B252" s="25">
        <f t="shared" si="0"/>
        <v>70</v>
      </c>
      <c r="C252" t="s">
        <v>12</v>
      </c>
      <c r="D252">
        <v>0</v>
      </c>
      <c r="E252">
        <v>0</v>
      </c>
      <c r="F252">
        <v>200</v>
      </c>
      <c r="G252">
        <v>1</v>
      </c>
      <c r="H252" s="27">
        <v>1</v>
      </c>
      <c r="I252" s="27">
        <v>1</v>
      </c>
      <c r="J252" s="27">
        <v>0</v>
      </c>
      <c r="K252" s="27">
        <v>0</v>
      </c>
      <c r="L252" s="27">
        <v>0</v>
      </c>
      <c r="M252" s="27">
        <v>0</v>
      </c>
      <c r="N252" s="27">
        <v>0</v>
      </c>
      <c r="O252" s="27">
        <v>0</v>
      </c>
      <c r="P252">
        <v>700</v>
      </c>
      <c r="Q252">
        <v>560</v>
      </c>
      <c r="R252" t="s">
        <v>86</v>
      </c>
      <c r="S252" t="s">
        <v>88</v>
      </c>
      <c r="T252">
        <v>1</v>
      </c>
      <c r="U252">
        <v>1</v>
      </c>
      <c r="V252">
        <v>0</v>
      </c>
      <c r="W252">
        <v>0</v>
      </c>
      <c r="X252">
        <v>0</v>
      </c>
      <c r="Y252">
        <v>0</v>
      </c>
      <c r="Z252">
        <v>0</v>
      </c>
      <c r="AA252">
        <v>0</v>
      </c>
      <c r="AB252">
        <v>0</v>
      </c>
      <c r="AC252">
        <v>0</v>
      </c>
      <c r="AD252">
        <v>0</v>
      </c>
      <c r="AE252">
        <v>1</v>
      </c>
      <c r="AF252">
        <v>0</v>
      </c>
    </row>
    <row r="253" spans="1:32" s="25" customFormat="1" x14ac:dyDescent="0.25">
      <c r="A253" s="25" t="s">
        <v>167</v>
      </c>
      <c r="B253" s="25">
        <f t="shared" ref="B253:B257" si="1">B252+10</f>
        <v>80</v>
      </c>
      <c r="C253" s="25" t="s">
        <v>12</v>
      </c>
      <c r="D253" s="25">
        <v>0</v>
      </c>
      <c r="E253" s="25">
        <v>0</v>
      </c>
      <c r="F253" s="25">
        <v>200</v>
      </c>
      <c r="G253" s="25">
        <v>1</v>
      </c>
      <c r="H253" s="27">
        <v>1</v>
      </c>
      <c r="I253" s="27">
        <v>1</v>
      </c>
      <c r="J253" s="27">
        <v>0</v>
      </c>
      <c r="K253" s="27">
        <v>0</v>
      </c>
      <c r="L253" s="27">
        <v>0</v>
      </c>
      <c r="M253" s="27">
        <v>0</v>
      </c>
      <c r="N253" s="27">
        <v>0</v>
      </c>
      <c r="O253" s="27">
        <v>0</v>
      </c>
      <c r="P253" s="25">
        <v>700</v>
      </c>
      <c r="Q253" s="25">
        <v>560</v>
      </c>
      <c r="R253" s="25" t="s">
        <v>86</v>
      </c>
      <c r="S253" s="25" t="s">
        <v>88</v>
      </c>
      <c r="T253" s="25">
        <v>1</v>
      </c>
      <c r="U253" s="25">
        <v>1</v>
      </c>
      <c r="V253" s="25">
        <v>0</v>
      </c>
      <c r="W253" s="25">
        <v>0</v>
      </c>
      <c r="X253" s="25">
        <v>0</v>
      </c>
      <c r="Y253" s="25">
        <v>0</v>
      </c>
      <c r="Z253" s="25">
        <v>0</v>
      </c>
      <c r="AA253" s="25">
        <v>0</v>
      </c>
      <c r="AB253" s="25">
        <v>0</v>
      </c>
      <c r="AC253" s="25">
        <v>0</v>
      </c>
      <c r="AD253" s="25">
        <v>0</v>
      </c>
      <c r="AE253" s="25">
        <v>1</v>
      </c>
      <c r="AF253" s="25">
        <v>0</v>
      </c>
    </row>
    <row r="254" spans="1:32" s="25" customFormat="1" x14ac:dyDescent="0.25">
      <c r="A254" s="25" t="s">
        <v>167</v>
      </c>
      <c r="B254" s="25">
        <f t="shared" si="1"/>
        <v>90</v>
      </c>
      <c r="C254" s="25" t="s">
        <v>12</v>
      </c>
      <c r="D254" s="25">
        <v>0</v>
      </c>
      <c r="E254" s="25">
        <v>0</v>
      </c>
      <c r="F254" s="25">
        <v>200</v>
      </c>
      <c r="G254" s="25">
        <v>1</v>
      </c>
      <c r="H254" s="27">
        <v>1</v>
      </c>
      <c r="I254" s="27">
        <v>1</v>
      </c>
      <c r="J254" s="27">
        <v>0</v>
      </c>
      <c r="K254" s="27">
        <v>0</v>
      </c>
      <c r="L254" s="27">
        <v>0</v>
      </c>
      <c r="M254" s="27">
        <v>0</v>
      </c>
      <c r="N254" s="27">
        <v>0</v>
      </c>
      <c r="O254" s="27">
        <v>0</v>
      </c>
      <c r="P254" s="25">
        <v>700</v>
      </c>
      <c r="Q254" s="25">
        <v>560</v>
      </c>
      <c r="R254" s="25" t="s">
        <v>86</v>
      </c>
      <c r="S254" s="25" t="s">
        <v>88</v>
      </c>
      <c r="T254" s="25">
        <v>1</v>
      </c>
      <c r="U254" s="25">
        <v>1</v>
      </c>
      <c r="V254" s="25">
        <v>0</v>
      </c>
      <c r="W254" s="25">
        <v>0</v>
      </c>
      <c r="X254" s="25">
        <v>0</v>
      </c>
      <c r="Y254" s="25">
        <v>0</v>
      </c>
      <c r="Z254" s="25">
        <v>0</v>
      </c>
      <c r="AA254" s="25">
        <v>0</v>
      </c>
      <c r="AB254" s="25">
        <v>0</v>
      </c>
      <c r="AC254" s="25">
        <v>0</v>
      </c>
      <c r="AD254" s="25">
        <v>0</v>
      </c>
      <c r="AE254" s="25">
        <v>1</v>
      </c>
      <c r="AF254" s="25">
        <v>0</v>
      </c>
    </row>
    <row r="255" spans="1:32" s="25" customFormat="1" x14ac:dyDescent="0.25">
      <c r="A255" s="25" t="s">
        <v>167</v>
      </c>
      <c r="B255" s="25">
        <f t="shared" si="1"/>
        <v>100</v>
      </c>
      <c r="C255" s="25" t="s">
        <v>12</v>
      </c>
      <c r="D255" s="25">
        <v>0</v>
      </c>
      <c r="E255" s="25">
        <v>0</v>
      </c>
      <c r="F255" s="25">
        <v>200</v>
      </c>
      <c r="G255" s="25">
        <v>1</v>
      </c>
      <c r="H255" s="27">
        <v>1</v>
      </c>
      <c r="I255" s="27">
        <v>1</v>
      </c>
      <c r="J255" s="27">
        <v>0</v>
      </c>
      <c r="K255" s="27">
        <v>0</v>
      </c>
      <c r="L255" s="27">
        <v>0</v>
      </c>
      <c r="M255" s="27">
        <v>0</v>
      </c>
      <c r="N255" s="27">
        <v>0</v>
      </c>
      <c r="O255" s="27">
        <v>0</v>
      </c>
      <c r="P255" s="25">
        <v>700</v>
      </c>
      <c r="Q255" s="25">
        <v>560</v>
      </c>
      <c r="R255" s="25" t="s">
        <v>86</v>
      </c>
      <c r="S255" s="25" t="s">
        <v>88</v>
      </c>
      <c r="T255" s="25">
        <v>1</v>
      </c>
      <c r="U255" s="25">
        <v>1</v>
      </c>
      <c r="V255" s="25">
        <v>0</v>
      </c>
      <c r="W255" s="25">
        <v>0</v>
      </c>
      <c r="X255" s="25">
        <v>0</v>
      </c>
      <c r="Y255" s="25">
        <v>0</v>
      </c>
      <c r="Z255" s="25">
        <v>0</v>
      </c>
      <c r="AA255" s="25">
        <v>0</v>
      </c>
      <c r="AB255" s="25">
        <v>0</v>
      </c>
      <c r="AC255" s="25">
        <v>0</v>
      </c>
      <c r="AD255" s="25">
        <v>0</v>
      </c>
      <c r="AE255" s="25">
        <v>1</v>
      </c>
      <c r="AF255" s="25">
        <v>0</v>
      </c>
    </row>
    <row r="256" spans="1:32" x14ac:dyDescent="0.25">
      <c r="A256" t="s">
        <v>167</v>
      </c>
      <c r="B256" s="25">
        <f t="shared" si="1"/>
        <v>110</v>
      </c>
      <c r="C256" t="s">
        <v>12</v>
      </c>
      <c r="D256">
        <v>0</v>
      </c>
      <c r="E256">
        <v>0</v>
      </c>
      <c r="F256" t="s">
        <v>13</v>
      </c>
      <c r="G256" t="s">
        <v>13</v>
      </c>
      <c r="H256" s="27" t="s">
        <v>13</v>
      </c>
      <c r="I256" s="27" t="s">
        <v>13</v>
      </c>
      <c r="J256" s="27" t="s">
        <v>13</v>
      </c>
      <c r="K256" s="27" t="s">
        <v>13</v>
      </c>
      <c r="L256" s="27" t="s">
        <v>13</v>
      </c>
      <c r="M256" s="27" t="s">
        <v>13</v>
      </c>
      <c r="N256" s="27" t="s">
        <v>13</v>
      </c>
      <c r="O256" s="27" t="s">
        <v>13</v>
      </c>
      <c r="P256">
        <v>700</v>
      </c>
      <c r="Q256">
        <v>560</v>
      </c>
      <c r="R256" t="s">
        <v>87</v>
      </c>
      <c r="S256" t="s">
        <v>89</v>
      </c>
      <c r="T256">
        <v>1</v>
      </c>
      <c r="U256">
        <v>1</v>
      </c>
      <c r="V256">
        <v>0</v>
      </c>
      <c r="W256">
        <v>0</v>
      </c>
      <c r="X256">
        <v>0</v>
      </c>
      <c r="Y256">
        <v>0</v>
      </c>
      <c r="Z256">
        <v>0</v>
      </c>
      <c r="AA256">
        <v>0</v>
      </c>
      <c r="AB256">
        <v>0</v>
      </c>
      <c r="AC256">
        <v>0</v>
      </c>
      <c r="AD256">
        <v>0</v>
      </c>
      <c r="AE256">
        <v>1</v>
      </c>
      <c r="AF256">
        <v>0</v>
      </c>
    </row>
    <row r="257" spans="1:32" x14ac:dyDescent="0.25">
      <c r="A257" t="s">
        <v>167</v>
      </c>
      <c r="B257" s="25">
        <f t="shared" si="1"/>
        <v>120</v>
      </c>
      <c r="C257" t="s">
        <v>12</v>
      </c>
      <c r="D257">
        <v>0</v>
      </c>
      <c r="E257">
        <v>0</v>
      </c>
      <c r="F257">
        <v>201</v>
      </c>
      <c r="G257">
        <v>-21</v>
      </c>
      <c r="H257" s="27">
        <v>1</v>
      </c>
      <c r="I257" s="27">
        <v>0</v>
      </c>
      <c r="J257" s="27">
        <v>0</v>
      </c>
      <c r="K257" s="27">
        <v>0</v>
      </c>
      <c r="L257" s="27">
        <v>0</v>
      </c>
      <c r="M257" s="27">
        <v>0</v>
      </c>
      <c r="N257" s="27">
        <v>0</v>
      </c>
      <c r="O257" s="27">
        <v>0</v>
      </c>
      <c r="P257">
        <v>701</v>
      </c>
      <c r="Q257">
        <v>-21</v>
      </c>
      <c r="R257" t="s">
        <v>87</v>
      </c>
      <c r="S257" t="s">
        <v>89</v>
      </c>
      <c r="T257">
        <v>1</v>
      </c>
      <c r="U257">
        <v>0</v>
      </c>
      <c r="V257">
        <v>0</v>
      </c>
      <c r="W257">
        <v>0</v>
      </c>
      <c r="X257">
        <v>0</v>
      </c>
      <c r="Y257">
        <v>0</v>
      </c>
      <c r="Z257">
        <v>0</v>
      </c>
      <c r="AA257">
        <v>0</v>
      </c>
      <c r="AB257">
        <v>0</v>
      </c>
      <c r="AC257">
        <v>0</v>
      </c>
      <c r="AD257">
        <v>0</v>
      </c>
      <c r="AE257">
        <v>0</v>
      </c>
      <c r="AF257">
        <v>0</v>
      </c>
    </row>
    <row r="258" spans="1:32" s="25" customFormat="1" x14ac:dyDescent="0.25">
      <c r="A258" s="25" t="s">
        <v>167</v>
      </c>
      <c r="B258" s="25">
        <f t="shared" ref="B258:B263" si="2">B257+10</f>
        <v>130</v>
      </c>
      <c r="C258" s="25" t="s">
        <v>12</v>
      </c>
      <c r="D258" s="25">
        <v>0</v>
      </c>
      <c r="E258" s="25">
        <v>0</v>
      </c>
      <c r="F258" s="25">
        <v>201</v>
      </c>
      <c r="G258" s="25">
        <v>-21</v>
      </c>
      <c r="H258" s="27">
        <v>1</v>
      </c>
      <c r="I258" s="27">
        <v>0</v>
      </c>
      <c r="J258" s="27">
        <v>0</v>
      </c>
      <c r="K258" s="27">
        <v>0</v>
      </c>
      <c r="L258" s="27">
        <v>0</v>
      </c>
      <c r="M258" s="27">
        <v>0</v>
      </c>
      <c r="N258" s="27">
        <v>0</v>
      </c>
      <c r="O258" s="27">
        <v>0</v>
      </c>
      <c r="P258" s="25">
        <v>701</v>
      </c>
      <c r="Q258" s="25">
        <v>-21</v>
      </c>
      <c r="R258" s="25" t="s">
        <v>87</v>
      </c>
      <c r="S258" s="25" t="s">
        <v>89</v>
      </c>
      <c r="T258" s="25">
        <v>1</v>
      </c>
      <c r="U258" s="25">
        <v>0</v>
      </c>
      <c r="V258" s="25">
        <v>0</v>
      </c>
      <c r="W258" s="25">
        <v>0</v>
      </c>
      <c r="X258" s="25">
        <v>0</v>
      </c>
      <c r="Y258" s="25">
        <v>0</v>
      </c>
      <c r="Z258" s="25">
        <v>0</v>
      </c>
      <c r="AA258" s="25">
        <v>0</v>
      </c>
      <c r="AB258" s="25">
        <v>0</v>
      </c>
      <c r="AC258" s="25">
        <v>0</v>
      </c>
      <c r="AD258" s="25">
        <v>0</v>
      </c>
      <c r="AE258" s="25">
        <v>0</v>
      </c>
      <c r="AF258" s="25">
        <v>0</v>
      </c>
    </row>
    <row r="259" spans="1:32" s="25" customFormat="1" x14ac:dyDescent="0.25">
      <c r="A259" s="25" t="s">
        <v>167</v>
      </c>
      <c r="B259" s="25">
        <f t="shared" si="2"/>
        <v>140</v>
      </c>
      <c r="C259" s="25" t="s">
        <v>12</v>
      </c>
      <c r="D259" s="25">
        <v>0</v>
      </c>
      <c r="E259" s="25">
        <v>0</v>
      </c>
      <c r="F259" s="25">
        <v>201</v>
      </c>
      <c r="G259" s="25">
        <v>-21</v>
      </c>
      <c r="H259" s="27">
        <v>1</v>
      </c>
      <c r="I259" s="27">
        <v>0</v>
      </c>
      <c r="J259" s="27">
        <v>0</v>
      </c>
      <c r="K259" s="27">
        <v>0</v>
      </c>
      <c r="L259" s="27">
        <v>0</v>
      </c>
      <c r="M259" s="27">
        <v>0</v>
      </c>
      <c r="N259" s="27">
        <v>0</v>
      </c>
      <c r="O259" s="27">
        <v>0</v>
      </c>
      <c r="P259" s="25">
        <v>701</v>
      </c>
      <c r="Q259" s="25">
        <v>-21</v>
      </c>
      <c r="R259" s="25" t="s">
        <v>87</v>
      </c>
      <c r="S259" s="25" t="s">
        <v>89</v>
      </c>
      <c r="T259" s="25">
        <v>1</v>
      </c>
      <c r="U259" s="25">
        <v>0</v>
      </c>
      <c r="V259" s="25">
        <v>0</v>
      </c>
      <c r="W259" s="25">
        <v>0</v>
      </c>
      <c r="X259" s="25">
        <v>0</v>
      </c>
      <c r="Y259" s="25">
        <v>0</v>
      </c>
      <c r="Z259" s="25">
        <v>0</v>
      </c>
      <c r="AA259" s="25">
        <v>0</v>
      </c>
      <c r="AB259" s="25">
        <v>0</v>
      </c>
      <c r="AC259" s="25">
        <v>0</v>
      </c>
      <c r="AD259" s="25">
        <v>0</v>
      </c>
      <c r="AE259" s="25">
        <v>0</v>
      </c>
      <c r="AF259" s="25">
        <v>0</v>
      </c>
    </row>
    <row r="260" spans="1:32" s="25" customFormat="1" x14ac:dyDescent="0.25">
      <c r="A260" s="25" t="s">
        <v>167</v>
      </c>
      <c r="B260" s="25">
        <f t="shared" si="2"/>
        <v>150</v>
      </c>
      <c r="C260" s="25" t="s">
        <v>12</v>
      </c>
      <c r="D260" s="25">
        <v>0</v>
      </c>
      <c r="E260" s="25">
        <v>0</v>
      </c>
      <c r="F260" s="25">
        <v>201</v>
      </c>
      <c r="G260" s="25">
        <v>-21</v>
      </c>
      <c r="H260" s="27">
        <v>1</v>
      </c>
      <c r="I260" s="27">
        <v>0</v>
      </c>
      <c r="J260" s="27">
        <v>0</v>
      </c>
      <c r="K260" s="27">
        <v>0</v>
      </c>
      <c r="L260" s="27">
        <v>0</v>
      </c>
      <c r="M260" s="27">
        <v>0</v>
      </c>
      <c r="N260" s="27">
        <v>0</v>
      </c>
      <c r="O260" s="27">
        <v>0</v>
      </c>
      <c r="P260" s="25">
        <v>701</v>
      </c>
      <c r="Q260" s="25">
        <v>-21</v>
      </c>
      <c r="R260" s="25" t="s">
        <v>87</v>
      </c>
      <c r="S260" s="25" t="s">
        <v>89</v>
      </c>
      <c r="T260" s="25">
        <v>1</v>
      </c>
      <c r="U260" s="25">
        <v>0</v>
      </c>
      <c r="V260" s="25">
        <v>0</v>
      </c>
      <c r="W260" s="25">
        <v>0</v>
      </c>
      <c r="X260" s="25">
        <v>0</v>
      </c>
      <c r="Y260" s="25">
        <v>0</v>
      </c>
      <c r="Z260" s="25">
        <v>0</v>
      </c>
      <c r="AA260" s="25">
        <v>0</v>
      </c>
      <c r="AB260" s="25">
        <v>0</v>
      </c>
      <c r="AC260" s="25">
        <v>0</v>
      </c>
      <c r="AD260" s="25">
        <v>0</v>
      </c>
      <c r="AE260" s="25">
        <v>0</v>
      </c>
      <c r="AF260" s="25">
        <v>0</v>
      </c>
    </row>
    <row r="261" spans="1:32" s="25" customFormat="1" x14ac:dyDescent="0.25">
      <c r="A261" s="25" t="s">
        <v>167</v>
      </c>
      <c r="B261" s="25">
        <f t="shared" si="2"/>
        <v>160</v>
      </c>
      <c r="C261" s="25" t="s">
        <v>12</v>
      </c>
      <c r="D261" s="25">
        <v>0</v>
      </c>
      <c r="E261" s="25">
        <v>0</v>
      </c>
      <c r="F261" s="25">
        <v>201</v>
      </c>
      <c r="G261" s="25">
        <v>-21</v>
      </c>
      <c r="H261" s="27">
        <v>1</v>
      </c>
      <c r="I261" s="27">
        <v>0</v>
      </c>
      <c r="J261" s="27">
        <v>0</v>
      </c>
      <c r="K261" s="27">
        <v>0</v>
      </c>
      <c r="L261" s="27">
        <v>0</v>
      </c>
      <c r="M261" s="27">
        <v>0</v>
      </c>
      <c r="N261" s="27">
        <v>0</v>
      </c>
      <c r="O261" s="27">
        <v>0</v>
      </c>
      <c r="P261" s="25">
        <v>701</v>
      </c>
      <c r="Q261" s="25">
        <v>-21</v>
      </c>
      <c r="R261" s="25" t="s">
        <v>87</v>
      </c>
      <c r="S261" s="25" t="s">
        <v>89</v>
      </c>
      <c r="T261" s="25">
        <v>1</v>
      </c>
      <c r="U261" s="25">
        <v>0</v>
      </c>
      <c r="V261" s="25">
        <v>0</v>
      </c>
      <c r="W261" s="25">
        <v>0</v>
      </c>
      <c r="X261" s="25">
        <v>0</v>
      </c>
      <c r="Y261" s="25">
        <v>0</v>
      </c>
      <c r="Z261" s="25">
        <v>0</v>
      </c>
      <c r="AA261" s="25">
        <v>0</v>
      </c>
      <c r="AB261" s="25">
        <v>0</v>
      </c>
      <c r="AC261" s="25">
        <v>0</v>
      </c>
      <c r="AD261" s="25">
        <v>0</v>
      </c>
      <c r="AE261" s="25">
        <v>0</v>
      </c>
      <c r="AF261" s="25">
        <v>0</v>
      </c>
    </row>
    <row r="262" spans="1:32" s="25" customFormat="1" x14ac:dyDescent="0.25">
      <c r="A262" s="25" t="s">
        <v>167</v>
      </c>
      <c r="B262" s="25">
        <f t="shared" si="2"/>
        <v>170</v>
      </c>
      <c r="C262" s="25" t="s">
        <v>12</v>
      </c>
      <c r="D262" s="25">
        <v>0</v>
      </c>
      <c r="E262" s="25">
        <v>0</v>
      </c>
      <c r="F262" s="25">
        <v>201</v>
      </c>
      <c r="G262" s="25">
        <v>-21</v>
      </c>
      <c r="H262" s="27">
        <v>1</v>
      </c>
      <c r="I262" s="27">
        <v>0</v>
      </c>
      <c r="J262" s="27">
        <v>0</v>
      </c>
      <c r="K262" s="27">
        <v>0</v>
      </c>
      <c r="L262" s="27">
        <v>0</v>
      </c>
      <c r="M262" s="27">
        <v>0</v>
      </c>
      <c r="N262" s="27">
        <v>0</v>
      </c>
      <c r="O262" s="27">
        <v>0</v>
      </c>
      <c r="P262" s="25">
        <v>701</v>
      </c>
      <c r="Q262" s="25">
        <v>-21</v>
      </c>
      <c r="R262" s="25" t="s">
        <v>87</v>
      </c>
      <c r="S262" s="25" t="s">
        <v>89</v>
      </c>
      <c r="T262" s="25">
        <v>1</v>
      </c>
      <c r="U262" s="25">
        <v>0</v>
      </c>
      <c r="V262" s="25">
        <v>0</v>
      </c>
      <c r="W262" s="25">
        <v>0</v>
      </c>
      <c r="X262" s="25">
        <v>0</v>
      </c>
      <c r="Y262" s="25">
        <v>0</v>
      </c>
      <c r="Z262" s="25">
        <v>0</v>
      </c>
      <c r="AA262" s="25">
        <v>0</v>
      </c>
      <c r="AB262" s="25">
        <v>0</v>
      </c>
      <c r="AC262" s="25">
        <v>0</v>
      </c>
      <c r="AD262" s="25">
        <v>0</v>
      </c>
      <c r="AE262" s="25">
        <v>0</v>
      </c>
      <c r="AF262" s="25">
        <v>0</v>
      </c>
    </row>
    <row r="263" spans="1:32" s="25" customFormat="1" x14ac:dyDescent="0.25">
      <c r="A263" s="25" t="s">
        <v>167</v>
      </c>
      <c r="B263" s="25">
        <f t="shared" si="2"/>
        <v>180</v>
      </c>
      <c r="C263" s="25" t="s">
        <v>12</v>
      </c>
      <c r="D263" s="25">
        <v>0</v>
      </c>
      <c r="E263" s="25">
        <v>0</v>
      </c>
      <c r="F263" s="25">
        <v>201</v>
      </c>
      <c r="G263" s="25">
        <v>-21</v>
      </c>
      <c r="H263" s="27">
        <v>1</v>
      </c>
      <c r="I263" s="27">
        <v>0</v>
      </c>
      <c r="J263" s="27">
        <v>0</v>
      </c>
      <c r="K263" s="27">
        <v>0</v>
      </c>
      <c r="L263" s="27">
        <v>0</v>
      </c>
      <c r="M263" s="27">
        <v>0</v>
      </c>
      <c r="N263" s="27">
        <v>0</v>
      </c>
      <c r="O263" s="27">
        <v>0</v>
      </c>
      <c r="P263" s="25">
        <v>701</v>
      </c>
      <c r="Q263" s="25">
        <v>-21</v>
      </c>
      <c r="R263" s="25" t="s">
        <v>87</v>
      </c>
      <c r="S263" s="25" t="s">
        <v>89</v>
      </c>
      <c r="T263" s="25">
        <v>1</v>
      </c>
      <c r="U263" s="25">
        <v>0</v>
      </c>
      <c r="V263" s="25">
        <v>0</v>
      </c>
      <c r="W263" s="25">
        <v>0</v>
      </c>
      <c r="X263" s="25">
        <v>0</v>
      </c>
      <c r="Y263" s="25">
        <v>0</v>
      </c>
      <c r="Z263" s="25">
        <v>0</v>
      </c>
      <c r="AA263" s="25">
        <v>0</v>
      </c>
      <c r="AB263" s="25">
        <v>0</v>
      </c>
      <c r="AC263" s="25">
        <v>0</v>
      </c>
      <c r="AD263" s="25">
        <v>0</v>
      </c>
      <c r="AE263" s="25">
        <v>0</v>
      </c>
      <c r="AF263" s="25">
        <v>0</v>
      </c>
    </row>
    <row r="264" spans="1:32" s="25" customFormat="1" x14ac:dyDescent="0.25">
      <c r="A264" s="25" t="s">
        <v>167</v>
      </c>
      <c r="B264" s="25">
        <f t="shared" ref="B264:B270" si="3">B263+10</f>
        <v>190</v>
      </c>
      <c r="C264" s="25" t="s">
        <v>12</v>
      </c>
      <c r="D264" s="25">
        <v>0</v>
      </c>
      <c r="E264" s="25">
        <v>0</v>
      </c>
      <c r="F264" s="25">
        <v>201</v>
      </c>
      <c r="G264" s="25">
        <v>-21</v>
      </c>
      <c r="H264" s="27">
        <v>1</v>
      </c>
      <c r="I264" s="27">
        <v>0</v>
      </c>
      <c r="J264" s="27">
        <v>0</v>
      </c>
      <c r="K264" s="27">
        <v>0</v>
      </c>
      <c r="L264" s="27">
        <v>0</v>
      </c>
      <c r="M264" s="27">
        <v>0</v>
      </c>
      <c r="N264" s="27">
        <v>0</v>
      </c>
      <c r="O264" s="27">
        <v>0</v>
      </c>
      <c r="P264" s="25">
        <v>701</v>
      </c>
      <c r="Q264" s="25">
        <v>-21</v>
      </c>
      <c r="R264" s="25" t="s">
        <v>87</v>
      </c>
      <c r="S264" s="25" t="s">
        <v>89</v>
      </c>
      <c r="T264" s="25">
        <v>1</v>
      </c>
      <c r="U264" s="25">
        <v>0</v>
      </c>
      <c r="V264" s="25">
        <v>0</v>
      </c>
      <c r="W264" s="25">
        <v>0</v>
      </c>
      <c r="X264" s="25">
        <v>0</v>
      </c>
      <c r="Y264" s="25">
        <v>0</v>
      </c>
      <c r="Z264" s="25">
        <v>0</v>
      </c>
      <c r="AA264" s="25">
        <v>0</v>
      </c>
      <c r="AB264" s="25">
        <v>0</v>
      </c>
      <c r="AC264" s="25">
        <v>0</v>
      </c>
      <c r="AD264" s="25">
        <v>0</v>
      </c>
      <c r="AE264" s="25">
        <v>0</v>
      </c>
      <c r="AF264" s="25">
        <v>0</v>
      </c>
    </row>
    <row r="265" spans="1:32" x14ac:dyDescent="0.25">
      <c r="A265" t="s">
        <v>167</v>
      </c>
      <c r="B265" s="25">
        <f t="shared" si="3"/>
        <v>200</v>
      </c>
      <c r="C265" t="s">
        <v>12</v>
      </c>
      <c r="D265">
        <v>0</v>
      </c>
      <c r="E265">
        <v>0</v>
      </c>
      <c r="F265">
        <v>59.9</v>
      </c>
      <c r="G265">
        <v>-21</v>
      </c>
      <c r="H265" s="27">
        <v>1</v>
      </c>
      <c r="I265" s="27">
        <v>0</v>
      </c>
      <c r="J265" s="27">
        <v>0</v>
      </c>
      <c r="K265" s="27">
        <v>0</v>
      </c>
      <c r="L265" s="27">
        <v>0</v>
      </c>
      <c r="M265" s="27">
        <v>0</v>
      </c>
      <c r="N265" s="27">
        <v>0</v>
      </c>
      <c r="O265" s="27">
        <v>0</v>
      </c>
      <c r="P265">
        <v>559.9</v>
      </c>
      <c r="Q265">
        <v>-21</v>
      </c>
      <c r="R265" t="s">
        <v>87</v>
      </c>
      <c r="S265" t="s">
        <v>89</v>
      </c>
      <c r="T265">
        <v>1</v>
      </c>
      <c r="U265">
        <v>0</v>
      </c>
      <c r="V265">
        <v>0</v>
      </c>
      <c r="W265">
        <v>0</v>
      </c>
      <c r="X265">
        <v>0</v>
      </c>
      <c r="Y265">
        <v>0</v>
      </c>
      <c r="Z265">
        <v>0</v>
      </c>
      <c r="AA265">
        <v>0</v>
      </c>
      <c r="AB265">
        <v>0</v>
      </c>
      <c r="AC265">
        <v>0</v>
      </c>
      <c r="AD265">
        <v>0</v>
      </c>
      <c r="AE265">
        <v>0</v>
      </c>
      <c r="AF265">
        <v>0</v>
      </c>
    </row>
    <row r="266" spans="1:32" x14ac:dyDescent="0.25">
      <c r="A266" t="s">
        <v>167</v>
      </c>
      <c r="B266" s="25">
        <f t="shared" si="3"/>
        <v>210</v>
      </c>
      <c r="C266" t="s">
        <v>12</v>
      </c>
      <c r="D266">
        <v>0</v>
      </c>
      <c r="E266">
        <v>0</v>
      </c>
      <c r="F266">
        <v>256</v>
      </c>
      <c r="G266">
        <v>222</v>
      </c>
      <c r="H266" s="27">
        <v>1</v>
      </c>
      <c r="I266" s="27">
        <v>0</v>
      </c>
      <c r="J266" s="27">
        <v>0</v>
      </c>
      <c r="K266" s="27">
        <v>0</v>
      </c>
      <c r="L266" s="27">
        <v>0</v>
      </c>
      <c r="M266" s="27">
        <v>0</v>
      </c>
      <c r="N266" s="27">
        <v>0</v>
      </c>
      <c r="O266" s="27">
        <v>0</v>
      </c>
      <c r="P266">
        <v>559.9</v>
      </c>
      <c r="Q266">
        <v>560</v>
      </c>
      <c r="R266" t="s">
        <v>86</v>
      </c>
      <c r="S266" t="s">
        <v>88</v>
      </c>
      <c r="T266">
        <v>1</v>
      </c>
      <c r="U266">
        <v>0</v>
      </c>
      <c r="V266">
        <v>0</v>
      </c>
      <c r="W266">
        <v>0</v>
      </c>
      <c r="X266">
        <v>0</v>
      </c>
      <c r="Y266">
        <v>0</v>
      </c>
      <c r="Z266">
        <v>0</v>
      </c>
      <c r="AA266">
        <v>0</v>
      </c>
      <c r="AB266">
        <v>0</v>
      </c>
      <c r="AC266">
        <v>0</v>
      </c>
      <c r="AD266">
        <v>0</v>
      </c>
      <c r="AE266">
        <v>0</v>
      </c>
      <c r="AF266">
        <v>0</v>
      </c>
    </row>
    <row r="267" spans="1:32" x14ac:dyDescent="0.25">
      <c r="A267" t="s">
        <v>168</v>
      </c>
      <c r="B267" s="25">
        <f t="shared" si="3"/>
        <v>220</v>
      </c>
      <c r="C267" t="s">
        <v>12</v>
      </c>
      <c r="D267">
        <v>0</v>
      </c>
      <c r="E267">
        <v>0</v>
      </c>
      <c r="F267" t="s">
        <v>13</v>
      </c>
      <c r="G267" t="s">
        <v>13</v>
      </c>
      <c r="H267" s="27" t="s">
        <v>13</v>
      </c>
      <c r="I267" s="27" t="s">
        <v>13</v>
      </c>
      <c r="J267" s="27" t="s">
        <v>13</v>
      </c>
      <c r="K267" s="27" t="s">
        <v>13</v>
      </c>
      <c r="L267" s="27" t="s">
        <v>13</v>
      </c>
      <c r="M267" s="27" t="s">
        <v>13</v>
      </c>
      <c r="N267" s="27" t="s">
        <v>13</v>
      </c>
      <c r="O267" s="27" t="s">
        <v>13</v>
      </c>
      <c r="P267">
        <v>559.9</v>
      </c>
      <c r="Q267">
        <v>560</v>
      </c>
      <c r="R267" t="s">
        <v>87</v>
      </c>
      <c r="S267" t="s">
        <v>89</v>
      </c>
      <c r="T267">
        <v>1</v>
      </c>
      <c r="U267">
        <v>0</v>
      </c>
      <c r="V267">
        <v>0</v>
      </c>
      <c r="W267">
        <v>0</v>
      </c>
      <c r="X267">
        <v>0</v>
      </c>
      <c r="Y267">
        <v>0</v>
      </c>
      <c r="Z267">
        <v>0</v>
      </c>
      <c r="AA267">
        <v>0</v>
      </c>
      <c r="AB267">
        <v>0</v>
      </c>
      <c r="AC267">
        <v>0</v>
      </c>
      <c r="AD267">
        <v>0</v>
      </c>
      <c r="AE267">
        <v>0</v>
      </c>
      <c r="AF267" t="s">
        <v>128</v>
      </c>
    </row>
    <row r="268" spans="1:32" x14ac:dyDescent="0.25">
      <c r="A268" t="s">
        <v>168</v>
      </c>
      <c r="B268" s="25">
        <f t="shared" si="3"/>
        <v>230</v>
      </c>
      <c r="C268" t="s">
        <v>12</v>
      </c>
      <c r="D268">
        <v>0</v>
      </c>
      <c r="E268">
        <v>0</v>
      </c>
      <c r="F268" t="s">
        <v>13</v>
      </c>
      <c r="G268" t="s">
        <v>13</v>
      </c>
      <c r="H268" s="27" t="s">
        <v>13</v>
      </c>
      <c r="I268" s="27" t="s">
        <v>13</v>
      </c>
      <c r="J268" s="27" t="s">
        <v>13</v>
      </c>
      <c r="K268" s="27" t="s">
        <v>13</v>
      </c>
      <c r="L268" s="27" t="s">
        <v>13</v>
      </c>
      <c r="M268" s="27" t="s">
        <v>13</v>
      </c>
      <c r="N268" s="27" t="s">
        <v>13</v>
      </c>
      <c r="O268" s="27" t="s">
        <v>13</v>
      </c>
      <c r="P268">
        <v>559.9</v>
      </c>
      <c r="Q268">
        <v>560</v>
      </c>
      <c r="R268" t="s">
        <v>87</v>
      </c>
      <c r="S268" t="s">
        <v>89</v>
      </c>
      <c r="T268">
        <v>1</v>
      </c>
      <c r="U268">
        <v>0</v>
      </c>
      <c r="V268">
        <v>0</v>
      </c>
      <c r="W268">
        <v>0</v>
      </c>
      <c r="X268">
        <v>0</v>
      </c>
      <c r="Y268">
        <v>0</v>
      </c>
      <c r="Z268">
        <v>0</v>
      </c>
      <c r="AA268">
        <v>0</v>
      </c>
      <c r="AB268">
        <v>0</v>
      </c>
      <c r="AC268">
        <v>0</v>
      </c>
      <c r="AD268">
        <v>0</v>
      </c>
      <c r="AE268">
        <v>0</v>
      </c>
      <c r="AF268" t="s">
        <v>129</v>
      </c>
    </row>
    <row r="269" spans="1:32" x14ac:dyDescent="0.25">
      <c r="A269" t="s">
        <v>168</v>
      </c>
      <c r="B269" s="25">
        <f t="shared" si="3"/>
        <v>240</v>
      </c>
      <c r="C269" t="s">
        <v>12</v>
      </c>
      <c r="D269">
        <v>0</v>
      </c>
      <c r="E269">
        <v>0</v>
      </c>
      <c r="F269" t="s">
        <v>13</v>
      </c>
      <c r="G269" t="s">
        <v>13</v>
      </c>
      <c r="H269" s="27" t="s">
        <v>13</v>
      </c>
      <c r="I269" s="27" t="s">
        <v>13</v>
      </c>
      <c r="J269" s="27" t="s">
        <v>13</v>
      </c>
      <c r="K269" s="27" t="s">
        <v>13</v>
      </c>
      <c r="L269" s="27" t="s">
        <v>13</v>
      </c>
      <c r="M269" s="27" t="s">
        <v>13</v>
      </c>
      <c r="N269" s="27" t="s">
        <v>13</v>
      </c>
      <c r="O269" s="27" t="s">
        <v>13</v>
      </c>
      <c r="P269">
        <v>559.9</v>
      </c>
      <c r="Q269">
        <v>560</v>
      </c>
      <c r="R269" t="s">
        <v>87</v>
      </c>
      <c r="S269" t="s">
        <v>89</v>
      </c>
      <c r="T269">
        <v>1</v>
      </c>
      <c r="U269">
        <v>0</v>
      </c>
      <c r="V269">
        <v>0</v>
      </c>
      <c r="W269">
        <v>0</v>
      </c>
      <c r="X269">
        <v>0</v>
      </c>
      <c r="Y269">
        <v>0</v>
      </c>
      <c r="Z269">
        <v>0</v>
      </c>
      <c r="AA269">
        <v>0</v>
      </c>
      <c r="AB269">
        <v>0</v>
      </c>
      <c r="AC269">
        <v>0</v>
      </c>
      <c r="AD269">
        <v>0</v>
      </c>
      <c r="AE269">
        <v>0</v>
      </c>
      <c r="AF269" t="s">
        <v>130</v>
      </c>
    </row>
    <row r="270" spans="1:32" x14ac:dyDescent="0.25">
      <c r="A270" t="s">
        <v>168</v>
      </c>
      <c r="B270" s="25">
        <f t="shared" si="3"/>
        <v>250</v>
      </c>
      <c r="C270" t="s">
        <v>12</v>
      </c>
      <c r="D270">
        <v>0</v>
      </c>
      <c r="E270">
        <v>0</v>
      </c>
      <c r="F270">
        <v>156</v>
      </c>
      <c r="G270">
        <v>16</v>
      </c>
      <c r="H270" s="27">
        <v>1</v>
      </c>
      <c r="I270" s="27">
        <v>0</v>
      </c>
      <c r="J270" s="27">
        <v>0</v>
      </c>
      <c r="K270" s="27">
        <v>0</v>
      </c>
      <c r="L270" s="27">
        <v>0</v>
      </c>
      <c r="M270" s="27">
        <v>0</v>
      </c>
      <c r="N270" s="27">
        <v>0</v>
      </c>
      <c r="O270" s="27">
        <v>0</v>
      </c>
      <c r="P270">
        <v>656</v>
      </c>
      <c r="Q270">
        <v>16</v>
      </c>
      <c r="R270" t="s">
        <v>87</v>
      </c>
      <c r="S270" t="s">
        <v>89</v>
      </c>
      <c r="T270">
        <v>1</v>
      </c>
      <c r="U270">
        <v>0</v>
      </c>
      <c r="V270">
        <v>0</v>
      </c>
      <c r="W270">
        <v>0</v>
      </c>
      <c r="X270">
        <v>0</v>
      </c>
      <c r="Y270">
        <v>0</v>
      </c>
      <c r="Z270">
        <v>0</v>
      </c>
      <c r="AA270">
        <v>0</v>
      </c>
      <c r="AB270">
        <v>0</v>
      </c>
      <c r="AC270">
        <v>0</v>
      </c>
      <c r="AD270">
        <v>0</v>
      </c>
      <c r="AE270">
        <v>0</v>
      </c>
      <c r="AF270" t="s">
        <v>131</v>
      </c>
    </row>
    <row r="271" spans="1:32" s="25" customFormat="1" x14ac:dyDescent="0.25">
      <c r="A271" s="25" t="s">
        <v>168</v>
      </c>
      <c r="B271" s="25">
        <f t="shared" ref="B271:B291" si="4">B270+10</f>
        <v>260</v>
      </c>
      <c r="C271" s="25" t="s">
        <v>12</v>
      </c>
      <c r="D271" s="25">
        <v>0</v>
      </c>
      <c r="E271" s="25">
        <v>0</v>
      </c>
      <c r="F271" s="25">
        <v>156</v>
      </c>
      <c r="G271" s="25">
        <v>16</v>
      </c>
      <c r="H271" s="27">
        <v>1</v>
      </c>
      <c r="I271" s="27">
        <v>0</v>
      </c>
      <c r="J271" s="27">
        <v>0</v>
      </c>
      <c r="K271" s="27">
        <v>0</v>
      </c>
      <c r="L271" s="27">
        <v>0</v>
      </c>
      <c r="M271" s="27">
        <v>0</v>
      </c>
      <c r="N271" s="27">
        <v>0</v>
      </c>
      <c r="O271" s="27">
        <v>0</v>
      </c>
      <c r="P271" s="25">
        <v>656</v>
      </c>
      <c r="Q271" s="25">
        <v>16</v>
      </c>
      <c r="R271" s="25" t="s">
        <v>87</v>
      </c>
      <c r="S271" s="25" t="s">
        <v>89</v>
      </c>
      <c r="T271" s="25">
        <v>1</v>
      </c>
      <c r="U271" s="25">
        <v>0</v>
      </c>
      <c r="V271" s="25">
        <v>0</v>
      </c>
      <c r="W271" s="25">
        <v>0</v>
      </c>
      <c r="X271" s="25">
        <v>0</v>
      </c>
      <c r="Y271" s="25">
        <v>0</v>
      </c>
      <c r="Z271" s="25">
        <v>0</v>
      </c>
      <c r="AA271" s="25">
        <v>0</v>
      </c>
      <c r="AB271" s="25">
        <v>0</v>
      </c>
      <c r="AC271" s="25">
        <v>0</v>
      </c>
      <c r="AD271" s="25">
        <v>0</v>
      </c>
      <c r="AE271" s="25">
        <v>0</v>
      </c>
      <c r="AF271" s="25" t="s">
        <v>131</v>
      </c>
    </row>
    <row r="272" spans="1:32" s="25" customFormat="1" x14ac:dyDescent="0.25">
      <c r="A272" s="25" t="s">
        <v>168</v>
      </c>
      <c r="B272" s="25">
        <f t="shared" si="4"/>
        <v>270</v>
      </c>
      <c r="C272" s="25" t="s">
        <v>12</v>
      </c>
      <c r="D272" s="25">
        <v>0</v>
      </c>
      <c r="E272" s="25">
        <v>0</v>
      </c>
      <c r="F272" s="25">
        <v>156</v>
      </c>
      <c r="G272" s="25">
        <v>16</v>
      </c>
      <c r="H272" s="27">
        <v>1</v>
      </c>
      <c r="I272" s="27">
        <v>0</v>
      </c>
      <c r="J272" s="27">
        <v>0</v>
      </c>
      <c r="K272" s="27">
        <v>0</v>
      </c>
      <c r="L272" s="27">
        <v>0</v>
      </c>
      <c r="M272" s="27">
        <v>0</v>
      </c>
      <c r="N272" s="27">
        <v>0</v>
      </c>
      <c r="O272" s="27">
        <v>0</v>
      </c>
      <c r="P272" s="25">
        <v>656</v>
      </c>
      <c r="Q272" s="25">
        <v>16</v>
      </c>
      <c r="R272" s="25" t="s">
        <v>87</v>
      </c>
      <c r="S272" s="25" t="s">
        <v>89</v>
      </c>
      <c r="T272" s="25">
        <v>1</v>
      </c>
      <c r="U272" s="25">
        <v>0</v>
      </c>
      <c r="V272" s="25">
        <v>0</v>
      </c>
      <c r="W272" s="25">
        <v>0</v>
      </c>
      <c r="X272" s="25">
        <v>0</v>
      </c>
      <c r="Y272" s="25">
        <v>0</v>
      </c>
      <c r="Z272" s="25">
        <v>0</v>
      </c>
      <c r="AA272" s="25">
        <v>0</v>
      </c>
      <c r="AB272" s="25">
        <v>0</v>
      </c>
      <c r="AC272" s="25">
        <v>0</v>
      </c>
      <c r="AD272" s="25">
        <v>0</v>
      </c>
      <c r="AE272" s="25">
        <v>0</v>
      </c>
      <c r="AF272" s="25" t="s">
        <v>131</v>
      </c>
    </row>
    <row r="273" spans="1:32" s="25" customFormat="1" x14ac:dyDescent="0.25">
      <c r="A273" s="25" t="s">
        <v>168</v>
      </c>
      <c r="B273" s="25">
        <f t="shared" si="4"/>
        <v>280</v>
      </c>
      <c r="C273" s="25" t="s">
        <v>12</v>
      </c>
      <c r="D273" s="25">
        <v>0</v>
      </c>
      <c r="E273" s="25">
        <v>0</v>
      </c>
      <c r="F273" s="25">
        <v>156</v>
      </c>
      <c r="G273" s="25">
        <v>16</v>
      </c>
      <c r="H273" s="27">
        <v>1</v>
      </c>
      <c r="I273" s="27">
        <v>0</v>
      </c>
      <c r="J273" s="27">
        <v>0</v>
      </c>
      <c r="K273" s="27">
        <v>0</v>
      </c>
      <c r="L273" s="27">
        <v>0</v>
      </c>
      <c r="M273" s="27">
        <v>0</v>
      </c>
      <c r="N273" s="27">
        <v>0</v>
      </c>
      <c r="O273" s="27">
        <v>0</v>
      </c>
      <c r="P273" s="25">
        <v>656</v>
      </c>
      <c r="Q273" s="25">
        <v>16</v>
      </c>
      <c r="R273" s="25" t="s">
        <v>87</v>
      </c>
      <c r="S273" s="25" t="s">
        <v>89</v>
      </c>
      <c r="T273" s="25">
        <v>1</v>
      </c>
      <c r="U273" s="25">
        <v>0</v>
      </c>
      <c r="V273" s="25">
        <v>0</v>
      </c>
      <c r="W273" s="25">
        <v>0</v>
      </c>
      <c r="X273" s="25">
        <v>0</v>
      </c>
      <c r="Y273" s="25">
        <v>0</v>
      </c>
      <c r="Z273" s="25">
        <v>0</v>
      </c>
      <c r="AA273" s="25">
        <v>0</v>
      </c>
      <c r="AB273" s="25">
        <v>0</v>
      </c>
      <c r="AC273" s="25">
        <v>0</v>
      </c>
      <c r="AD273" s="25">
        <v>0</v>
      </c>
      <c r="AE273" s="25">
        <v>0</v>
      </c>
      <c r="AF273" s="25" t="s">
        <v>131</v>
      </c>
    </row>
    <row r="274" spans="1:32" s="25" customFormat="1" x14ac:dyDescent="0.25">
      <c r="A274" s="25" t="s">
        <v>168</v>
      </c>
      <c r="B274" s="25">
        <f t="shared" si="4"/>
        <v>290</v>
      </c>
      <c r="C274" s="25" t="s">
        <v>12</v>
      </c>
      <c r="D274" s="25">
        <v>0</v>
      </c>
      <c r="E274" s="25">
        <v>0</v>
      </c>
      <c r="F274" s="25">
        <v>156</v>
      </c>
      <c r="G274" s="25">
        <v>16</v>
      </c>
      <c r="H274" s="27">
        <v>1</v>
      </c>
      <c r="I274" s="27">
        <v>0</v>
      </c>
      <c r="J274" s="27">
        <v>0</v>
      </c>
      <c r="K274" s="27">
        <v>0</v>
      </c>
      <c r="L274" s="27">
        <v>0</v>
      </c>
      <c r="M274" s="27">
        <v>0</v>
      </c>
      <c r="N274" s="27">
        <v>0</v>
      </c>
      <c r="O274" s="27">
        <v>0</v>
      </c>
      <c r="P274" s="25">
        <v>656</v>
      </c>
      <c r="Q274" s="25">
        <v>16</v>
      </c>
      <c r="R274" s="25" t="s">
        <v>87</v>
      </c>
      <c r="S274" s="25" t="s">
        <v>89</v>
      </c>
      <c r="T274" s="25">
        <v>1</v>
      </c>
      <c r="U274" s="25">
        <v>0</v>
      </c>
      <c r="V274" s="25">
        <v>0</v>
      </c>
      <c r="W274" s="25">
        <v>0</v>
      </c>
      <c r="X274" s="25">
        <v>0</v>
      </c>
      <c r="Y274" s="25">
        <v>0</v>
      </c>
      <c r="Z274" s="25">
        <v>0</v>
      </c>
      <c r="AA274" s="25">
        <v>0</v>
      </c>
      <c r="AB274" s="25">
        <v>0</v>
      </c>
      <c r="AC274" s="25">
        <v>0</v>
      </c>
      <c r="AD274" s="25">
        <v>0</v>
      </c>
      <c r="AE274" s="25">
        <v>0</v>
      </c>
      <c r="AF274" s="25" t="s">
        <v>131</v>
      </c>
    </row>
    <row r="275" spans="1:32" s="25" customFormat="1" x14ac:dyDescent="0.25">
      <c r="A275" s="25" t="s">
        <v>168</v>
      </c>
      <c r="B275" s="25">
        <f t="shared" si="4"/>
        <v>300</v>
      </c>
      <c r="C275" s="25" t="s">
        <v>12</v>
      </c>
      <c r="D275" s="25">
        <v>0</v>
      </c>
      <c r="E275" s="25">
        <v>0</v>
      </c>
      <c r="F275" s="25">
        <v>156</v>
      </c>
      <c r="G275" s="25">
        <v>16</v>
      </c>
      <c r="H275" s="27">
        <v>1</v>
      </c>
      <c r="I275" s="27">
        <v>0</v>
      </c>
      <c r="J275" s="27">
        <v>0</v>
      </c>
      <c r="K275" s="27">
        <v>0</v>
      </c>
      <c r="L275" s="27">
        <v>0</v>
      </c>
      <c r="M275" s="27">
        <v>0</v>
      </c>
      <c r="N275" s="27">
        <v>0</v>
      </c>
      <c r="O275" s="27">
        <v>0</v>
      </c>
      <c r="P275" s="25">
        <v>656</v>
      </c>
      <c r="Q275" s="25">
        <v>16</v>
      </c>
      <c r="R275" s="25" t="s">
        <v>87</v>
      </c>
      <c r="S275" s="25" t="s">
        <v>89</v>
      </c>
      <c r="T275" s="25">
        <v>1</v>
      </c>
      <c r="U275" s="25">
        <v>0</v>
      </c>
      <c r="V275" s="25">
        <v>0</v>
      </c>
      <c r="W275" s="25">
        <v>0</v>
      </c>
      <c r="X275" s="25">
        <v>0</v>
      </c>
      <c r="Y275" s="25">
        <v>0</v>
      </c>
      <c r="Z275" s="25">
        <v>0</v>
      </c>
      <c r="AA275" s="25">
        <v>0</v>
      </c>
      <c r="AB275" s="25">
        <v>0</v>
      </c>
      <c r="AC275" s="25">
        <v>0</v>
      </c>
      <c r="AD275" s="25">
        <v>0</v>
      </c>
      <c r="AE275" s="25">
        <v>0</v>
      </c>
      <c r="AF275" s="25" t="s">
        <v>131</v>
      </c>
    </row>
    <row r="276" spans="1:32" s="25" customFormat="1" x14ac:dyDescent="0.25">
      <c r="A276" s="25" t="s">
        <v>168</v>
      </c>
      <c r="B276" s="25">
        <f t="shared" si="4"/>
        <v>310</v>
      </c>
      <c r="C276" s="25" t="s">
        <v>12</v>
      </c>
      <c r="D276" s="25">
        <v>0</v>
      </c>
      <c r="E276" s="25">
        <v>0</v>
      </c>
      <c r="F276" s="25">
        <v>156</v>
      </c>
      <c r="G276" s="25">
        <v>16</v>
      </c>
      <c r="H276" s="27">
        <v>1</v>
      </c>
      <c r="I276" s="27">
        <v>0</v>
      </c>
      <c r="J276" s="27">
        <v>0</v>
      </c>
      <c r="K276" s="27">
        <v>0</v>
      </c>
      <c r="L276" s="27">
        <v>0</v>
      </c>
      <c r="M276" s="27">
        <v>0</v>
      </c>
      <c r="N276" s="27">
        <v>0</v>
      </c>
      <c r="O276" s="27">
        <v>0</v>
      </c>
      <c r="P276" s="25">
        <v>656</v>
      </c>
      <c r="Q276" s="25">
        <v>16</v>
      </c>
      <c r="R276" s="25" t="s">
        <v>87</v>
      </c>
      <c r="S276" s="25" t="s">
        <v>89</v>
      </c>
      <c r="T276" s="25">
        <v>1</v>
      </c>
      <c r="U276" s="25">
        <v>0</v>
      </c>
      <c r="V276" s="25">
        <v>0</v>
      </c>
      <c r="W276" s="25">
        <v>0</v>
      </c>
      <c r="X276" s="25">
        <v>0</v>
      </c>
      <c r="Y276" s="25">
        <v>0</v>
      </c>
      <c r="Z276" s="25">
        <v>0</v>
      </c>
      <c r="AA276" s="25">
        <v>0</v>
      </c>
      <c r="AB276" s="25">
        <v>0</v>
      </c>
      <c r="AC276" s="25">
        <v>0</v>
      </c>
      <c r="AD276" s="25">
        <v>0</v>
      </c>
      <c r="AE276" s="25">
        <v>0</v>
      </c>
      <c r="AF276" s="25" t="s">
        <v>131</v>
      </c>
    </row>
    <row r="277" spans="1:32" s="25" customFormat="1" x14ac:dyDescent="0.25">
      <c r="A277" s="25" t="s">
        <v>168</v>
      </c>
      <c r="B277" s="25">
        <f t="shared" si="4"/>
        <v>320</v>
      </c>
      <c r="C277" s="25" t="s">
        <v>12</v>
      </c>
      <c r="D277" s="25">
        <v>0</v>
      </c>
      <c r="E277" s="25">
        <v>0</v>
      </c>
      <c r="F277" s="25">
        <v>156</v>
      </c>
      <c r="G277" s="25">
        <v>16</v>
      </c>
      <c r="H277" s="27">
        <v>1</v>
      </c>
      <c r="I277" s="27">
        <v>0</v>
      </c>
      <c r="J277" s="27">
        <v>0</v>
      </c>
      <c r="K277" s="27">
        <v>0</v>
      </c>
      <c r="L277" s="27">
        <v>0</v>
      </c>
      <c r="M277" s="27">
        <v>0</v>
      </c>
      <c r="N277" s="27">
        <v>0</v>
      </c>
      <c r="O277" s="27">
        <v>0</v>
      </c>
      <c r="P277" s="25">
        <v>656</v>
      </c>
      <c r="Q277" s="25">
        <v>16</v>
      </c>
      <c r="R277" s="25" t="s">
        <v>87</v>
      </c>
      <c r="S277" s="25" t="s">
        <v>89</v>
      </c>
      <c r="T277" s="25">
        <v>1</v>
      </c>
      <c r="U277" s="25">
        <v>0</v>
      </c>
      <c r="V277" s="25">
        <v>0</v>
      </c>
      <c r="W277" s="25">
        <v>0</v>
      </c>
      <c r="X277" s="25">
        <v>0</v>
      </c>
      <c r="Y277" s="25">
        <v>0</v>
      </c>
      <c r="Z277" s="25">
        <v>0</v>
      </c>
      <c r="AA277" s="25">
        <v>0</v>
      </c>
      <c r="AB277" s="25">
        <v>0</v>
      </c>
      <c r="AC277" s="25">
        <v>0</v>
      </c>
      <c r="AD277" s="25">
        <v>0</v>
      </c>
      <c r="AE277" s="25">
        <v>0</v>
      </c>
      <c r="AF277" s="25" t="s">
        <v>131</v>
      </c>
    </row>
    <row r="278" spans="1:32" s="25" customFormat="1" x14ac:dyDescent="0.25">
      <c r="A278" s="25" t="s">
        <v>168</v>
      </c>
      <c r="B278" s="25">
        <f t="shared" si="4"/>
        <v>330</v>
      </c>
      <c r="C278" s="25" t="s">
        <v>12</v>
      </c>
      <c r="D278" s="25">
        <v>0</v>
      </c>
      <c r="E278" s="25">
        <v>0</v>
      </c>
      <c r="F278" s="25">
        <v>156</v>
      </c>
      <c r="G278" s="25">
        <v>16</v>
      </c>
      <c r="H278" s="27">
        <v>1</v>
      </c>
      <c r="I278" s="27">
        <v>0</v>
      </c>
      <c r="J278" s="27">
        <v>0</v>
      </c>
      <c r="K278" s="27">
        <v>0</v>
      </c>
      <c r="L278" s="27">
        <v>0</v>
      </c>
      <c r="M278" s="27">
        <v>0</v>
      </c>
      <c r="N278" s="27">
        <v>0</v>
      </c>
      <c r="O278" s="27">
        <v>0</v>
      </c>
      <c r="P278" s="25">
        <v>656</v>
      </c>
      <c r="Q278" s="25">
        <v>16</v>
      </c>
      <c r="R278" s="25" t="s">
        <v>87</v>
      </c>
      <c r="S278" s="25" t="s">
        <v>89</v>
      </c>
      <c r="T278" s="25">
        <v>1</v>
      </c>
      <c r="U278" s="25">
        <v>0</v>
      </c>
      <c r="V278" s="25">
        <v>0</v>
      </c>
      <c r="W278" s="25">
        <v>0</v>
      </c>
      <c r="X278" s="25">
        <v>0</v>
      </c>
      <c r="Y278" s="25">
        <v>0</v>
      </c>
      <c r="Z278" s="25">
        <v>0</v>
      </c>
      <c r="AA278" s="25">
        <v>0</v>
      </c>
      <c r="AB278" s="25">
        <v>0</v>
      </c>
      <c r="AC278" s="25">
        <v>0</v>
      </c>
      <c r="AD278" s="25">
        <v>0</v>
      </c>
      <c r="AE278" s="25">
        <v>0</v>
      </c>
      <c r="AF278" s="25" t="s">
        <v>131</v>
      </c>
    </row>
    <row r="279" spans="1:32" s="25" customFormat="1" x14ac:dyDescent="0.25">
      <c r="A279" s="25" t="s">
        <v>168</v>
      </c>
      <c r="B279" s="25">
        <f t="shared" si="4"/>
        <v>340</v>
      </c>
      <c r="C279" s="25" t="s">
        <v>12</v>
      </c>
      <c r="D279" s="25">
        <v>0</v>
      </c>
      <c r="E279" s="25">
        <v>0</v>
      </c>
      <c r="F279" s="25">
        <v>156</v>
      </c>
      <c r="G279" s="25">
        <v>16</v>
      </c>
      <c r="H279" s="27">
        <v>1</v>
      </c>
      <c r="I279" s="27">
        <v>0</v>
      </c>
      <c r="J279" s="27">
        <v>0</v>
      </c>
      <c r="K279" s="27">
        <v>0</v>
      </c>
      <c r="L279" s="27">
        <v>0</v>
      </c>
      <c r="M279" s="27">
        <v>0</v>
      </c>
      <c r="N279" s="27">
        <v>0</v>
      </c>
      <c r="O279" s="27">
        <v>0</v>
      </c>
      <c r="P279" s="25">
        <v>656</v>
      </c>
      <c r="Q279" s="25">
        <v>16</v>
      </c>
      <c r="R279" s="25" t="s">
        <v>87</v>
      </c>
      <c r="S279" s="25" t="s">
        <v>89</v>
      </c>
      <c r="T279" s="25">
        <v>1</v>
      </c>
      <c r="U279" s="25">
        <v>0</v>
      </c>
      <c r="V279" s="25">
        <v>0</v>
      </c>
      <c r="W279" s="25">
        <v>0</v>
      </c>
      <c r="X279" s="25">
        <v>0</v>
      </c>
      <c r="Y279" s="25">
        <v>0</v>
      </c>
      <c r="Z279" s="25">
        <v>0</v>
      </c>
      <c r="AA279" s="25">
        <v>0</v>
      </c>
      <c r="AB279" s="25">
        <v>0</v>
      </c>
      <c r="AC279" s="25">
        <v>0</v>
      </c>
      <c r="AD279" s="25">
        <v>0</v>
      </c>
      <c r="AE279" s="25">
        <v>0</v>
      </c>
      <c r="AF279" s="25" t="s">
        <v>131</v>
      </c>
    </row>
    <row r="280" spans="1:32" s="25" customFormat="1" x14ac:dyDescent="0.25">
      <c r="A280" s="25" t="s">
        <v>168</v>
      </c>
      <c r="B280" s="25">
        <f t="shared" si="4"/>
        <v>350</v>
      </c>
      <c r="C280" s="25" t="s">
        <v>12</v>
      </c>
      <c r="D280" s="25">
        <v>0</v>
      </c>
      <c r="E280" s="25">
        <v>0</v>
      </c>
      <c r="F280" s="25">
        <v>156</v>
      </c>
      <c r="G280" s="25">
        <v>16</v>
      </c>
      <c r="H280" s="27">
        <v>1</v>
      </c>
      <c r="I280" s="27">
        <v>0</v>
      </c>
      <c r="J280" s="27">
        <v>0</v>
      </c>
      <c r="K280" s="27">
        <v>0</v>
      </c>
      <c r="L280" s="27">
        <v>0</v>
      </c>
      <c r="M280" s="27">
        <v>0</v>
      </c>
      <c r="N280" s="27">
        <v>0</v>
      </c>
      <c r="O280" s="27">
        <v>0</v>
      </c>
      <c r="P280" s="25">
        <v>656</v>
      </c>
      <c r="Q280" s="25">
        <v>16</v>
      </c>
      <c r="R280" s="25" t="s">
        <v>87</v>
      </c>
      <c r="S280" s="25" t="s">
        <v>89</v>
      </c>
      <c r="T280" s="25">
        <v>1</v>
      </c>
      <c r="U280" s="25">
        <v>0</v>
      </c>
      <c r="V280" s="25">
        <v>0</v>
      </c>
      <c r="W280" s="25">
        <v>0</v>
      </c>
      <c r="X280" s="25">
        <v>0</v>
      </c>
      <c r="Y280" s="25">
        <v>0</v>
      </c>
      <c r="Z280" s="25">
        <v>0</v>
      </c>
      <c r="AA280" s="25">
        <v>0</v>
      </c>
      <c r="AB280" s="25">
        <v>0</v>
      </c>
      <c r="AC280" s="25">
        <v>0</v>
      </c>
      <c r="AD280" s="25">
        <v>0</v>
      </c>
      <c r="AE280" s="25">
        <v>0</v>
      </c>
      <c r="AF280" s="25" t="s">
        <v>131</v>
      </c>
    </row>
    <row r="281" spans="1:32" s="25" customFormat="1" x14ac:dyDescent="0.25">
      <c r="A281" s="25" t="s">
        <v>168</v>
      </c>
      <c r="B281" s="25">
        <f t="shared" si="4"/>
        <v>360</v>
      </c>
      <c r="C281" s="25" t="s">
        <v>12</v>
      </c>
      <c r="D281" s="25">
        <v>0</v>
      </c>
      <c r="E281" s="25">
        <v>0</v>
      </c>
      <c r="F281" s="25">
        <v>156</v>
      </c>
      <c r="G281" s="25">
        <v>16</v>
      </c>
      <c r="H281" s="27">
        <v>1</v>
      </c>
      <c r="I281" s="27">
        <v>0</v>
      </c>
      <c r="J281" s="27">
        <v>0</v>
      </c>
      <c r="K281" s="27">
        <v>0</v>
      </c>
      <c r="L281" s="27">
        <v>0</v>
      </c>
      <c r="M281" s="27">
        <v>0</v>
      </c>
      <c r="N281" s="27">
        <v>0</v>
      </c>
      <c r="O281" s="27">
        <v>0</v>
      </c>
      <c r="P281" s="25">
        <v>656</v>
      </c>
      <c r="Q281" s="25">
        <v>16</v>
      </c>
      <c r="R281" s="25" t="s">
        <v>87</v>
      </c>
      <c r="S281" s="25" t="s">
        <v>89</v>
      </c>
      <c r="T281" s="25">
        <v>1</v>
      </c>
      <c r="U281" s="25">
        <v>0</v>
      </c>
      <c r="V281" s="25">
        <v>0</v>
      </c>
      <c r="W281" s="25">
        <v>0</v>
      </c>
      <c r="X281" s="25">
        <v>0</v>
      </c>
      <c r="Y281" s="25">
        <v>0</v>
      </c>
      <c r="Z281" s="25">
        <v>0</v>
      </c>
      <c r="AA281" s="25">
        <v>0</v>
      </c>
      <c r="AB281" s="25">
        <v>0</v>
      </c>
      <c r="AC281" s="25">
        <v>0</v>
      </c>
      <c r="AD281" s="25">
        <v>0</v>
      </c>
      <c r="AE281" s="25">
        <v>0</v>
      </c>
      <c r="AF281" s="25" t="s">
        <v>131</v>
      </c>
    </row>
    <row r="282" spans="1:32" s="25" customFormat="1" x14ac:dyDescent="0.25">
      <c r="A282" s="25" t="s">
        <v>168</v>
      </c>
      <c r="B282" s="25">
        <f t="shared" si="4"/>
        <v>370</v>
      </c>
      <c r="C282" s="25" t="s">
        <v>12</v>
      </c>
      <c r="D282" s="25">
        <v>0</v>
      </c>
      <c r="E282" s="25">
        <v>0</v>
      </c>
      <c r="F282" s="25">
        <v>156</v>
      </c>
      <c r="G282" s="25">
        <v>16</v>
      </c>
      <c r="H282" s="27">
        <v>1</v>
      </c>
      <c r="I282" s="27">
        <v>0</v>
      </c>
      <c r="J282" s="27">
        <v>0</v>
      </c>
      <c r="K282" s="27">
        <v>0</v>
      </c>
      <c r="L282" s="27">
        <v>0</v>
      </c>
      <c r="M282" s="27">
        <v>0</v>
      </c>
      <c r="N282" s="27">
        <v>0</v>
      </c>
      <c r="O282" s="27">
        <v>0</v>
      </c>
      <c r="P282" s="25">
        <v>656</v>
      </c>
      <c r="Q282" s="25">
        <v>16</v>
      </c>
      <c r="R282" s="25" t="s">
        <v>87</v>
      </c>
      <c r="S282" s="25" t="s">
        <v>89</v>
      </c>
      <c r="T282" s="25">
        <v>1</v>
      </c>
      <c r="U282" s="25">
        <v>0</v>
      </c>
      <c r="V282" s="25">
        <v>0</v>
      </c>
      <c r="W282" s="25">
        <v>0</v>
      </c>
      <c r="X282" s="25">
        <v>0</v>
      </c>
      <c r="Y282" s="25">
        <v>0</v>
      </c>
      <c r="Z282" s="25">
        <v>0</v>
      </c>
      <c r="AA282" s="25">
        <v>0</v>
      </c>
      <c r="AB282" s="25">
        <v>0</v>
      </c>
      <c r="AC282" s="25">
        <v>0</v>
      </c>
      <c r="AD282" s="25">
        <v>0</v>
      </c>
      <c r="AE282" s="25">
        <v>0</v>
      </c>
      <c r="AF282" s="25" t="s">
        <v>131</v>
      </c>
    </row>
    <row r="283" spans="1:32" s="25" customFormat="1" x14ac:dyDescent="0.25">
      <c r="A283" s="25" t="s">
        <v>168</v>
      </c>
      <c r="B283" s="25">
        <f t="shared" si="4"/>
        <v>380</v>
      </c>
      <c r="C283" s="25" t="s">
        <v>12</v>
      </c>
      <c r="D283" s="25">
        <v>0</v>
      </c>
      <c r="E283" s="25">
        <v>0</v>
      </c>
      <c r="F283" s="25">
        <v>156</v>
      </c>
      <c r="G283" s="25">
        <v>16</v>
      </c>
      <c r="H283" s="27">
        <v>1</v>
      </c>
      <c r="I283" s="27">
        <v>0</v>
      </c>
      <c r="J283" s="27">
        <v>0</v>
      </c>
      <c r="K283" s="27">
        <v>0</v>
      </c>
      <c r="L283" s="27">
        <v>0</v>
      </c>
      <c r="M283" s="27">
        <v>0</v>
      </c>
      <c r="N283" s="27">
        <v>0</v>
      </c>
      <c r="O283" s="27">
        <v>0</v>
      </c>
      <c r="P283" s="25">
        <v>656</v>
      </c>
      <c r="Q283" s="25">
        <v>16</v>
      </c>
      <c r="R283" s="25" t="s">
        <v>87</v>
      </c>
      <c r="S283" s="25" t="s">
        <v>89</v>
      </c>
      <c r="T283" s="25">
        <v>1</v>
      </c>
      <c r="U283" s="25">
        <v>0</v>
      </c>
      <c r="V283" s="25">
        <v>0</v>
      </c>
      <c r="W283" s="25">
        <v>0</v>
      </c>
      <c r="X283" s="25">
        <v>0</v>
      </c>
      <c r="Y283" s="25">
        <v>0</v>
      </c>
      <c r="Z283" s="25">
        <v>0</v>
      </c>
      <c r="AA283" s="25">
        <v>0</v>
      </c>
      <c r="AB283" s="25">
        <v>0</v>
      </c>
      <c r="AC283" s="25">
        <v>0</v>
      </c>
      <c r="AD283" s="25">
        <v>0</v>
      </c>
      <c r="AE283" s="25">
        <v>0</v>
      </c>
      <c r="AF283" s="25" t="s">
        <v>131</v>
      </c>
    </row>
    <row r="284" spans="1:32" s="25" customFormat="1" x14ac:dyDescent="0.25">
      <c r="A284" s="25" t="s">
        <v>168</v>
      </c>
      <c r="B284" s="25">
        <f t="shared" si="4"/>
        <v>390</v>
      </c>
      <c r="C284" s="25" t="s">
        <v>12</v>
      </c>
      <c r="D284" s="25">
        <v>0</v>
      </c>
      <c r="E284" s="25">
        <v>0</v>
      </c>
      <c r="F284" s="25">
        <v>156</v>
      </c>
      <c r="G284" s="25">
        <v>16</v>
      </c>
      <c r="H284" s="27">
        <v>1</v>
      </c>
      <c r="I284" s="27">
        <v>0</v>
      </c>
      <c r="J284" s="27">
        <v>0</v>
      </c>
      <c r="K284" s="27">
        <v>0</v>
      </c>
      <c r="L284" s="27">
        <v>0</v>
      </c>
      <c r="M284" s="27">
        <v>0</v>
      </c>
      <c r="N284" s="27">
        <v>0</v>
      </c>
      <c r="O284" s="27">
        <v>0</v>
      </c>
      <c r="P284" s="25">
        <v>656</v>
      </c>
      <c r="Q284" s="25">
        <v>16</v>
      </c>
      <c r="R284" s="25" t="s">
        <v>87</v>
      </c>
      <c r="S284" s="25" t="s">
        <v>89</v>
      </c>
      <c r="T284" s="25">
        <v>1</v>
      </c>
      <c r="U284" s="25">
        <v>0</v>
      </c>
      <c r="V284" s="25">
        <v>0</v>
      </c>
      <c r="W284" s="25">
        <v>0</v>
      </c>
      <c r="X284" s="25">
        <v>0</v>
      </c>
      <c r="Y284" s="25">
        <v>0</v>
      </c>
      <c r="Z284" s="25">
        <v>0</v>
      </c>
      <c r="AA284" s="25">
        <v>0</v>
      </c>
      <c r="AB284" s="25">
        <v>0</v>
      </c>
      <c r="AC284" s="25">
        <v>0</v>
      </c>
      <c r="AD284" s="25">
        <v>0</v>
      </c>
      <c r="AE284" s="25">
        <v>0</v>
      </c>
      <c r="AF284" s="25" t="s">
        <v>131</v>
      </c>
    </row>
    <row r="285" spans="1:32" s="25" customFormat="1" x14ac:dyDescent="0.25">
      <c r="A285" s="25" t="s">
        <v>168</v>
      </c>
      <c r="B285" s="25">
        <f t="shared" si="4"/>
        <v>400</v>
      </c>
      <c r="C285" s="25" t="s">
        <v>12</v>
      </c>
      <c r="D285" s="25">
        <v>0</v>
      </c>
      <c r="E285" s="25">
        <v>0</v>
      </c>
      <c r="F285" s="25">
        <v>156</v>
      </c>
      <c r="G285" s="25">
        <v>16</v>
      </c>
      <c r="H285" s="27">
        <v>1</v>
      </c>
      <c r="I285" s="27">
        <v>0</v>
      </c>
      <c r="J285" s="27">
        <v>0</v>
      </c>
      <c r="K285" s="27">
        <v>0</v>
      </c>
      <c r="L285" s="27">
        <v>0</v>
      </c>
      <c r="M285" s="27">
        <v>0</v>
      </c>
      <c r="N285" s="27">
        <v>0</v>
      </c>
      <c r="O285" s="27">
        <v>0</v>
      </c>
      <c r="P285" s="25">
        <v>656</v>
      </c>
      <c r="Q285" s="25">
        <v>16</v>
      </c>
      <c r="R285" s="25" t="s">
        <v>87</v>
      </c>
      <c r="S285" s="25" t="s">
        <v>89</v>
      </c>
      <c r="T285" s="25">
        <v>1</v>
      </c>
      <c r="U285" s="25">
        <v>0</v>
      </c>
      <c r="V285" s="25">
        <v>0</v>
      </c>
      <c r="W285" s="25">
        <v>0</v>
      </c>
      <c r="X285" s="25">
        <v>0</v>
      </c>
      <c r="Y285" s="25">
        <v>0</v>
      </c>
      <c r="Z285" s="25">
        <v>0</v>
      </c>
      <c r="AA285" s="25">
        <v>0</v>
      </c>
      <c r="AB285" s="25">
        <v>0</v>
      </c>
      <c r="AC285" s="25">
        <v>0</v>
      </c>
      <c r="AD285" s="25">
        <v>0</v>
      </c>
      <c r="AE285" s="25">
        <v>0</v>
      </c>
      <c r="AF285" s="25" t="s">
        <v>131</v>
      </c>
    </row>
    <row r="286" spans="1:32" s="25" customFormat="1" x14ac:dyDescent="0.25">
      <c r="A286" s="25" t="s">
        <v>168</v>
      </c>
      <c r="B286" s="25">
        <f t="shared" si="4"/>
        <v>410</v>
      </c>
      <c r="C286" s="25" t="s">
        <v>12</v>
      </c>
      <c r="D286" s="25">
        <v>0</v>
      </c>
      <c r="E286" s="25">
        <v>0</v>
      </c>
      <c r="F286" s="25">
        <v>156</v>
      </c>
      <c r="G286" s="25">
        <v>16</v>
      </c>
      <c r="H286" s="27">
        <v>1</v>
      </c>
      <c r="I286" s="27">
        <v>0</v>
      </c>
      <c r="J286" s="27">
        <v>0</v>
      </c>
      <c r="K286" s="27">
        <v>0</v>
      </c>
      <c r="L286" s="27">
        <v>0</v>
      </c>
      <c r="M286" s="27">
        <v>0</v>
      </c>
      <c r="N286" s="27">
        <v>0</v>
      </c>
      <c r="O286" s="27">
        <v>0</v>
      </c>
      <c r="P286" s="25">
        <v>656</v>
      </c>
      <c r="Q286" s="25">
        <v>16</v>
      </c>
      <c r="R286" s="25" t="s">
        <v>87</v>
      </c>
      <c r="S286" s="25" t="s">
        <v>89</v>
      </c>
      <c r="T286" s="25">
        <v>1</v>
      </c>
      <c r="U286" s="25">
        <v>0</v>
      </c>
      <c r="V286" s="25">
        <v>0</v>
      </c>
      <c r="W286" s="25">
        <v>0</v>
      </c>
      <c r="X286" s="25">
        <v>0</v>
      </c>
      <c r="Y286" s="25">
        <v>0</v>
      </c>
      <c r="Z286" s="25">
        <v>0</v>
      </c>
      <c r="AA286" s="25">
        <v>0</v>
      </c>
      <c r="AB286" s="25">
        <v>0</v>
      </c>
      <c r="AC286" s="25">
        <v>0</v>
      </c>
      <c r="AD286" s="25">
        <v>0</v>
      </c>
      <c r="AE286" s="25">
        <v>0</v>
      </c>
      <c r="AF286" s="25" t="s">
        <v>131</v>
      </c>
    </row>
    <row r="287" spans="1:32" s="25" customFormat="1" x14ac:dyDescent="0.25">
      <c r="A287" s="25" t="s">
        <v>168</v>
      </c>
      <c r="B287" s="25">
        <f t="shared" si="4"/>
        <v>420</v>
      </c>
      <c r="C287" s="25" t="s">
        <v>12</v>
      </c>
      <c r="D287" s="25">
        <v>0</v>
      </c>
      <c r="E287" s="25">
        <v>0</v>
      </c>
      <c r="F287" s="25">
        <v>156</v>
      </c>
      <c r="G287" s="25">
        <v>16</v>
      </c>
      <c r="H287" s="27">
        <v>1</v>
      </c>
      <c r="I287" s="27">
        <v>0</v>
      </c>
      <c r="J287" s="27">
        <v>0</v>
      </c>
      <c r="K287" s="27">
        <v>0</v>
      </c>
      <c r="L287" s="27">
        <v>0</v>
      </c>
      <c r="M287" s="27">
        <v>0</v>
      </c>
      <c r="N287" s="27">
        <v>0</v>
      </c>
      <c r="O287" s="27">
        <v>0</v>
      </c>
      <c r="P287" s="25">
        <v>656</v>
      </c>
      <c r="Q287" s="25">
        <v>16</v>
      </c>
      <c r="R287" s="25" t="s">
        <v>87</v>
      </c>
      <c r="S287" s="25" t="s">
        <v>89</v>
      </c>
      <c r="T287" s="25">
        <v>1</v>
      </c>
      <c r="U287" s="25">
        <v>0</v>
      </c>
      <c r="V287" s="25">
        <v>0</v>
      </c>
      <c r="W287" s="25">
        <v>0</v>
      </c>
      <c r="X287" s="25">
        <v>0</v>
      </c>
      <c r="Y287" s="25">
        <v>0</v>
      </c>
      <c r="Z287" s="25">
        <v>0</v>
      </c>
      <c r="AA287" s="25">
        <v>0</v>
      </c>
      <c r="AB287" s="25">
        <v>0</v>
      </c>
      <c r="AC287" s="25">
        <v>0</v>
      </c>
      <c r="AD287" s="25">
        <v>0</v>
      </c>
      <c r="AE287" s="25">
        <v>0</v>
      </c>
      <c r="AF287" s="25" t="s">
        <v>131</v>
      </c>
    </row>
    <row r="288" spans="1:32" s="25" customFormat="1" x14ac:dyDescent="0.25">
      <c r="A288" s="25" t="s">
        <v>168</v>
      </c>
      <c r="B288" s="25">
        <f t="shared" si="4"/>
        <v>430</v>
      </c>
      <c r="C288" s="25" t="s">
        <v>12</v>
      </c>
      <c r="D288" s="25">
        <v>0</v>
      </c>
      <c r="E288" s="25">
        <v>0</v>
      </c>
      <c r="F288" s="25">
        <v>156</v>
      </c>
      <c r="G288" s="25">
        <v>16</v>
      </c>
      <c r="H288" s="27">
        <v>1</v>
      </c>
      <c r="I288" s="27">
        <v>0</v>
      </c>
      <c r="J288" s="27">
        <v>0</v>
      </c>
      <c r="K288" s="27">
        <v>0</v>
      </c>
      <c r="L288" s="27">
        <v>0</v>
      </c>
      <c r="M288" s="27">
        <v>0</v>
      </c>
      <c r="N288" s="27">
        <v>0</v>
      </c>
      <c r="O288" s="27">
        <v>0</v>
      </c>
      <c r="P288" s="25">
        <v>656</v>
      </c>
      <c r="Q288" s="25">
        <v>16</v>
      </c>
      <c r="R288" s="25" t="s">
        <v>87</v>
      </c>
      <c r="S288" s="25" t="s">
        <v>89</v>
      </c>
      <c r="T288" s="25">
        <v>1</v>
      </c>
      <c r="U288" s="25">
        <v>0</v>
      </c>
      <c r="V288" s="25">
        <v>0</v>
      </c>
      <c r="W288" s="25">
        <v>0</v>
      </c>
      <c r="X288" s="25">
        <v>0</v>
      </c>
      <c r="Y288" s="25">
        <v>0</v>
      </c>
      <c r="Z288" s="25">
        <v>0</v>
      </c>
      <c r="AA288" s="25">
        <v>0</v>
      </c>
      <c r="AB288" s="25">
        <v>0</v>
      </c>
      <c r="AC288" s="25">
        <v>0</v>
      </c>
      <c r="AD288" s="25">
        <v>0</v>
      </c>
      <c r="AE288" s="25">
        <v>0</v>
      </c>
      <c r="AF288" s="25" t="s">
        <v>131</v>
      </c>
    </row>
    <row r="289" spans="1:32" s="25" customFormat="1" x14ac:dyDescent="0.25">
      <c r="A289" s="25" t="s">
        <v>168</v>
      </c>
      <c r="B289" s="25">
        <f t="shared" si="4"/>
        <v>440</v>
      </c>
      <c r="C289" s="25" t="s">
        <v>12</v>
      </c>
      <c r="D289" s="25">
        <v>0</v>
      </c>
      <c r="E289" s="25">
        <v>0</v>
      </c>
      <c r="F289" s="25">
        <v>156</v>
      </c>
      <c r="G289" s="25">
        <v>16</v>
      </c>
      <c r="H289" s="27">
        <v>1</v>
      </c>
      <c r="I289" s="27">
        <v>0</v>
      </c>
      <c r="J289" s="27">
        <v>0</v>
      </c>
      <c r="K289" s="27">
        <v>0</v>
      </c>
      <c r="L289" s="27">
        <v>0</v>
      </c>
      <c r="M289" s="27">
        <v>0</v>
      </c>
      <c r="N289" s="27">
        <v>0</v>
      </c>
      <c r="O289" s="27">
        <v>0</v>
      </c>
      <c r="P289" s="25">
        <v>656</v>
      </c>
      <c r="Q289" s="25">
        <v>16</v>
      </c>
      <c r="R289" s="25" t="s">
        <v>87</v>
      </c>
      <c r="S289" s="25" t="s">
        <v>89</v>
      </c>
      <c r="T289" s="25">
        <v>1</v>
      </c>
      <c r="U289" s="25">
        <v>0</v>
      </c>
      <c r="V289" s="25">
        <v>0</v>
      </c>
      <c r="W289" s="25">
        <v>0</v>
      </c>
      <c r="X289" s="25">
        <v>0</v>
      </c>
      <c r="Y289" s="25">
        <v>0</v>
      </c>
      <c r="Z289" s="25">
        <v>0</v>
      </c>
      <c r="AA289" s="25">
        <v>0</v>
      </c>
      <c r="AB289" s="25">
        <v>0</v>
      </c>
      <c r="AC289" s="25">
        <v>0</v>
      </c>
      <c r="AD289" s="25">
        <v>0</v>
      </c>
      <c r="AE289" s="25">
        <v>0</v>
      </c>
      <c r="AF289" s="25" t="s">
        <v>131</v>
      </c>
    </row>
    <row r="290" spans="1:32" s="25" customFormat="1" x14ac:dyDescent="0.25">
      <c r="A290" s="25" t="s">
        <v>168</v>
      </c>
      <c r="B290" s="25">
        <f t="shared" si="4"/>
        <v>450</v>
      </c>
      <c r="C290" s="25" t="s">
        <v>12</v>
      </c>
      <c r="D290" s="25">
        <v>0</v>
      </c>
      <c r="E290" s="25">
        <v>0</v>
      </c>
      <c r="F290" s="25">
        <v>156</v>
      </c>
      <c r="G290" s="25">
        <v>16</v>
      </c>
      <c r="H290" s="27">
        <v>1</v>
      </c>
      <c r="I290" s="27">
        <v>0</v>
      </c>
      <c r="J290" s="27">
        <v>0</v>
      </c>
      <c r="K290" s="27">
        <v>0</v>
      </c>
      <c r="L290" s="27">
        <v>0</v>
      </c>
      <c r="M290" s="27">
        <v>0</v>
      </c>
      <c r="N290" s="27">
        <v>0</v>
      </c>
      <c r="O290" s="27">
        <v>0</v>
      </c>
      <c r="P290" s="25">
        <v>656</v>
      </c>
      <c r="Q290" s="25">
        <v>16</v>
      </c>
      <c r="R290" s="25" t="s">
        <v>87</v>
      </c>
      <c r="S290" s="25" t="s">
        <v>89</v>
      </c>
      <c r="T290" s="25">
        <v>1</v>
      </c>
      <c r="U290" s="25">
        <v>0</v>
      </c>
      <c r="V290" s="25">
        <v>0</v>
      </c>
      <c r="W290" s="25">
        <v>0</v>
      </c>
      <c r="X290" s="25">
        <v>0</v>
      </c>
      <c r="Y290" s="25">
        <v>0</v>
      </c>
      <c r="Z290" s="25">
        <v>0</v>
      </c>
      <c r="AA290" s="25">
        <v>0</v>
      </c>
      <c r="AB290" s="25">
        <v>0</v>
      </c>
      <c r="AC290" s="25">
        <v>0</v>
      </c>
      <c r="AD290" s="25">
        <v>0</v>
      </c>
      <c r="AE290" s="25">
        <v>0</v>
      </c>
      <c r="AF290" s="25" t="s">
        <v>131</v>
      </c>
    </row>
    <row r="291" spans="1:32" s="25" customFormat="1" x14ac:dyDescent="0.25">
      <c r="A291" s="25" t="s">
        <v>168</v>
      </c>
      <c r="B291" s="25">
        <f t="shared" si="4"/>
        <v>460</v>
      </c>
      <c r="C291" s="25" t="s">
        <v>12</v>
      </c>
      <c r="D291" s="25">
        <v>0</v>
      </c>
      <c r="E291" s="25">
        <v>0</v>
      </c>
      <c r="F291" s="25">
        <v>156</v>
      </c>
      <c r="G291" s="25">
        <v>16</v>
      </c>
      <c r="H291" s="27">
        <v>1</v>
      </c>
      <c r="I291" s="27">
        <v>0</v>
      </c>
      <c r="J291" s="27">
        <v>0</v>
      </c>
      <c r="K291" s="27">
        <v>0</v>
      </c>
      <c r="L291" s="27">
        <v>0</v>
      </c>
      <c r="M291" s="27">
        <v>0</v>
      </c>
      <c r="N291" s="27">
        <v>0</v>
      </c>
      <c r="O291" s="27">
        <v>0</v>
      </c>
      <c r="P291" s="25">
        <v>656</v>
      </c>
      <c r="Q291" s="25">
        <v>16</v>
      </c>
      <c r="R291" s="25" t="s">
        <v>87</v>
      </c>
      <c r="S291" s="25" t="s">
        <v>89</v>
      </c>
      <c r="T291" s="25">
        <v>1</v>
      </c>
      <c r="U291" s="25">
        <v>0</v>
      </c>
      <c r="V291" s="25">
        <v>0</v>
      </c>
      <c r="W291" s="25">
        <v>0</v>
      </c>
      <c r="X291" s="25">
        <v>0</v>
      </c>
      <c r="Y291" s="25">
        <v>0</v>
      </c>
      <c r="Z291" s="25">
        <v>0</v>
      </c>
      <c r="AA291" s="25">
        <v>0</v>
      </c>
      <c r="AB291" s="25">
        <v>0</v>
      </c>
      <c r="AC291" s="25">
        <v>0</v>
      </c>
      <c r="AD291" s="25">
        <v>0</v>
      </c>
      <c r="AE291" s="25">
        <v>0</v>
      </c>
      <c r="AF291" s="25" t="s">
        <v>131</v>
      </c>
    </row>
    <row r="292" spans="1:32" s="25" customFormat="1" x14ac:dyDescent="0.25">
      <c r="A292" s="25" t="s">
        <v>168</v>
      </c>
      <c r="B292" s="25">
        <f t="shared" ref="B292:B312" si="5">B291+10</f>
        <v>470</v>
      </c>
      <c r="C292" s="25" t="s">
        <v>12</v>
      </c>
      <c r="D292" s="25">
        <v>0</v>
      </c>
      <c r="E292" s="25">
        <v>0</v>
      </c>
      <c r="F292" s="25">
        <v>156</v>
      </c>
      <c r="G292" s="25">
        <v>16</v>
      </c>
      <c r="H292" s="27">
        <v>1</v>
      </c>
      <c r="I292" s="27">
        <v>0</v>
      </c>
      <c r="J292" s="27">
        <v>0</v>
      </c>
      <c r="K292" s="27">
        <v>0</v>
      </c>
      <c r="L292" s="27">
        <v>0</v>
      </c>
      <c r="M292" s="27">
        <v>0</v>
      </c>
      <c r="N292" s="27">
        <v>0</v>
      </c>
      <c r="O292" s="27">
        <v>0</v>
      </c>
      <c r="P292" s="25">
        <v>656</v>
      </c>
      <c r="Q292" s="25">
        <v>16</v>
      </c>
      <c r="R292" s="25" t="s">
        <v>87</v>
      </c>
      <c r="S292" s="25" t="s">
        <v>89</v>
      </c>
      <c r="T292" s="25">
        <v>1</v>
      </c>
      <c r="U292" s="25">
        <v>0</v>
      </c>
      <c r="V292" s="25">
        <v>0</v>
      </c>
      <c r="W292" s="25">
        <v>0</v>
      </c>
      <c r="X292" s="25">
        <v>0</v>
      </c>
      <c r="Y292" s="25">
        <v>0</v>
      </c>
      <c r="Z292" s="25">
        <v>0</v>
      </c>
      <c r="AA292" s="25">
        <v>0</v>
      </c>
      <c r="AB292" s="25">
        <v>0</v>
      </c>
      <c r="AC292" s="25">
        <v>0</v>
      </c>
      <c r="AD292" s="25">
        <v>0</v>
      </c>
      <c r="AE292" s="25">
        <v>0</v>
      </c>
      <c r="AF292" s="25" t="s">
        <v>131</v>
      </c>
    </row>
    <row r="293" spans="1:32" s="25" customFormat="1" x14ac:dyDescent="0.25">
      <c r="A293" s="25" t="s">
        <v>168</v>
      </c>
      <c r="B293" s="25">
        <f t="shared" si="5"/>
        <v>480</v>
      </c>
      <c r="C293" s="25" t="s">
        <v>12</v>
      </c>
      <c r="D293" s="25">
        <v>0</v>
      </c>
      <c r="E293" s="25">
        <v>0</v>
      </c>
      <c r="F293" s="25">
        <v>156</v>
      </c>
      <c r="G293" s="25">
        <v>16</v>
      </c>
      <c r="H293" s="27">
        <v>1</v>
      </c>
      <c r="I293" s="27">
        <v>0</v>
      </c>
      <c r="J293" s="27">
        <v>0</v>
      </c>
      <c r="K293" s="27">
        <v>0</v>
      </c>
      <c r="L293" s="27">
        <v>0</v>
      </c>
      <c r="M293" s="27">
        <v>0</v>
      </c>
      <c r="N293" s="27">
        <v>0</v>
      </c>
      <c r="O293" s="27">
        <v>0</v>
      </c>
      <c r="P293" s="25">
        <v>656</v>
      </c>
      <c r="Q293" s="25">
        <v>16</v>
      </c>
      <c r="R293" s="25" t="s">
        <v>87</v>
      </c>
      <c r="S293" s="25" t="s">
        <v>89</v>
      </c>
      <c r="T293" s="25">
        <v>1</v>
      </c>
      <c r="U293" s="25">
        <v>0</v>
      </c>
      <c r="V293" s="25">
        <v>0</v>
      </c>
      <c r="W293" s="25">
        <v>0</v>
      </c>
      <c r="X293" s="25">
        <v>0</v>
      </c>
      <c r="Y293" s="25">
        <v>0</v>
      </c>
      <c r="Z293" s="25">
        <v>0</v>
      </c>
      <c r="AA293" s="25">
        <v>0</v>
      </c>
      <c r="AB293" s="25">
        <v>0</v>
      </c>
      <c r="AC293" s="25">
        <v>0</v>
      </c>
      <c r="AD293" s="25">
        <v>0</v>
      </c>
      <c r="AE293" s="25">
        <v>0</v>
      </c>
      <c r="AF293" s="25" t="s">
        <v>131</v>
      </c>
    </row>
    <row r="294" spans="1:32" s="25" customFormat="1" x14ac:dyDescent="0.25">
      <c r="A294" s="25" t="s">
        <v>168</v>
      </c>
      <c r="B294" s="25">
        <f t="shared" si="5"/>
        <v>490</v>
      </c>
      <c r="C294" s="25" t="s">
        <v>12</v>
      </c>
      <c r="D294" s="25">
        <v>0</v>
      </c>
      <c r="E294" s="25">
        <v>0</v>
      </c>
      <c r="F294" s="25">
        <v>156</v>
      </c>
      <c r="G294" s="25">
        <v>16</v>
      </c>
      <c r="H294" s="27">
        <v>1</v>
      </c>
      <c r="I294" s="27">
        <v>0</v>
      </c>
      <c r="J294" s="27">
        <v>0</v>
      </c>
      <c r="K294" s="27">
        <v>0</v>
      </c>
      <c r="L294" s="27">
        <v>0</v>
      </c>
      <c r="M294" s="27">
        <v>0</v>
      </c>
      <c r="N294" s="27">
        <v>0</v>
      </c>
      <c r="O294" s="27">
        <v>0</v>
      </c>
      <c r="P294" s="25">
        <v>656</v>
      </c>
      <c r="Q294" s="25">
        <v>16</v>
      </c>
      <c r="R294" s="25" t="s">
        <v>87</v>
      </c>
      <c r="S294" s="25" t="s">
        <v>89</v>
      </c>
      <c r="T294" s="25">
        <v>1</v>
      </c>
      <c r="U294" s="25">
        <v>0</v>
      </c>
      <c r="V294" s="25">
        <v>0</v>
      </c>
      <c r="W294" s="25">
        <v>0</v>
      </c>
      <c r="X294" s="25">
        <v>0</v>
      </c>
      <c r="Y294" s="25">
        <v>0</v>
      </c>
      <c r="Z294" s="25">
        <v>0</v>
      </c>
      <c r="AA294" s="25">
        <v>0</v>
      </c>
      <c r="AB294" s="25">
        <v>0</v>
      </c>
      <c r="AC294" s="25">
        <v>0</v>
      </c>
      <c r="AD294" s="25">
        <v>0</v>
      </c>
      <c r="AE294" s="25">
        <v>0</v>
      </c>
      <c r="AF294" s="25" t="s">
        <v>131</v>
      </c>
    </row>
    <row r="295" spans="1:32" s="25" customFormat="1" x14ac:dyDescent="0.25">
      <c r="A295" s="25" t="s">
        <v>168</v>
      </c>
      <c r="B295" s="25">
        <f t="shared" si="5"/>
        <v>500</v>
      </c>
      <c r="C295" s="25" t="s">
        <v>12</v>
      </c>
      <c r="D295" s="25">
        <v>0</v>
      </c>
      <c r="E295" s="25">
        <v>0</v>
      </c>
      <c r="F295" s="25">
        <v>156</v>
      </c>
      <c r="G295" s="25">
        <v>16</v>
      </c>
      <c r="H295" s="27">
        <v>1</v>
      </c>
      <c r="I295" s="27">
        <v>0</v>
      </c>
      <c r="J295" s="27">
        <v>0</v>
      </c>
      <c r="K295" s="27">
        <v>0</v>
      </c>
      <c r="L295" s="27">
        <v>0</v>
      </c>
      <c r="M295" s="27">
        <v>0</v>
      </c>
      <c r="N295" s="27">
        <v>0</v>
      </c>
      <c r="O295" s="27">
        <v>0</v>
      </c>
      <c r="P295" s="25">
        <v>656</v>
      </c>
      <c r="Q295" s="25">
        <v>16</v>
      </c>
      <c r="R295" s="25" t="s">
        <v>87</v>
      </c>
      <c r="S295" s="25" t="s">
        <v>89</v>
      </c>
      <c r="T295" s="25">
        <v>1</v>
      </c>
      <c r="U295" s="25">
        <v>0</v>
      </c>
      <c r="V295" s="25">
        <v>0</v>
      </c>
      <c r="W295" s="25">
        <v>0</v>
      </c>
      <c r="X295" s="25">
        <v>0</v>
      </c>
      <c r="Y295" s="25">
        <v>0</v>
      </c>
      <c r="Z295" s="25">
        <v>0</v>
      </c>
      <c r="AA295" s="25">
        <v>0</v>
      </c>
      <c r="AB295" s="25">
        <v>0</v>
      </c>
      <c r="AC295" s="25">
        <v>0</v>
      </c>
      <c r="AD295" s="25">
        <v>0</v>
      </c>
      <c r="AE295" s="25">
        <v>0</v>
      </c>
      <c r="AF295" s="25" t="s">
        <v>131</v>
      </c>
    </row>
    <row r="296" spans="1:32" s="25" customFormat="1" x14ac:dyDescent="0.25">
      <c r="A296" s="25" t="s">
        <v>168</v>
      </c>
      <c r="B296" s="25">
        <f t="shared" si="5"/>
        <v>510</v>
      </c>
      <c r="C296" s="25" t="s">
        <v>12</v>
      </c>
      <c r="D296" s="25">
        <v>0</v>
      </c>
      <c r="E296" s="25">
        <v>0</v>
      </c>
      <c r="F296" s="25">
        <v>156</v>
      </c>
      <c r="G296" s="25">
        <v>16</v>
      </c>
      <c r="H296" s="27">
        <v>1</v>
      </c>
      <c r="I296" s="27">
        <v>0</v>
      </c>
      <c r="J296" s="27">
        <v>0</v>
      </c>
      <c r="K296" s="27">
        <v>0</v>
      </c>
      <c r="L296" s="27">
        <v>0</v>
      </c>
      <c r="M296" s="27">
        <v>0</v>
      </c>
      <c r="N296" s="27">
        <v>0</v>
      </c>
      <c r="O296" s="27">
        <v>0</v>
      </c>
      <c r="P296" s="25">
        <v>656</v>
      </c>
      <c r="Q296" s="25">
        <v>16</v>
      </c>
      <c r="R296" s="25" t="s">
        <v>87</v>
      </c>
      <c r="S296" s="25" t="s">
        <v>89</v>
      </c>
      <c r="T296" s="25">
        <v>1</v>
      </c>
      <c r="U296" s="25">
        <v>0</v>
      </c>
      <c r="V296" s="25">
        <v>0</v>
      </c>
      <c r="W296" s="25">
        <v>0</v>
      </c>
      <c r="X296" s="25">
        <v>0</v>
      </c>
      <c r="Y296" s="25">
        <v>0</v>
      </c>
      <c r="Z296" s="25">
        <v>0</v>
      </c>
      <c r="AA296" s="25">
        <v>0</v>
      </c>
      <c r="AB296" s="25">
        <v>0</v>
      </c>
      <c r="AC296" s="25">
        <v>0</v>
      </c>
      <c r="AD296" s="25">
        <v>0</v>
      </c>
      <c r="AE296" s="25">
        <v>0</v>
      </c>
      <c r="AF296" s="25" t="s">
        <v>131</v>
      </c>
    </row>
    <row r="297" spans="1:32" s="25" customFormat="1" x14ac:dyDescent="0.25">
      <c r="A297" s="25" t="s">
        <v>168</v>
      </c>
      <c r="B297" s="25">
        <f t="shared" si="5"/>
        <v>520</v>
      </c>
      <c r="C297" s="25" t="s">
        <v>12</v>
      </c>
      <c r="D297" s="25">
        <v>0</v>
      </c>
      <c r="E297" s="25">
        <v>0</v>
      </c>
      <c r="F297" s="25">
        <v>156</v>
      </c>
      <c r="G297" s="25">
        <v>16</v>
      </c>
      <c r="H297" s="27">
        <v>1</v>
      </c>
      <c r="I297" s="27">
        <v>0</v>
      </c>
      <c r="J297" s="27">
        <v>0</v>
      </c>
      <c r="K297" s="27">
        <v>0</v>
      </c>
      <c r="L297" s="27">
        <v>0</v>
      </c>
      <c r="M297" s="27">
        <v>0</v>
      </c>
      <c r="N297" s="27">
        <v>0</v>
      </c>
      <c r="O297" s="27">
        <v>0</v>
      </c>
      <c r="P297" s="25">
        <v>656</v>
      </c>
      <c r="Q297" s="25">
        <v>16</v>
      </c>
      <c r="R297" s="25" t="s">
        <v>87</v>
      </c>
      <c r="S297" s="25" t="s">
        <v>89</v>
      </c>
      <c r="T297" s="25">
        <v>1</v>
      </c>
      <c r="U297" s="25">
        <v>0</v>
      </c>
      <c r="V297" s="25">
        <v>0</v>
      </c>
      <c r="W297" s="25">
        <v>0</v>
      </c>
      <c r="X297" s="25">
        <v>0</v>
      </c>
      <c r="Y297" s="25">
        <v>0</v>
      </c>
      <c r="Z297" s="25">
        <v>0</v>
      </c>
      <c r="AA297" s="25">
        <v>0</v>
      </c>
      <c r="AB297" s="25">
        <v>0</v>
      </c>
      <c r="AC297" s="25">
        <v>0</v>
      </c>
      <c r="AD297" s="25">
        <v>0</v>
      </c>
      <c r="AE297" s="25">
        <v>0</v>
      </c>
      <c r="AF297" s="25" t="s">
        <v>131</v>
      </c>
    </row>
    <row r="298" spans="1:32" s="25" customFormat="1" x14ac:dyDescent="0.25">
      <c r="A298" s="25" t="s">
        <v>168</v>
      </c>
      <c r="B298" s="25">
        <f t="shared" si="5"/>
        <v>530</v>
      </c>
      <c r="C298" s="25" t="s">
        <v>12</v>
      </c>
      <c r="D298" s="25">
        <v>0</v>
      </c>
      <c r="E298" s="25">
        <v>0</v>
      </c>
      <c r="F298" s="25">
        <v>156</v>
      </c>
      <c r="G298" s="25">
        <v>16</v>
      </c>
      <c r="H298" s="27">
        <v>1</v>
      </c>
      <c r="I298" s="27">
        <v>0</v>
      </c>
      <c r="J298" s="27">
        <v>0</v>
      </c>
      <c r="K298" s="27">
        <v>0</v>
      </c>
      <c r="L298" s="27">
        <v>0</v>
      </c>
      <c r="M298" s="27">
        <v>0</v>
      </c>
      <c r="N298" s="27">
        <v>0</v>
      </c>
      <c r="O298" s="27">
        <v>0</v>
      </c>
      <c r="P298" s="25">
        <v>656</v>
      </c>
      <c r="Q298" s="25">
        <v>16</v>
      </c>
      <c r="R298" s="25" t="s">
        <v>87</v>
      </c>
      <c r="S298" s="25" t="s">
        <v>89</v>
      </c>
      <c r="T298" s="25">
        <v>1</v>
      </c>
      <c r="U298" s="25">
        <v>0</v>
      </c>
      <c r="V298" s="25">
        <v>0</v>
      </c>
      <c r="W298" s="25">
        <v>0</v>
      </c>
      <c r="X298" s="25">
        <v>0</v>
      </c>
      <c r="Y298" s="25">
        <v>0</v>
      </c>
      <c r="Z298" s="25">
        <v>0</v>
      </c>
      <c r="AA298" s="25">
        <v>0</v>
      </c>
      <c r="AB298" s="25">
        <v>0</v>
      </c>
      <c r="AC298" s="25">
        <v>0</v>
      </c>
      <c r="AD298" s="25">
        <v>0</v>
      </c>
      <c r="AE298" s="25">
        <v>0</v>
      </c>
      <c r="AF298" s="25" t="s">
        <v>131</v>
      </c>
    </row>
    <row r="299" spans="1:32" s="25" customFormat="1" x14ac:dyDescent="0.25">
      <c r="A299" s="25" t="s">
        <v>168</v>
      </c>
      <c r="B299" s="25">
        <f t="shared" si="5"/>
        <v>540</v>
      </c>
      <c r="C299" s="25" t="s">
        <v>12</v>
      </c>
      <c r="D299" s="25">
        <v>0</v>
      </c>
      <c r="E299" s="25">
        <v>0</v>
      </c>
      <c r="F299" s="25">
        <v>156</v>
      </c>
      <c r="G299" s="25">
        <v>16</v>
      </c>
      <c r="H299" s="27">
        <v>1</v>
      </c>
      <c r="I299" s="27">
        <v>0</v>
      </c>
      <c r="J299" s="27">
        <v>0</v>
      </c>
      <c r="K299" s="27">
        <v>0</v>
      </c>
      <c r="L299" s="27">
        <v>0</v>
      </c>
      <c r="M299" s="27">
        <v>0</v>
      </c>
      <c r="N299" s="27">
        <v>0</v>
      </c>
      <c r="O299" s="27">
        <v>0</v>
      </c>
      <c r="P299" s="25">
        <v>656</v>
      </c>
      <c r="Q299" s="25">
        <v>16</v>
      </c>
      <c r="R299" s="25" t="s">
        <v>87</v>
      </c>
      <c r="S299" s="25" t="s">
        <v>89</v>
      </c>
      <c r="T299" s="25">
        <v>1</v>
      </c>
      <c r="U299" s="25">
        <v>0</v>
      </c>
      <c r="V299" s="25">
        <v>0</v>
      </c>
      <c r="W299" s="25">
        <v>0</v>
      </c>
      <c r="X299" s="25">
        <v>0</v>
      </c>
      <c r="Y299" s="25">
        <v>0</v>
      </c>
      <c r="Z299" s="25">
        <v>0</v>
      </c>
      <c r="AA299" s="25">
        <v>0</v>
      </c>
      <c r="AB299" s="25">
        <v>0</v>
      </c>
      <c r="AC299" s="25">
        <v>0</v>
      </c>
      <c r="AD299" s="25">
        <v>0</v>
      </c>
      <c r="AE299" s="25">
        <v>0</v>
      </c>
      <c r="AF299" s="25" t="s">
        <v>131</v>
      </c>
    </row>
    <row r="300" spans="1:32" s="25" customFormat="1" x14ac:dyDescent="0.25">
      <c r="A300" s="25" t="s">
        <v>168</v>
      </c>
      <c r="B300" s="25">
        <f t="shared" si="5"/>
        <v>550</v>
      </c>
      <c r="C300" s="25" t="s">
        <v>12</v>
      </c>
      <c r="D300" s="25">
        <v>0</v>
      </c>
      <c r="E300" s="25">
        <v>0</v>
      </c>
      <c r="F300" s="25">
        <v>156</v>
      </c>
      <c r="G300" s="25">
        <v>16</v>
      </c>
      <c r="H300" s="27">
        <v>1</v>
      </c>
      <c r="I300" s="27">
        <v>0</v>
      </c>
      <c r="J300" s="27">
        <v>0</v>
      </c>
      <c r="K300" s="27">
        <v>0</v>
      </c>
      <c r="L300" s="27">
        <v>0</v>
      </c>
      <c r="M300" s="27">
        <v>0</v>
      </c>
      <c r="N300" s="27">
        <v>0</v>
      </c>
      <c r="O300" s="27">
        <v>0</v>
      </c>
      <c r="P300" s="25">
        <v>656</v>
      </c>
      <c r="Q300" s="25">
        <v>16</v>
      </c>
      <c r="R300" s="25" t="s">
        <v>87</v>
      </c>
      <c r="S300" s="25" t="s">
        <v>89</v>
      </c>
      <c r="T300" s="25">
        <v>1</v>
      </c>
      <c r="U300" s="25">
        <v>0</v>
      </c>
      <c r="V300" s="25">
        <v>0</v>
      </c>
      <c r="W300" s="25">
        <v>0</v>
      </c>
      <c r="X300" s="25">
        <v>0</v>
      </c>
      <c r="Y300" s="25">
        <v>0</v>
      </c>
      <c r="Z300" s="25">
        <v>0</v>
      </c>
      <c r="AA300" s="25">
        <v>0</v>
      </c>
      <c r="AB300" s="25">
        <v>0</v>
      </c>
      <c r="AC300" s="25">
        <v>0</v>
      </c>
      <c r="AD300" s="25">
        <v>0</v>
      </c>
      <c r="AE300" s="25">
        <v>0</v>
      </c>
      <c r="AF300" s="25" t="s">
        <v>131</v>
      </c>
    </row>
    <row r="301" spans="1:32" s="25" customFormat="1" x14ac:dyDescent="0.25">
      <c r="A301" s="25" t="s">
        <v>168</v>
      </c>
      <c r="B301" s="25">
        <f t="shared" si="5"/>
        <v>560</v>
      </c>
      <c r="C301" s="25" t="s">
        <v>12</v>
      </c>
      <c r="D301" s="25">
        <v>0</v>
      </c>
      <c r="E301" s="25">
        <v>0</v>
      </c>
      <c r="F301" s="25">
        <v>156</v>
      </c>
      <c r="G301" s="25">
        <v>16</v>
      </c>
      <c r="H301" s="27">
        <v>1</v>
      </c>
      <c r="I301" s="27">
        <v>0</v>
      </c>
      <c r="J301" s="27">
        <v>0</v>
      </c>
      <c r="K301" s="27">
        <v>0</v>
      </c>
      <c r="L301" s="27">
        <v>0</v>
      </c>
      <c r="M301" s="27">
        <v>0</v>
      </c>
      <c r="N301" s="27">
        <v>0</v>
      </c>
      <c r="O301" s="27">
        <v>0</v>
      </c>
      <c r="P301" s="25">
        <v>656</v>
      </c>
      <c r="Q301" s="25">
        <v>16</v>
      </c>
      <c r="R301" s="25" t="s">
        <v>87</v>
      </c>
      <c r="S301" s="25" t="s">
        <v>89</v>
      </c>
      <c r="T301" s="25">
        <v>1</v>
      </c>
      <c r="U301" s="25">
        <v>0</v>
      </c>
      <c r="V301" s="25">
        <v>0</v>
      </c>
      <c r="W301" s="25">
        <v>0</v>
      </c>
      <c r="X301" s="25">
        <v>0</v>
      </c>
      <c r="Y301" s="25">
        <v>0</v>
      </c>
      <c r="Z301" s="25">
        <v>0</v>
      </c>
      <c r="AA301" s="25">
        <v>0</v>
      </c>
      <c r="AB301" s="25">
        <v>0</v>
      </c>
      <c r="AC301" s="25">
        <v>0</v>
      </c>
      <c r="AD301" s="25">
        <v>0</v>
      </c>
      <c r="AE301" s="25">
        <v>0</v>
      </c>
      <c r="AF301" s="25" t="s">
        <v>131</v>
      </c>
    </row>
    <row r="302" spans="1:32" s="25" customFormat="1" x14ac:dyDescent="0.25">
      <c r="A302" s="25" t="s">
        <v>168</v>
      </c>
      <c r="B302" s="25">
        <f t="shared" si="5"/>
        <v>570</v>
      </c>
      <c r="C302" s="25" t="s">
        <v>12</v>
      </c>
      <c r="D302" s="25">
        <v>0</v>
      </c>
      <c r="E302" s="25">
        <v>0</v>
      </c>
      <c r="F302" s="25">
        <v>156</v>
      </c>
      <c r="G302" s="25">
        <v>16</v>
      </c>
      <c r="H302" s="27">
        <v>1</v>
      </c>
      <c r="I302" s="27">
        <v>0</v>
      </c>
      <c r="J302" s="27">
        <v>0</v>
      </c>
      <c r="K302" s="27">
        <v>0</v>
      </c>
      <c r="L302" s="27">
        <v>0</v>
      </c>
      <c r="M302" s="27">
        <v>0</v>
      </c>
      <c r="N302" s="27">
        <v>0</v>
      </c>
      <c r="O302" s="27">
        <v>0</v>
      </c>
      <c r="P302" s="25">
        <v>656</v>
      </c>
      <c r="Q302" s="25">
        <v>16</v>
      </c>
      <c r="R302" s="25" t="s">
        <v>87</v>
      </c>
      <c r="S302" s="25" t="s">
        <v>89</v>
      </c>
      <c r="T302" s="25">
        <v>1</v>
      </c>
      <c r="U302" s="25">
        <v>0</v>
      </c>
      <c r="V302" s="25">
        <v>0</v>
      </c>
      <c r="W302" s="25">
        <v>0</v>
      </c>
      <c r="X302" s="25">
        <v>0</v>
      </c>
      <c r="Y302" s="25">
        <v>0</v>
      </c>
      <c r="Z302" s="25">
        <v>0</v>
      </c>
      <c r="AA302" s="25">
        <v>0</v>
      </c>
      <c r="AB302" s="25">
        <v>0</v>
      </c>
      <c r="AC302" s="25">
        <v>0</v>
      </c>
      <c r="AD302" s="25">
        <v>0</v>
      </c>
      <c r="AE302" s="25">
        <v>0</v>
      </c>
      <c r="AF302" s="25" t="s">
        <v>131</v>
      </c>
    </row>
    <row r="303" spans="1:32" s="25" customFormat="1" x14ac:dyDescent="0.25">
      <c r="A303" s="25" t="s">
        <v>168</v>
      </c>
      <c r="B303" s="25">
        <f t="shared" si="5"/>
        <v>580</v>
      </c>
      <c r="C303" s="25" t="s">
        <v>12</v>
      </c>
      <c r="D303" s="25">
        <v>0</v>
      </c>
      <c r="E303" s="25">
        <v>0</v>
      </c>
      <c r="F303" s="25">
        <v>156</v>
      </c>
      <c r="G303" s="25">
        <v>16</v>
      </c>
      <c r="H303" s="27">
        <v>1</v>
      </c>
      <c r="I303" s="27">
        <v>0</v>
      </c>
      <c r="J303" s="27">
        <v>0</v>
      </c>
      <c r="K303" s="27">
        <v>0</v>
      </c>
      <c r="L303" s="27">
        <v>0</v>
      </c>
      <c r="M303" s="27">
        <v>0</v>
      </c>
      <c r="N303" s="27">
        <v>0</v>
      </c>
      <c r="O303" s="27">
        <v>0</v>
      </c>
      <c r="P303" s="25">
        <v>656</v>
      </c>
      <c r="Q303" s="25">
        <v>16</v>
      </c>
      <c r="R303" s="25" t="s">
        <v>87</v>
      </c>
      <c r="S303" s="25" t="s">
        <v>89</v>
      </c>
      <c r="T303" s="25">
        <v>1</v>
      </c>
      <c r="U303" s="25">
        <v>0</v>
      </c>
      <c r="V303" s="25">
        <v>0</v>
      </c>
      <c r="W303" s="25">
        <v>0</v>
      </c>
      <c r="X303" s="25">
        <v>0</v>
      </c>
      <c r="Y303" s="25">
        <v>0</v>
      </c>
      <c r="Z303" s="25">
        <v>0</v>
      </c>
      <c r="AA303" s="25">
        <v>0</v>
      </c>
      <c r="AB303" s="25">
        <v>0</v>
      </c>
      <c r="AC303" s="25">
        <v>0</v>
      </c>
      <c r="AD303" s="25">
        <v>0</v>
      </c>
      <c r="AE303" s="25">
        <v>0</v>
      </c>
      <c r="AF303" s="25" t="s">
        <v>131</v>
      </c>
    </row>
    <row r="304" spans="1:32" s="25" customFormat="1" x14ac:dyDescent="0.25">
      <c r="A304" s="25" t="s">
        <v>168</v>
      </c>
      <c r="B304" s="25">
        <f t="shared" si="5"/>
        <v>590</v>
      </c>
      <c r="C304" s="25" t="s">
        <v>12</v>
      </c>
      <c r="D304" s="25">
        <v>0</v>
      </c>
      <c r="E304" s="25">
        <v>0</v>
      </c>
      <c r="F304" s="25">
        <v>156</v>
      </c>
      <c r="G304" s="25">
        <v>16</v>
      </c>
      <c r="H304" s="27">
        <v>1</v>
      </c>
      <c r="I304" s="27">
        <v>0</v>
      </c>
      <c r="J304" s="27">
        <v>0</v>
      </c>
      <c r="K304" s="27">
        <v>0</v>
      </c>
      <c r="L304" s="27">
        <v>0</v>
      </c>
      <c r="M304" s="27">
        <v>0</v>
      </c>
      <c r="N304" s="27">
        <v>0</v>
      </c>
      <c r="O304" s="27">
        <v>0</v>
      </c>
      <c r="P304" s="25">
        <v>656</v>
      </c>
      <c r="Q304" s="25">
        <v>16</v>
      </c>
      <c r="R304" s="25" t="s">
        <v>87</v>
      </c>
      <c r="S304" s="25" t="s">
        <v>89</v>
      </c>
      <c r="T304" s="25">
        <v>1</v>
      </c>
      <c r="U304" s="25">
        <v>0</v>
      </c>
      <c r="V304" s="25">
        <v>0</v>
      </c>
      <c r="W304" s="25">
        <v>0</v>
      </c>
      <c r="X304" s="25">
        <v>0</v>
      </c>
      <c r="Y304" s="25">
        <v>0</v>
      </c>
      <c r="Z304" s="25">
        <v>0</v>
      </c>
      <c r="AA304" s="25">
        <v>0</v>
      </c>
      <c r="AB304" s="25">
        <v>0</v>
      </c>
      <c r="AC304" s="25">
        <v>0</v>
      </c>
      <c r="AD304" s="25">
        <v>0</v>
      </c>
      <c r="AE304" s="25">
        <v>0</v>
      </c>
      <c r="AF304" s="25" t="s">
        <v>131</v>
      </c>
    </row>
    <row r="305" spans="1:32" s="25" customFormat="1" x14ac:dyDescent="0.25">
      <c r="A305" s="25" t="s">
        <v>168</v>
      </c>
      <c r="B305" s="25">
        <f t="shared" si="5"/>
        <v>600</v>
      </c>
      <c r="C305" s="25" t="s">
        <v>12</v>
      </c>
      <c r="D305" s="25">
        <v>0</v>
      </c>
      <c r="E305" s="25">
        <v>0</v>
      </c>
      <c r="F305" s="25">
        <v>156</v>
      </c>
      <c r="G305" s="25">
        <v>16</v>
      </c>
      <c r="H305" s="27">
        <v>1</v>
      </c>
      <c r="I305" s="27">
        <v>0</v>
      </c>
      <c r="J305" s="27">
        <v>0</v>
      </c>
      <c r="K305" s="27">
        <v>0</v>
      </c>
      <c r="L305" s="27">
        <v>0</v>
      </c>
      <c r="M305" s="27">
        <v>0</v>
      </c>
      <c r="N305" s="27">
        <v>0</v>
      </c>
      <c r="O305" s="27">
        <v>0</v>
      </c>
      <c r="P305" s="25">
        <v>656</v>
      </c>
      <c r="Q305" s="25">
        <v>16</v>
      </c>
      <c r="R305" s="25" t="s">
        <v>87</v>
      </c>
      <c r="S305" s="25" t="s">
        <v>89</v>
      </c>
      <c r="T305" s="25">
        <v>1</v>
      </c>
      <c r="U305" s="25">
        <v>0</v>
      </c>
      <c r="V305" s="25">
        <v>0</v>
      </c>
      <c r="W305" s="25">
        <v>0</v>
      </c>
      <c r="X305" s="25">
        <v>0</v>
      </c>
      <c r="Y305" s="25">
        <v>0</v>
      </c>
      <c r="Z305" s="25">
        <v>0</v>
      </c>
      <c r="AA305" s="25">
        <v>0</v>
      </c>
      <c r="AB305" s="25">
        <v>0</v>
      </c>
      <c r="AC305" s="25">
        <v>0</v>
      </c>
      <c r="AD305" s="25">
        <v>0</v>
      </c>
      <c r="AE305" s="25">
        <v>0</v>
      </c>
      <c r="AF305" s="25" t="s">
        <v>131</v>
      </c>
    </row>
    <row r="306" spans="1:32" s="25" customFormat="1" x14ac:dyDescent="0.25">
      <c r="A306" s="25" t="s">
        <v>168</v>
      </c>
      <c r="B306" s="25">
        <f t="shared" si="5"/>
        <v>610</v>
      </c>
      <c r="C306" s="25" t="s">
        <v>12</v>
      </c>
      <c r="D306" s="25">
        <v>0</v>
      </c>
      <c r="E306" s="25">
        <v>0</v>
      </c>
      <c r="F306" s="25">
        <v>156</v>
      </c>
      <c r="G306" s="25">
        <v>16</v>
      </c>
      <c r="H306" s="27">
        <v>1</v>
      </c>
      <c r="I306" s="27">
        <v>0</v>
      </c>
      <c r="J306" s="27">
        <v>0</v>
      </c>
      <c r="K306" s="27">
        <v>0</v>
      </c>
      <c r="L306" s="27">
        <v>0</v>
      </c>
      <c r="M306" s="27">
        <v>0</v>
      </c>
      <c r="N306" s="27">
        <v>0</v>
      </c>
      <c r="O306" s="27">
        <v>0</v>
      </c>
      <c r="P306" s="25">
        <v>656</v>
      </c>
      <c r="Q306" s="25">
        <v>16</v>
      </c>
      <c r="R306" s="25" t="s">
        <v>87</v>
      </c>
      <c r="S306" s="25" t="s">
        <v>89</v>
      </c>
      <c r="T306" s="25">
        <v>1</v>
      </c>
      <c r="U306" s="25">
        <v>0</v>
      </c>
      <c r="V306" s="25">
        <v>0</v>
      </c>
      <c r="W306" s="25">
        <v>0</v>
      </c>
      <c r="X306" s="25">
        <v>0</v>
      </c>
      <c r="Y306" s="25">
        <v>0</v>
      </c>
      <c r="Z306" s="25">
        <v>0</v>
      </c>
      <c r="AA306" s="25">
        <v>0</v>
      </c>
      <c r="AB306" s="25">
        <v>0</v>
      </c>
      <c r="AC306" s="25">
        <v>0</v>
      </c>
      <c r="AD306" s="25">
        <v>0</v>
      </c>
      <c r="AE306" s="25">
        <v>0</v>
      </c>
      <c r="AF306" s="25" t="s">
        <v>131</v>
      </c>
    </row>
    <row r="307" spans="1:32" s="25" customFormat="1" x14ac:dyDescent="0.25">
      <c r="A307" s="25" t="s">
        <v>168</v>
      </c>
      <c r="B307" s="25">
        <f t="shared" si="5"/>
        <v>620</v>
      </c>
      <c r="C307" s="25" t="s">
        <v>12</v>
      </c>
      <c r="D307" s="25">
        <v>0</v>
      </c>
      <c r="E307" s="25">
        <v>0</v>
      </c>
      <c r="F307" s="25">
        <v>156</v>
      </c>
      <c r="G307" s="25">
        <v>16</v>
      </c>
      <c r="H307" s="27">
        <v>1</v>
      </c>
      <c r="I307" s="27">
        <v>0</v>
      </c>
      <c r="J307" s="27">
        <v>0</v>
      </c>
      <c r="K307" s="27">
        <v>0</v>
      </c>
      <c r="L307" s="27">
        <v>0</v>
      </c>
      <c r="M307" s="27">
        <v>0</v>
      </c>
      <c r="N307" s="27">
        <v>0</v>
      </c>
      <c r="O307" s="27">
        <v>0</v>
      </c>
      <c r="P307" s="25">
        <v>656</v>
      </c>
      <c r="Q307" s="25">
        <v>16</v>
      </c>
      <c r="R307" s="25" t="s">
        <v>87</v>
      </c>
      <c r="S307" s="25" t="s">
        <v>89</v>
      </c>
      <c r="T307" s="25">
        <v>1</v>
      </c>
      <c r="U307" s="25">
        <v>0</v>
      </c>
      <c r="V307" s="25">
        <v>0</v>
      </c>
      <c r="W307" s="25">
        <v>0</v>
      </c>
      <c r="X307" s="25">
        <v>0</v>
      </c>
      <c r="Y307" s="25">
        <v>0</v>
      </c>
      <c r="Z307" s="25">
        <v>0</v>
      </c>
      <c r="AA307" s="25">
        <v>0</v>
      </c>
      <c r="AB307" s="25">
        <v>0</v>
      </c>
      <c r="AC307" s="25">
        <v>0</v>
      </c>
      <c r="AD307" s="25">
        <v>0</v>
      </c>
      <c r="AE307" s="25">
        <v>0</v>
      </c>
      <c r="AF307" s="25" t="s">
        <v>131</v>
      </c>
    </row>
    <row r="308" spans="1:32" s="25" customFormat="1" x14ac:dyDescent="0.25">
      <c r="A308" s="25" t="s">
        <v>168</v>
      </c>
      <c r="B308" s="25">
        <f t="shared" si="5"/>
        <v>630</v>
      </c>
      <c r="C308" s="25" t="s">
        <v>12</v>
      </c>
      <c r="D308" s="25">
        <v>0</v>
      </c>
      <c r="E308" s="25">
        <v>0</v>
      </c>
      <c r="F308" s="25">
        <v>156</v>
      </c>
      <c r="G308" s="25">
        <v>16</v>
      </c>
      <c r="H308" s="27">
        <v>1</v>
      </c>
      <c r="I308" s="27">
        <v>0</v>
      </c>
      <c r="J308" s="27">
        <v>0</v>
      </c>
      <c r="K308" s="27">
        <v>0</v>
      </c>
      <c r="L308" s="27">
        <v>0</v>
      </c>
      <c r="M308" s="27">
        <v>0</v>
      </c>
      <c r="N308" s="27">
        <v>0</v>
      </c>
      <c r="O308" s="27">
        <v>0</v>
      </c>
      <c r="P308" s="25">
        <v>656</v>
      </c>
      <c r="Q308" s="25">
        <v>16</v>
      </c>
      <c r="R308" s="25" t="s">
        <v>87</v>
      </c>
      <c r="S308" s="25" t="s">
        <v>89</v>
      </c>
      <c r="T308" s="25">
        <v>1</v>
      </c>
      <c r="U308" s="25">
        <v>0</v>
      </c>
      <c r="V308" s="25">
        <v>0</v>
      </c>
      <c r="W308" s="25">
        <v>0</v>
      </c>
      <c r="X308" s="25">
        <v>0</v>
      </c>
      <c r="Y308" s="25">
        <v>0</v>
      </c>
      <c r="Z308" s="25">
        <v>0</v>
      </c>
      <c r="AA308" s="25">
        <v>0</v>
      </c>
      <c r="AB308" s="25">
        <v>0</v>
      </c>
      <c r="AC308" s="25">
        <v>0</v>
      </c>
      <c r="AD308" s="25">
        <v>0</v>
      </c>
      <c r="AE308" s="25">
        <v>0</v>
      </c>
      <c r="AF308" s="25" t="s">
        <v>131</v>
      </c>
    </row>
    <row r="309" spans="1:32" s="25" customFormat="1" x14ac:dyDescent="0.25">
      <c r="A309" s="25" t="s">
        <v>168</v>
      </c>
      <c r="B309" s="25">
        <f t="shared" si="5"/>
        <v>640</v>
      </c>
      <c r="C309" s="25" t="s">
        <v>12</v>
      </c>
      <c r="D309" s="25">
        <v>0</v>
      </c>
      <c r="E309" s="25">
        <v>0</v>
      </c>
      <c r="F309" s="25">
        <v>156</v>
      </c>
      <c r="G309" s="25">
        <v>16</v>
      </c>
      <c r="H309" s="27">
        <v>1</v>
      </c>
      <c r="I309" s="27">
        <v>0</v>
      </c>
      <c r="J309" s="27">
        <v>0</v>
      </c>
      <c r="K309" s="27">
        <v>0</v>
      </c>
      <c r="L309" s="27">
        <v>0</v>
      </c>
      <c r="M309" s="27">
        <v>0</v>
      </c>
      <c r="N309" s="27">
        <v>0</v>
      </c>
      <c r="O309" s="27">
        <v>0</v>
      </c>
      <c r="P309" s="25">
        <v>656</v>
      </c>
      <c r="Q309" s="25">
        <v>16</v>
      </c>
      <c r="R309" s="25" t="s">
        <v>87</v>
      </c>
      <c r="S309" s="25" t="s">
        <v>89</v>
      </c>
      <c r="T309" s="25">
        <v>1</v>
      </c>
      <c r="U309" s="25">
        <v>0</v>
      </c>
      <c r="V309" s="25">
        <v>0</v>
      </c>
      <c r="W309" s="25">
        <v>0</v>
      </c>
      <c r="X309" s="25">
        <v>0</v>
      </c>
      <c r="Y309" s="25">
        <v>0</v>
      </c>
      <c r="Z309" s="25">
        <v>0</v>
      </c>
      <c r="AA309" s="25">
        <v>0</v>
      </c>
      <c r="AB309" s="25">
        <v>0</v>
      </c>
      <c r="AC309" s="25">
        <v>0</v>
      </c>
      <c r="AD309" s="25">
        <v>0</v>
      </c>
      <c r="AE309" s="25">
        <v>0</v>
      </c>
      <c r="AF309" s="25" t="s">
        <v>131</v>
      </c>
    </row>
    <row r="310" spans="1:32" s="25" customFormat="1" x14ac:dyDescent="0.25">
      <c r="A310" s="25" t="s">
        <v>168</v>
      </c>
      <c r="B310" s="25">
        <f t="shared" si="5"/>
        <v>650</v>
      </c>
      <c r="C310" s="25" t="s">
        <v>12</v>
      </c>
      <c r="D310" s="25">
        <v>0</v>
      </c>
      <c r="E310" s="25">
        <v>0</v>
      </c>
      <c r="F310" s="25">
        <v>156</v>
      </c>
      <c r="G310" s="25">
        <v>16</v>
      </c>
      <c r="H310" s="27">
        <v>1</v>
      </c>
      <c r="I310" s="27">
        <v>0</v>
      </c>
      <c r="J310" s="27">
        <v>0</v>
      </c>
      <c r="K310" s="27">
        <v>0</v>
      </c>
      <c r="L310" s="27">
        <v>0</v>
      </c>
      <c r="M310" s="27">
        <v>0</v>
      </c>
      <c r="N310" s="27">
        <v>0</v>
      </c>
      <c r="O310" s="27">
        <v>0</v>
      </c>
      <c r="P310" s="25">
        <v>656</v>
      </c>
      <c r="Q310" s="25">
        <v>16</v>
      </c>
      <c r="R310" s="25" t="s">
        <v>87</v>
      </c>
      <c r="S310" s="25" t="s">
        <v>89</v>
      </c>
      <c r="T310" s="25">
        <v>1</v>
      </c>
      <c r="U310" s="25">
        <v>0</v>
      </c>
      <c r="V310" s="25">
        <v>0</v>
      </c>
      <c r="W310" s="25">
        <v>0</v>
      </c>
      <c r="X310" s="25">
        <v>0</v>
      </c>
      <c r="Y310" s="25">
        <v>0</v>
      </c>
      <c r="Z310" s="25">
        <v>0</v>
      </c>
      <c r="AA310" s="25">
        <v>0</v>
      </c>
      <c r="AB310" s="25">
        <v>0</v>
      </c>
      <c r="AC310" s="25">
        <v>0</v>
      </c>
      <c r="AD310" s="25">
        <v>0</v>
      </c>
      <c r="AE310" s="25">
        <v>0</v>
      </c>
      <c r="AF310" s="25" t="s">
        <v>131</v>
      </c>
    </row>
    <row r="311" spans="1:32" s="25" customFormat="1" x14ac:dyDescent="0.25">
      <c r="A311" s="25" t="s">
        <v>168</v>
      </c>
      <c r="B311" s="25">
        <f t="shared" si="5"/>
        <v>660</v>
      </c>
      <c r="C311" s="25" t="s">
        <v>12</v>
      </c>
      <c r="D311" s="25">
        <v>0</v>
      </c>
      <c r="E311" s="25">
        <v>0</v>
      </c>
      <c r="F311" s="25">
        <v>156</v>
      </c>
      <c r="G311" s="25">
        <v>16</v>
      </c>
      <c r="H311" s="27">
        <v>1</v>
      </c>
      <c r="I311" s="27">
        <v>0</v>
      </c>
      <c r="J311" s="27">
        <v>0</v>
      </c>
      <c r="K311" s="27">
        <v>0</v>
      </c>
      <c r="L311" s="27">
        <v>0</v>
      </c>
      <c r="M311" s="27">
        <v>0</v>
      </c>
      <c r="N311" s="27">
        <v>0</v>
      </c>
      <c r="O311" s="27">
        <v>0</v>
      </c>
      <c r="P311" s="25">
        <v>656</v>
      </c>
      <c r="Q311" s="25">
        <v>16</v>
      </c>
      <c r="R311" s="25" t="s">
        <v>87</v>
      </c>
      <c r="S311" s="25" t="s">
        <v>89</v>
      </c>
      <c r="T311" s="25">
        <v>1</v>
      </c>
      <c r="U311" s="25">
        <v>0</v>
      </c>
      <c r="V311" s="25">
        <v>0</v>
      </c>
      <c r="W311" s="25">
        <v>0</v>
      </c>
      <c r="X311" s="25">
        <v>0</v>
      </c>
      <c r="Y311" s="25">
        <v>0</v>
      </c>
      <c r="Z311" s="25">
        <v>0</v>
      </c>
      <c r="AA311" s="25">
        <v>0</v>
      </c>
      <c r="AB311" s="25">
        <v>0</v>
      </c>
      <c r="AC311" s="25">
        <v>0</v>
      </c>
      <c r="AD311" s="25">
        <v>0</v>
      </c>
      <c r="AE311" s="25">
        <v>0</v>
      </c>
      <c r="AF311" s="25" t="s">
        <v>131</v>
      </c>
    </row>
    <row r="312" spans="1:32" s="25" customFormat="1" x14ac:dyDescent="0.25">
      <c r="A312" s="25" t="s">
        <v>168</v>
      </c>
      <c r="B312" s="25">
        <f t="shared" si="5"/>
        <v>670</v>
      </c>
      <c r="C312" s="25" t="s">
        <v>12</v>
      </c>
      <c r="D312" s="25">
        <v>0</v>
      </c>
      <c r="E312" s="25">
        <v>0</v>
      </c>
      <c r="F312" s="25">
        <v>156</v>
      </c>
      <c r="G312" s="25">
        <v>16</v>
      </c>
      <c r="H312" s="27">
        <v>1</v>
      </c>
      <c r="I312" s="27">
        <v>0</v>
      </c>
      <c r="J312" s="27">
        <v>0</v>
      </c>
      <c r="K312" s="27">
        <v>0</v>
      </c>
      <c r="L312" s="27">
        <v>0</v>
      </c>
      <c r="M312" s="27">
        <v>0</v>
      </c>
      <c r="N312" s="27">
        <v>0</v>
      </c>
      <c r="O312" s="27">
        <v>0</v>
      </c>
      <c r="P312" s="25">
        <v>656</v>
      </c>
      <c r="Q312" s="25">
        <v>16</v>
      </c>
      <c r="R312" s="25" t="s">
        <v>87</v>
      </c>
      <c r="S312" s="25" t="s">
        <v>89</v>
      </c>
      <c r="T312" s="25">
        <v>1</v>
      </c>
      <c r="U312" s="25">
        <v>0</v>
      </c>
      <c r="V312" s="25">
        <v>0</v>
      </c>
      <c r="W312" s="25">
        <v>0</v>
      </c>
      <c r="X312" s="25">
        <v>0</v>
      </c>
      <c r="Y312" s="25">
        <v>0</v>
      </c>
      <c r="Z312" s="25">
        <v>0</v>
      </c>
      <c r="AA312" s="25">
        <v>0</v>
      </c>
      <c r="AB312" s="25">
        <v>0</v>
      </c>
      <c r="AC312" s="25">
        <v>0</v>
      </c>
      <c r="AD312" s="25">
        <v>0</v>
      </c>
      <c r="AE312" s="25">
        <v>0</v>
      </c>
      <c r="AF312" s="25" t="s">
        <v>131</v>
      </c>
    </row>
    <row r="313" spans="1:32" s="25" customFormat="1" x14ac:dyDescent="0.25">
      <c r="A313" s="25" t="s">
        <v>168</v>
      </c>
      <c r="B313" s="25">
        <f t="shared" ref="B313:B317" si="6">B312+10</f>
        <v>680</v>
      </c>
      <c r="C313" s="25" t="s">
        <v>12</v>
      </c>
      <c r="D313" s="25">
        <v>0</v>
      </c>
      <c r="E313" s="25">
        <v>0</v>
      </c>
      <c r="F313" s="25">
        <v>156</v>
      </c>
      <c r="G313" s="25">
        <v>16</v>
      </c>
      <c r="H313" s="27">
        <v>1</v>
      </c>
      <c r="I313" s="27">
        <v>0</v>
      </c>
      <c r="J313" s="27">
        <v>0</v>
      </c>
      <c r="K313" s="27">
        <v>0</v>
      </c>
      <c r="L313" s="27">
        <v>0</v>
      </c>
      <c r="M313" s="27">
        <v>0</v>
      </c>
      <c r="N313" s="27">
        <v>0</v>
      </c>
      <c r="O313" s="27">
        <v>0</v>
      </c>
      <c r="P313" s="25">
        <v>656</v>
      </c>
      <c r="Q313" s="25">
        <v>16</v>
      </c>
      <c r="R313" s="25" t="s">
        <v>87</v>
      </c>
      <c r="S313" s="25" t="s">
        <v>89</v>
      </c>
      <c r="T313" s="25">
        <v>1</v>
      </c>
      <c r="U313" s="25">
        <v>0</v>
      </c>
      <c r="V313" s="25">
        <v>0</v>
      </c>
      <c r="W313" s="25">
        <v>0</v>
      </c>
      <c r="X313" s="25">
        <v>0</v>
      </c>
      <c r="Y313" s="25">
        <v>0</v>
      </c>
      <c r="Z313" s="25">
        <v>0</v>
      </c>
      <c r="AA313" s="25">
        <v>0</v>
      </c>
      <c r="AB313" s="25">
        <v>0</v>
      </c>
      <c r="AC313" s="25">
        <v>0</v>
      </c>
      <c r="AD313" s="25">
        <v>0</v>
      </c>
      <c r="AE313" s="25">
        <v>0</v>
      </c>
      <c r="AF313" s="25" t="s">
        <v>131</v>
      </c>
    </row>
    <row r="314" spans="1:32" s="25" customFormat="1" x14ac:dyDescent="0.25">
      <c r="A314" s="25" t="s">
        <v>168</v>
      </c>
      <c r="B314" s="25">
        <f t="shared" si="6"/>
        <v>690</v>
      </c>
      <c r="C314" s="25" t="s">
        <v>12</v>
      </c>
      <c r="D314" s="25">
        <v>0</v>
      </c>
      <c r="E314" s="25">
        <v>0</v>
      </c>
      <c r="F314" s="25">
        <v>156</v>
      </c>
      <c r="G314" s="25">
        <v>16</v>
      </c>
      <c r="H314" s="27">
        <v>1</v>
      </c>
      <c r="I314" s="27">
        <v>0</v>
      </c>
      <c r="J314" s="27">
        <v>0</v>
      </c>
      <c r="K314" s="27">
        <v>0</v>
      </c>
      <c r="L314" s="27">
        <v>0</v>
      </c>
      <c r="M314" s="27">
        <v>0</v>
      </c>
      <c r="N314" s="27">
        <v>0</v>
      </c>
      <c r="O314" s="27">
        <v>0</v>
      </c>
      <c r="P314" s="25">
        <v>656</v>
      </c>
      <c r="Q314" s="25">
        <v>16</v>
      </c>
      <c r="R314" s="25" t="s">
        <v>87</v>
      </c>
      <c r="S314" s="25" t="s">
        <v>89</v>
      </c>
      <c r="T314" s="25">
        <v>1</v>
      </c>
      <c r="U314" s="25">
        <v>0</v>
      </c>
      <c r="V314" s="25">
        <v>0</v>
      </c>
      <c r="W314" s="25">
        <v>0</v>
      </c>
      <c r="X314" s="25">
        <v>0</v>
      </c>
      <c r="Y314" s="25">
        <v>0</v>
      </c>
      <c r="Z314" s="25">
        <v>0</v>
      </c>
      <c r="AA314" s="25">
        <v>0</v>
      </c>
      <c r="AB314" s="25">
        <v>0</v>
      </c>
      <c r="AC314" s="25">
        <v>0</v>
      </c>
      <c r="AD314" s="25">
        <v>0</v>
      </c>
      <c r="AE314" s="25">
        <v>0</v>
      </c>
      <c r="AF314" s="25" t="s">
        <v>131</v>
      </c>
    </row>
    <row r="315" spans="1:32" s="25" customFormat="1" x14ac:dyDescent="0.25">
      <c r="A315" s="25" t="s">
        <v>168</v>
      </c>
      <c r="B315" s="25">
        <f t="shared" si="6"/>
        <v>700</v>
      </c>
      <c r="C315" s="25" t="s">
        <v>12</v>
      </c>
      <c r="D315" s="25">
        <v>0</v>
      </c>
      <c r="E315" s="25">
        <v>0</v>
      </c>
      <c r="F315" s="25">
        <v>156</v>
      </c>
      <c r="G315" s="25">
        <v>16</v>
      </c>
      <c r="H315" s="27">
        <v>1</v>
      </c>
      <c r="I315" s="27">
        <v>0</v>
      </c>
      <c r="J315" s="27">
        <v>0</v>
      </c>
      <c r="K315" s="27">
        <v>0</v>
      </c>
      <c r="L315" s="27">
        <v>0</v>
      </c>
      <c r="M315" s="27">
        <v>0</v>
      </c>
      <c r="N315" s="27">
        <v>0</v>
      </c>
      <c r="O315" s="27">
        <v>0</v>
      </c>
      <c r="P315" s="25">
        <v>656</v>
      </c>
      <c r="Q315" s="25">
        <v>16</v>
      </c>
      <c r="R315" s="25" t="s">
        <v>87</v>
      </c>
      <c r="S315" s="25" t="s">
        <v>89</v>
      </c>
      <c r="T315" s="25">
        <v>1</v>
      </c>
      <c r="U315" s="25">
        <v>0</v>
      </c>
      <c r="V315" s="25">
        <v>0</v>
      </c>
      <c r="W315" s="25">
        <v>0</v>
      </c>
      <c r="X315" s="25">
        <v>0</v>
      </c>
      <c r="Y315" s="25">
        <v>0</v>
      </c>
      <c r="Z315" s="25">
        <v>0</v>
      </c>
      <c r="AA315" s="25">
        <v>0</v>
      </c>
      <c r="AB315" s="25">
        <v>0</v>
      </c>
      <c r="AC315" s="25">
        <v>0</v>
      </c>
      <c r="AD315" s="25">
        <v>0</v>
      </c>
      <c r="AE315" s="25">
        <v>0</v>
      </c>
      <c r="AF315" s="25" t="s">
        <v>131</v>
      </c>
    </row>
    <row r="316" spans="1:32" s="25" customFormat="1" x14ac:dyDescent="0.25">
      <c r="A316" s="25" t="s">
        <v>168</v>
      </c>
      <c r="B316" s="25">
        <f t="shared" si="6"/>
        <v>710</v>
      </c>
      <c r="C316" s="25" t="s">
        <v>12</v>
      </c>
      <c r="D316" s="25">
        <v>0</v>
      </c>
      <c r="E316" s="25">
        <v>0</v>
      </c>
      <c r="F316" s="25">
        <v>156</v>
      </c>
      <c r="G316" s="25">
        <v>16</v>
      </c>
      <c r="H316" s="27">
        <v>1</v>
      </c>
      <c r="I316" s="27">
        <v>0</v>
      </c>
      <c r="J316" s="27">
        <v>0</v>
      </c>
      <c r="K316" s="27">
        <v>0</v>
      </c>
      <c r="L316" s="27">
        <v>0</v>
      </c>
      <c r="M316" s="27">
        <v>0</v>
      </c>
      <c r="N316" s="27">
        <v>0</v>
      </c>
      <c r="O316" s="27">
        <v>0</v>
      </c>
      <c r="P316" s="25">
        <v>656</v>
      </c>
      <c r="Q316" s="25">
        <v>16</v>
      </c>
      <c r="R316" s="25" t="s">
        <v>87</v>
      </c>
      <c r="S316" s="25" t="s">
        <v>89</v>
      </c>
      <c r="T316" s="25">
        <v>1</v>
      </c>
      <c r="U316" s="25">
        <v>0</v>
      </c>
      <c r="V316" s="25">
        <v>0</v>
      </c>
      <c r="W316" s="25">
        <v>0</v>
      </c>
      <c r="X316" s="25">
        <v>0</v>
      </c>
      <c r="Y316" s="25">
        <v>0</v>
      </c>
      <c r="Z316" s="25">
        <v>0</v>
      </c>
      <c r="AA316" s="25">
        <v>0</v>
      </c>
      <c r="AB316" s="25">
        <v>0</v>
      </c>
      <c r="AC316" s="25">
        <v>0</v>
      </c>
      <c r="AD316" s="25">
        <v>0</v>
      </c>
      <c r="AE316" s="25">
        <v>0</v>
      </c>
      <c r="AF316" s="25" t="s">
        <v>131</v>
      </c>
    </row>
    <row r="317" spans="1:32" s="25" customFormat="1" x14ac:dyDescent="0.25">
      <c r="A317" s="25" t="s">
        <v>168</v>
      </c>
      <c r="B317" s="25">
        <f t="shared" si="6"/>
        <v>720</v>
      </c>
      <c r="C317" s="25" t="s">
        <v>12</v>
      </c>
      <c r="D317" s="25">
        <v>0</v>
      </c>
      <c r="E317" s="25">
        <v>0</v>
      </c>
      <c r="F317" s="25">
        <v>156</v>
      </c>
      <c r="G317" s="25">
        <v>16</v>
      </c>
      <c r="H317" s="27">
        <v>1</v>
      </c>
      <c r="I317" s="27">
        <v>0</v>
      </c>
      <c r="J317" s="27">
        <v>0</v>
      </c>
      <c r="K317" s="27">
        <v>0</v>
      </c>
      <c r="L317" s="27">
        <v>0</v>
      </c>
      <c r="M317" s="27">
        <v>0</v>
      </c>
      <c r="N317" s="27">
        <v>0</v>
      </c>
      <c r="O317" s="27">
        <v>0</v>
      </c>
      <c r="P317" s="25">
        <v>656</v>
      </c>
      <c r="Q317" s="25">
        <v>16</v>
      </c>
      <c r="R317" s="25" t="s">
        <v>87</v>
      </c>
      <c r="S317" s="25" t="s">
        <v>89</v>
      </c>
      <c r="T317" s="25">
        <v>1</v>
      </c>
      <c r="U317" s="25">
        <v>0</v>
      </c>
      <c r="V317" s="25">
        <v>0</v>
      </c>
      <c r="W317" s="25">
        <v>0</v>
      </c>
      <c r="X317" s="25">
        <v>0</v>
      </c>
      <c r="Y317" s="25">
        <v>0</v>
      </c>
      <c r="Z317" s="25">
        <v>0</v>
      </c>
      <c r="AA317" s="25">
        <v>0</v>
      </c>
      <c r="AB317" s="25">
        <v>0</v>
      </c>
      <c r="AC317" s="25">
        <v>0</v>
      </c>
      <c r="AD317" s="25">
        <v>0</v>
      </c>
      <c r="AE317" s="25">
        <v>0</v>
      </c>
      <c r="AF317" s="25" t="s">
        <v>131</v>
      </c>
    </row>
    <row r="318" spans="1:32" s="25" customFormat="1" x14ac:dyDescent="0.25">
      <c r="A318" s="25" t="s">
        <v>168</v>
      </c>
      <c r="B318" s="25">
        <f t="shared" ref="B318:B324" si="7">B317+10</f>
        <v>730</v>
      </c>
      <c r="C318" s="25" t="s">
        <v>12</v>
      </c>
      <c r="D318" s="25">
        <v>0</v>
      </c>
      <c r="E318" s="25">
        <v>0</v>
      </c>
      <c r="F318" s="25">
        <v>156</v>
      </c>
      <c r="G318" s="25">
        <v>16</v>
      </c>
      <c r="H318" s="27">
        <v>1</v>
      </c>
      <c r="I318" s="27">
        <v>0</v>
      </c>
      <c r="J318" s="27">
        <v>0</v>
      </c>
      <c r="K318" s="27">
        <v>0</v>
      </c>
      <c r="L318" s="27">
        <v>0</v>
      </c>
      <c r="M318" s="27">
        <v>0</v>
      </c>
      <c r="N318" s="27">
        <v>0</v>
      </c>
      <c r="O318" s="27">
        <v>0</v>
      </c>
      <c r="P318" s="25">
        <v>656</v>
      </c>
      <c r="Q318" s="25">
        <v>16</v>
      </c>
      <c r="R318" s="25" t="s">
        <v>87</v>
      </c>
      <c r="S318" s="25" t="s">
        <v>89</v>
      </c>
      <c r="T318" s="25">
        <v>1</v>
      </c>
      <c r="U318" s="25">
        <v>0</v>
      </c>
      <c r="V318" s="25">
        <v>0</v>
      </c>
      <c r="W318" s="25">
        <v>0</v>
      </c>
      <c r="X318" s="25">
        <v>0</v>
      </c>
      <c r="Y318" s="25">
        <v>0</v>
      </c>
      <c r="Z318" s="25">
        <v>0</v>
      </c>
      <c r="AA318" s="25">
        <v>0</v>
      </c>
      <c r="AB318" s="25">
        <v>0</v>
      </c>
      <c r="AC318" s="25">
        <v>0</v>
      </c>
      <c r="AD318" s="25">
        <v>0</v>
      </c>
      <c r="AE318" s="25">
        <v>0</v>
      </c>
      <c r="AF318" s="25" t="s">
        <v>131</v>
      </c>
    </row>
    <row r="319" spans="1:32" x14ac:dyDescent="0.25">
      <c r="A319" t="s">
        <v>168</v>
      </c>
      <c r="B319" s="25">
        <f t="shared" si="7"/>
        <v>740</v>
      </c>
      <c r="C319" t="s">
        <v>12</v>
      </c>
      <c r="D319">
        <v>0</v>
      </c>
      <c r="E319">
        <v>0</v>
      </c>
      <c r="F319">
        <v>156</v>
      </c>
      <c r="G319">
        <v>16</v>
      </c>
      <c r="H319" s="27">
        <v>1</v>
      </c>
      <c r="I319" s="27">
        <v>0</v>
      </c>
      <c r="J319" s="27">
        <v>0</v>
      </c>
      <c r="K319" s="27">
        <v>0</v>
      </c>
      <c r="L319" s="27">
        <v>0</v>
      </c>
      <c r="M319" s="27">
        <v>0</v>
      </c>
      <c r="N319" s="27">
        <v>0</v>
      </c>
      <c r="O319" s="27">
        <v>0</v>
      </c>
      <c r="P319">
        <v>656</v>
      </c>
      <c r="Q319">
        <v>16</v>
      </c>
      <c r="R319" t="s">
        <v>86</v>
      </c>
      <c r="S319" t="s">
        <v>88</v>
      </c>
      <c r="T319">
        <v>1</v>
      </c>
      <c r="U319">
        <v>0</v>
      </c>
      <c r="V319">
        <v>0</v>
      </c>
      <c r="W319">
        <v>0</v>
      </c>
      <c r="X319">
        <v>0</v>
      </c>
      <c r="Y319">
        <v>0</v>
      </c>
      <c r="Z319">
        <v>0</v>
      </c>
      <c r="AA319">
        <v>0</v>
      </c>
      <c r="AB319">
        <v>0</v>
      </c>
      <c r="AC319">
        <v>0</v>
      </c>
      <c r="AD319">
        <v>0</v>
      </c>
      <c r="AE319">
        <v>0</v>
      </c>
      <c r="AF319" t="s">
        <v>131</v>
      </c>
    </row>
    <row r="320" spans="1:32" x14ac:dyDescent="0.25">
      <c r="A320" t="s">
        <v>168</v>
      </c>
      <c r="B320" s="25">
        <f t="shared" si="7"/>
        <v>750</v>
      </c>
      <c r="C320" t="s">
        <v>12</v>
      </c>
      <c r="D320">
        <v>0</v>
      </c>
      <c r="E320">
        <v>0</v>
      </c>
      <c r="F320">
        <v>200</v>
      </c>
      <c r="G320">
        <v>16</v>
      </c>
      <c r="H320" s="27">
        <v>1</v>
      </c>
      <c r="I320" s="27">
        <v>0</v>
      </c>
      <c r="J320" s="27">
        <v>0</v>
      </c>
      <c r="K320" s="27">
        <v>0</v>
      </c>
      <c r="L320" s="27">
        <v>0</v>
      </c>
      <c r="M320" s="27">
        <v>0</v>
      </c>
      <c r="N320" s="27">
        <v>0</v>
      </c>
      <c r="O320" s="27">
        <v>0</v>
      </c>
      <c r="P320">
        <v>700</v>
      </c>
      <c r="Q320">
        <v>16</v>
      </c>
      <c r="R320" t="s">
        <v>86</v>
      </c>
      <c r="S320" t="s">
        <v>88</v>
      </c>
      <c r="T320">
        <v>1</v>
      </c>
      <c r="U320">
        <v>0</v>
      </c>
      <c r="V320">
        <v>0</v>
      </c>
      <c r="W320">
        <v>0</v>
      </c>
      <c r="X320">
        <v>0</v>
      </c>
      <c r="Y320">
        <v>0</v>
      </c>
      <c r="Z320">
        <v>0</v>
      </c>
      <c r="AA320">
        <v>0</v>
      </c>
      <c r="AB320">
        <v>0</v>
      </c>
      <c r="AC320">
        <v>0</v>
      </c>
      <c r="AD320">
        <v>0</v>
      </c>
      <c r="AE320">
        <v>0</v>
      </c>
      <c r="AF320">
        <v>0</v>
      </c>
    </row>
    <row r="321" spans="1:32" x14ac:dyDescent="0.25">
      <c r="A321" t="s">
        <v>168</v>
      </c>
      <c r="B321" s="25">
        <f t="shared" si="7"/>
        <v>760</v>
      </c>
      <c r="C321" t="s">
        <v>12</v>
      </c>
      <c r="D321">
        <v>0</v>
      </c>
      <c r="E321">
        <v>0</v>
      </c>
      <c r="F321">
        <v>205</v>
      </c>
      <c r="G321">
        <v>16</v>
      </c>
      <c r="H321" s="27">
        <v>1</v>
      </c>
      <c r="I321" s="27">
        <v>0</v>
      </c>
      <c r="J321" s="27">
        <v>0</v>
      </c>
      <c r="K321" s="27">
        <v>0</v>
      </c>
      <c r="L321" s="27">
        <v>0</v>
      </c>
      <c r="M321" s="27">
        <v>0</v>
      </c>
      <c r="N321" s="27">
        <v>0</v>
      </c>
      <c r="O321" s="27">
        <v>0</v>
      </c>
      <c r="P321">
        <v>705</v>
      </c>
      <c r="Q321">
        <v>16</v>
      </c>
      <c r="R321" t="s">
        <v>86</v>
      </c>
      <c r="S321" t="s">
        <v>88</v>
      </c>
      <c r="T321">
        <v>1</v>
      </c>
      <c r="U321">
        <v>0</v>
      </c>
      <c r="V321">
        <v>0</v>
      </c>
      <c r="W321">
        <v>0</v>
      </c>
      <c r="X321">
        <v>0</v>
      </c>
      <c r="Y321">
        <v>0</v>
      </c>
      <c r="Z321">
        <v>0</v>
      </c>
      <c r="AA321">
        <v>0</v>
      </c>
      <c r="AB321">
        <v>0</v>
      </c>
      <c r="AC321">
        <v>0</v>
      </c>
      <c r="AD321">
        <v>0</v>
      </c>
      <c r="AE321">
        <v>0</v>
      </c>
      <c r="AF321">
        <v>0</v>
      </c>
    </row>
    <row r="322" spans="1:32" x14ac:dyDescent="0.25">
      <c r="A322" t="s">
        <v>169</v>
      </c>
      <c r="B322" s="25">
        <f t="shared" si="7"/>
        <v>770</v>
      </c>
      <c r="C322" t="s">
        <v>12</v>
      </c>
      <c r="D322">
        <v>0</v>
      </c>
      <c r="E322">
        <v>0</v>
      </c>
      <c r="F322">
        <v>200</v>
      </c>
      <c r="G322">
        <v>100</v>
      </c>
      <c r="H322" s="27">
        <v>1</v>
      </c>
      <c r="I322" s="27">
        <v>0</v>
      </c>
      <c r="J322" s="27">
        <v>0</v>
      </c>
      <c r="K322" s="27">
        <v>0</v>
      </c>
      <c r="L322" s="27">
        <v>0</v>
      </c>
      <c r="M322" s="27">
        <v>0</v>
      </c>
      <c r="N322" s="27">
        <v>0</v>
      </c>
      <c r="O322" s="27">
        <v>0</v>
      </c>
      <c r="P322">
        <v>700</v>
      </c>
      <c r="Q322">
        <v>100</v>
      </c>
      <c r="R322" t="s">
        <v>86</v>
      </c>
      <c r="S322" t="s">
        <v>88</v>
      </c>
      <c r="T322">
        <v>1</v>
      </c>
      <c r="U322">
        <v>0</v>
      </c>
      <c r="V322">
        <v>0</v>
      </c>
      <c r="W322">
        <v>0</v>
      </c>
      <c r="X322">
        <v>0</v>
      </c>
      <c r="Y322">
        <v>0</v>
      </c>
      <c r="Z322">
        <v>0</v>
      </c>
      <c r="AA322">
        <v>0</v>
      </c>
      <c r="AB322">
        <v>0</v>
      </c>
      <c r="AC322">
        <v>0</v>
      </c>
      <c r="AD322">
        <v>0</v>
      </c>
      <c r="AE322">
        <v>0</v>
      </c>
      <c r="AF322">
        <v>0</v>
      </c>
    </row>
    <row r="323" spans="1:32" x14ac:dyDescent="0.25">
      <c r="A323" t="s">
        <v>169</v>
      </c>
      <c r="B323" s="25">
        <f t="shared" si="7"/>
        <v>780</v>
      </c>
      <c r="C323" t="s">
        <v>12</v>
      </c>
      <c r="D323">
        <v>0</v>
      </c>
      <c r="E323">
        <v>0</v>
      </c>
      <c r="F323">
        <v>200</v>
      </c>
      <c r="G323">
        <v>100</v>
      </c>
      <c r="H323" s="27">
        <v>1</v>
      </c>
      <c r="I323" s="27">
        <v>1</v>
      </c>
      <c r="J323" s="27">
        <v>0</v>
      </c>
      <c r="K323" s="27">
        <v>0</v>
      </c>
      <c r="L323" s="27">
        <v>0</v>
      </c>
      <c r="M323" s="27">
        <v>0</v>
      </c>
      <c r="N323" s="27">
        <v>0</v>
      </c>
      <c r="O323" s="27">
        <v>0</v>
      </c>
      <c r="P323">
        <v>700</v>
      </c>
      <c r="Q323">
        <v>560</v>
      </c>
      <c r="R323" t="s">
        <v>86</v>
      </c>
      <c r="S323" t="s">
        <v>88</v>
      </c>
      <c r="T323">
        <v>1</v>
      </c>
      <c r="U323">
        <v>1</v>
      </c>
      <c r="V323">
        <v>0</v>
      </c>
      <c r="W323">
        <v>0</v>
      </c>
      <c r="X323">
        <v>0</v>
      </c>
      <c r="Y323">
        <v>0</v>
      </c>
      <c r="Z323">
        <v>0</v>
      </c>
      <c r="AA323">
        <v>0</v>
      </c>
      <c r="AB323">
        <v>0</v>
      </c>
      <c r="AC323">
        <v>0</v>
      </c>
      <c r="AD323">
        <v>0</v>
      </c>
      <c r="AE323">
        <v>1</v>
      </c>
      <c r="AF323">
        <v>0</v>
      </c>
    </row>
    <row r="324" spans="1:32" x14ac:dyDescent="0.25">
      <c r="A324" t="s">
        <v>169</v>
      </c>
      <c r="B324" s="25">
        <f t="shared" si="7"/>
        <v>790</v>
      </c>
      <c r="C324" t="s">
        <v>12</v>
      </c>
      <c r="D324" t="s">
        <v>13</v>
      </c>
      <c r="E324" t="s">
        <v>13</v>
      </c>
      <c r="F324">
        <v>201</v>
      </c>
      <c r="G324">
        <v>78</v>
      </c>
      <c r="H324" s="27">
        <v>1</v>
      </c>
      <c r="I324" s="27">
        <v>0</v>
      </c>
      <c r="J324" s="27">
        <v>0</v>
      </c>
      <c r="K324" s="27">
        <v>1</v>
      </c>
      <c r="L324" s="27">
        <v>0</v>
      </c>
      <c r="M324" s="27">
        <v>0</v>
      </c>
      <c r="N324" s="27">
        <v>0</v>
      </c>
      <c r="O324" s="27">
        <v>0</v>
      </c>
      <c r="P324">
        <v>700</v>
      </c>
      <c r="Q324">
        <v>560</v>
      </c>
      <c r="R324" t="s">
        <v>86</v>
      </c>
      <c r="S324" t="s">
        <v>88</v>
      </c>
      <c r="T324">
        <v>1</v>
      </c>
      <c r="U324">
        <v>0</v>
      </c>
      <c r="V324">
        <v>0</v>
      </c>
      <c r="W324">
        <v>1</v>
      </c>
      <c r="X324">
        <v>0</v>
      </c>
      <c r="Y324">
        <v>0</v>
      </c>
      <c r="Z324">
        <v>0</v>
      </c>
      <c r="AA324">
        <v>0</v>
      </c>
      <c r="AB324">
        <v>0</v>
      </c>
      <c r="AC324">
        <v>0</v>
      </c>
      <c r="AD324">
        <v>0</v>
      </c>
      <c r="AE324">
        <v>1</v>
      </c>
      <c r="AF324">
        <v>0</v>
      </c>
    </row>
    <row r="325" spans="1:32" s="25" customFormat="1" x14ac:dyDescent="0.25">
      <c r="A325" s="25" t="s">
        <v>169</v>
      </c>
      <c r="B325" s="25">
        <f t="shared" ref="B325" si="8">B324+10</f>
        <v>800</v>
      </c>
      <c r="C325" s="25" t="s">
        <v>12</v>
      </c>
      <c r="D325" s="25" t="s">
        <v>13</v>
      </c>
      <c r="E325" s="25" t="s">
        <v>13</v>
      </c>
      <c r="F325" s="25">
        <v>201</v>
      </c>
      <c r="G325" s="25">
        <v>78</v>
      </c>
      <c r="H325" s="27">
        <v>1</v>
      </c>
      <c r="I325" s="27">
        <v>0</v>
      </c>
      <c r="J325" s="27">
        <v>0</v>
      </c>
      <c r="K325" s="27">
        <v>1</v>
      </c>
      <c r="L325" s="27">
        <v>0</v>
      </c>
      <c r="M325" s="27">
        <v>0</v>
      </c>
      <c r="N325" s="27">
        <v>0</v>
      </c>
      <c r="O325" s="27">
        <v>0</v>
      </c>
      <c r="P325" s="25">
        <v>700</v>
      </c>
      <c r="Q325" s="25">
        <v>560</v>
      </c>
      <c r="R325" s="25" t="s">
        <v>86</v>
      </c>
      <c r="S325" s="25" t="s">
        <v>88</v>
      </c>
      <c r="T325" s="25">
        <v>1</v>
      </c>
      <c r="U325" s="25">
        <v>0</v>
      </c>
      <c r="V325" s="25">
        <v>0</v>
      </c>
      <c r="W325" s="25">
        <v>1</v>
      </c>
      <c r="X325" s="25">
        <v>0</v>
      </c>
      <c r="Y325" s="25">
        <v>0</v>
      </c>
      <c r="Z325" s="25">
        <v>0</v>
      </c>
      <c r="AA325" s="25">
        <v>0</v>
      </c>
      <c r="AB325" s="25">
        <v>0</v>
      </c>
      <c r="AC325" s="25">
        <v>0</v>
      </c>
      <c r="AD325" s="25">
        <v>0</v>
      </c>
      <c r="AE325" s="25">
        <v>1</v>
      </c>
      <c r="AF325" s="25">
        <v>0</v>
      </c>
    </row>
    <row r="326" spans="1:32" s="25" customFormat="1" x14ac:dyDescent="0.25">
      <c r="A326" s="25" t="s">
        <v>169</v>
      </c>
      <c r="B326" s="25">
        <f t="shared" ref="B326:B328" si="9">B325+10</f>
        <v>810</v>
      </c>
      <c r="C326" s="25" t="s">
        <v>12</v>
      </c>
      <c r="D326" s="25" t="s">
        <v>13</v>
      </c>
      <c r="E326" s="25" t="s">
        <v>13</v>
      </c>
      <c r="F326" s="25">
        <v>201</v>
      </c>
      <c r="G326" s="25">
        <v>78</v>
      </c>
      <c r="H326" s="27">
        <v>1</v>
      </c>
      <c r="I326" s="27">
        <v>0</v>
      </c>
      <c r="J326" s="27">
        <v>0</v>
      </c>
      <c r="K326" s="27">
        <v>1</v>
      </c>
      <c r="L326" s="27">
        <v>0</v>
      </c>
      <c r="M326" s="27">
        <v>0</v>
      </c>
      <c r="N326" s="27">
        <v>0</v>
      </c>
      <c r="O326" s="27">
        <v>0</v>
      </c>
      <c r="P326" s="25">
        <v>700</v>
      </c>
      <c r="Q326" s="25">
        <v>560</v>
      </c>
      <c r="R326" s="25" t="s">
        <v>86</v>
      </c>
      <c r="S326" s="25" t="s">
        <v>88</v>
      </c>
      <c r="T326" s="25">
        <v>1</v>
      </c>
      <c r="U326" s="25">
        <v>0</v>
      </c>
      <c r="V326" s="25">
        <v>0</v>
      </c>
      <c r="W326" s="25">
        <v>1</v>
      </c>
      <c r="X326" s="25">
        <v>0</v>
      </c>
      <c r="Y326" s="25">
        <v>0</v>
      </c>
      <c r="Z326" s="25">
        <v>0</v>
      </c>
      <c r="AA326" s="25">
        <v>0</v>
      </c>
      <c r="AB326" s="25">
        <v>0</v>
      </c>
      <c r="AC326" s="25">
        <v>0</v>
      </c>
      <c r="AD326" s="25">
        <v>0</v>
      </c>
      <c r="AE326" s="25">
        <v>1</v>
      </c>
      <c r="AF326" s="25">
        <v>0</v>
      </c>
    </row>
    <row r="327" spans="1:32" x14ac:dyDescent="0.25">
      <c r="A327" t="s">
        <v>169</v>
      </c>
      <c r="B327" s="25">
        <f t="shared" si="9"/>
        <v>820</v>
      </c>
      <c r="C327" t="s">
        <v>12</v>
      </c>
      <c r="D327" t="s">
        <v>13</v>
      </c>
      <c r="E327" t="s">
        <v>13</v>
      </c>
      <c r="F327">
        <v>201</v>
      </c>
      <c r="G327">
        <v>78</v>
      </c>
      <c r="H327" s="27">
        <v>1</v>
      </c>
      <c r="I327" s="27">
        <v>0</v>
      </c>
      <c r="J327" s="27">
        <v>1</v>
      </c>
      <c r="K327" s="27">
        <v>0</v>
      </c>
      <c r="L327" s="27">
        <v>0</v>
      </c>
      <c r="M327" s="27">
        <v>0</v>
      </c>
      <c r="N327" s="27">
        <v>0</v>
      </c>
      <c r="O327" s="27">
        <v>0</v>
      </c>
      <c r="P327">
        <v>700</v>
      </c>
      <c r="Q327">
        <v>560</v>
      </c>
      <c r="R327" t="s">
        <v>86</v>
      </c>
      <c r="S327" t="s">
        <v>88</v>
      </c>
      <c r="T327">
        <v>1</v>
      </c>
      <c r="U327">
        <v>0</v>
      </c>
      <c r="V327">
        <v>1</v>
      </c>
      <c r="W327">
        <v>0</v>
      </c>
      <c r="X327">
        <v>0</v>
      </c>
      <c r="Y327">
        <v>0</v>
      </c>
      <c r="Z327">
        <v>0</v>
      </c>
      <c r="AA327">
        <v>0</v>
      </c>
      <c r="AB327">
        <v>0</v>
      </c>
      <c r="AC327">
        <v>0</v>
      </c>
      <c r="AD327">
        <v>0</v>
      </c>
      <c r="AE327">
        <v>1</v>
      </c>
      <c r="AF327">
        <v>0</v>
      </c>
    </row>
    <row r="328" spans="1:32" x14ac:dyDescent="0.25">
      <c r="A328" t="s">
        <v>169</v>
      </c>
      <c r="B328" s="25">
        <f t="shared" si="9"/>
        <v>830</v>
      </c>
      <c r="C328" t="s">
        <v>12</v>
      </c>
      <c r="D328">
        <v>0</v>
      </c>
      <c r="E328">
        <v>0</v>
      </c>
      <c r="F328">
        <v>256</v>
      </c>
      <c r="G328">
        <v>222</v>
      </c>
      <c r="H328" s="27">
        <v>1</v>
      </c>
      <c r="I328" s="27">
        <v>0</v>
      </c>
      <c r="J328" s="27">
        <v>0</v>
      </c>
      <c r="K328" s="27">
        <v>0</v>
      </c>
      <c r="L328" s="27">
        <v>1</v>
      </c>
      <c r="M328" s="27">
        <v>0</v>
      </c>
      <c r="N328" s="27">
        <v>0</v>
      </c>
      <c r="O328" s="27">
        <v>0</v>
      </c>
      <c r="P328">
        <v>700</v>
      </c>
      <c r="Q328">
        <v>560</v>
      </c>
      <c r="R328" t="s">
        <v>86</v>
      </c>
      <c r="S328" t="s">
        <v>88</v>
      </c>
      <c r="T328">
        <v>1</v>
      </c>
      <c r="U328">
        <v>0</v>
      </c>
      <c r="V328">
        <v>0</v>
      </c>
      <c r="W328">
        <v>0</v>
      </c>
      <c r="X328">
        <v>1</v>
      </c>
      <c r="Y328">
        <v>0</v>
      </c>
      <c r="Z328">
        <v>0</v>
      </c>
      <c r="AA328">
        <v>0</v>
      </c>
      <c r="AB328">
        <v>0</v>
      </c>
      <c r="AC328">
        <v>0</v>
      </c>
      <c r="AD328">
        <v>0</v>
      </c>
      <c r="AE328">
        <v>1</v>
      </c>
      <c r="AF328">
        <v>0</v>
      </c>
    </row>
    <row r="329" spans="1:32" s="25" customFormat="1" x14ac:dyDescent="0.25">
      <c r="A329" s="25" t="s">
        <v>169</v>
      </c>
      <c r="B329" s="25">
        <f t="shared" ref="B329:B336" si="10">B328+10</f>
        <v>840</v>
      </c>
      <c r="C329" s="25" t="s">
        <v>12</v>
      </c>
      <c r="D329" s="25">
        <v>0</v>
      </c>
      <c r="E329" s="25">
        <v>0</v>
      </c>
      <c r="F329" s="25">
        <v>256</v>
      </c>
      <c r="G329" s="25">
        <v>222</v>
      </c>
      <c r="H329" s="27">
        <v>1</v>
      </c>
      <c r="I329" s="27">
        <v>0</v>
      </c>
      <c r="J329" s="27">
        <v>0</v>
      </c>
      <c r="K329" s="27">
        <v>0</v>
      </c>
      <c r="L329" s="27">
        <v>1</v>
      </c>
      <c r="M329" s="27">
        <v>0</v>
      </c>
      <c r="N329" s="27">
        <v>0</v>
      </c>
      <c r="O329" s="27">
        <v>0</v>
      </c>
      <c r="P329" s="25">
        <v>700</v>
      </c>
      <c r="Q329" s="25">
        <v>560</v>
      </c>
      <c r="R329" s="25" t="s">
        <v>86</v>
      </c>
      <c r="S329" s="25" t="s">
        <v>88</v>
      </c>
      <c r="T329" s="25">
        <v>1</v>
      </c>
      <c r="U329" s="25">
        <v>0</v>
      </c>
      <c r="V329" s="25">
        <v>0</v>
      </c>
      <c r="W329" s="25">
        <v>0</v>
      </c>
      <c r="X329" s="25">
        <v>1</v>
      </c>
      <c r="Y329" s="25">
        <v>0</v>
      </c>
      <c r="Z329" s="25">
        <v>0</v>
      </c>
      <c r="AA329" s="25">
        <v>0</v>
      </c>
      <c r="AB329" s="25">
        <v>0</v>
      </c>
      <c r="AC329" s="25">
        <v>0</v>
      </c>
      <c r="AD329" s="25">
        <v>0</v>
      </c>
      <c r="AE329" s="25">
        <v>1</v>
      </c>
      <c r="AF329" s="25">
        <v>0</v>
      </c>
    </row>
    <row r="330" spans="1:32" s="25" customFormat="1" x14ac:dyDescent="0.25">
      <c r="A330" s="25" t="s">
        <v>169</v>
      </c>
      <c r="B330" s="25">
        <f t="shared" si="10"/>
        <v>850</v>
      </c>
      <c r="C330" s="25" t="s">
        <v>12</v>
      </c>
      <c r="D330" s="25">
        <v>0</v>
      </c>
      <c r="E330" s="25">
        <v>0</v>
      </c>
      <c r="F330" s="25">
        <v>256</v>
      </c>
      <c r="G330" s="25">
        <v>222</v>
      </c>
      <c r="H330" s="27">
        <v>1</v>
      </c>
      <c r="I330" s="27">
        <v>0</v>
      </c>
      <c r="J330" s="27">
        <v>0</v>
      </c>
      <c r="K330" s="27">
        <v>0</v>
      </c>
      <c r="L330" s="27">
        <v>1</v>
      </c>
      <c r="M330" s="27">
        <v>0</v>
      </c>
      <c r="N330" s="27">
        <v>0</v>
      </c>
      <c r="O330" s="27">
        <v>0</v>
      </c>
      <c r="P330" s="25">
        <v>700</v>
      </c>
      <c r="Q330" s="25">
        <v>560</v>
      </c>
      <c r="R330" s="25" t="s">
        <v>86</v>
      </c>
      <c r="S330" s="25" t="s">
        <v>88</v>
      </c>
      <c r="T330" s="25">
        <v>1</v>
      </c>
      <c r="U330" s="25">
        <v>0</v>
      </c>
      <c r="V330" s="25">
        <v>0</v>
      </c>
      <c r="W330" s="25">
        <v>0</v>
      </c>
      <c r="X330" s="25">
        <v>1</v>
      </c>
      <c r="Y330" s="25">
        <v>0</v>
      </c>
      <c r="Z330" s="25">
        <v>0</v>
      </c>
      <c r="AA330" s="25">
        <v>0</v>
      </c>
      <c r="AB330" s="25">
        <v>0</v>
      </c>
      <c r="AC330" s="25">
        <v>0</v>
      </c>
      <c r="AD330" s="25">
        <v>0</v>
      </c>
      <c r="AE330" s="25">
        <v>1</v>
      </c>
      <c r="AF330" s="25">
        <v>0</v>
      </c>
    </row>
    <row r="331" spans="1:32" x14ac:dyDescent="0.25">
      <c r="A331" t="s">
        <v>169</v>
      </c>
      <c r="B331" s="25">
        <f t="shared" si="10"/>
        <v>860</v>
      </c>
      <c r="C331" t="s">
        <v>12</v>
      </c>
      <c r="D331">
        <v>0</v>
      </c>
      <c r="E331">
        <v>0</v>
      </c>
      <c r="F331">
        <v>256</v>
      </c>
      <c r="G331">
        <v>222</v>
      </c>
      <c r="H331" s="27">
        <v>1</v>
      </c>
      <c r="I331" s="27">
        <v>0</v>
      </c>
      <c r="J331" s="27">
        <v>0</v>
      </c>
      <c r="K331" s="27">
        <v>0</v>
      </c>
      <c r="L331" s="27">
        <v>1</v>
      </c>
      <c r="M331" s="27">
        <v>0</v>
      </c>
      <c r="N331" s="27">
        <v>0</v>
      </c>
      <c r="O331" s="27">
        <v>0</v>
      </c>
      <c r="P331">
        <v>700</v>
      </c>
      <c r="Q331">
        <v>560</v>
      </c>
      <c r="R331" t="s">
        <v>86</v>
      </c>
      <c r="S331" t="s">
        <v>88</v>
      </c>
      <c r="T331">
        <v>1</v>
      </c>
      <c r="U331">
        <v>0</v>
      </c>
      <c r="V331">
        <v>0</v>
      </c>
      <c r="W331">
        <v>0</v>
      </c>
      <c r="X331">
        <v>1</v>
      </c>
      <c r="Y331">
        <v>0</v>
      </c>
      <c r="Z331">
        <v>0</v>
      </c>
      <c r="AA331">
        <v>0</v>
      </c>
      <c r="AB331">
        <v>0</v>
      </c>
      <c r="AC331">
        <v>0</v>
      </c>
      <c r="AD331">
        <v>0</v>
      </c>
      <c r="AE331">
        <v>1</v>
      </c>
      <c r="AF331">
        <v>0</v>
      </c>
    </row>
    <row r="332" spans="1:32" x14ac:dyDescent="0.25">
      <c r="A332" t="s">
        <v>169</v>
      </c>
      <c r="B332" s="25">
        <f t="shared" si="10"/>
        <v>870</v>
      </c>
      <c r="C332" t="s">
        <v>12</v>
      </c>
      <c r="D332">
        <v>0</v>
      </c>
      <c r="E332">
        <v>0</v>
      </c>
      <c r="F332" t="s">
        <v>13</v>
      </c>
      <c r="G332" t="s">
        <v>13</v>
      </c>
      <c r="H332" s="27" t="s">
        <v>13</v>
      </c>
      <c r="I332" s="27" t="s">
        <v>13</v>
      </c>
      <c r="J332" s="27" t="s">
        <v>13</v>
      </c>
      <c r="K332" s="27" t="s">
        <v>13</v>
      </c>
      <c r="L332" s="27" t="s">
        <v>13</v>
      </c>
      <c r="M332" s="27" t="s">
        <v>13</v>
      </c>
      <c r="N332" s="27" t="s">
        <v>13</v>
      </c>
      <c r="O332" s="27" t="s">
        <v>13</v>
      </c>
      <c r="P332">
        <v>700</v>
      </c>
      <c r="Q332">
        <v>560</v>
      </c>
      <c r="R332" t="s">
        <v>87</v>
      </c>
      <c r="S332" t="s">
        <v>89</v>
      </c>
      <c r="T332">
        <v>1</v>
      </c>
      <c r="U332">
        <v>0</v>
      </c>
      <c r="V332">
        <v>0</v>
      </c>
      <c r="W332">
        <v>0</v>
      </c>
      <c r="X332">
        <v>1</v>
      </c>
      <c r="Y332">
        <v>0</v>
      </c>
      <c r="Z332">
        <v>0</v>
      </c>
      <c r="AA332">
        <v>0</v>
      </c>
      <c r="AB332">
        <v>0</v>
      </c>
      <c r="AC332">
        <v>0</v>
      </c>
      <c r="AD332">
        <v>0</v>
      </c>
      <c r="AE332">
        <v>1</v>
      </c>
      <c r="AF332">
        <v>0</v>
      </c>
    </row>
    <row r="333" spans="1:32" x14ac:dyDescent="0.25">
      <c r="A333" t="s">
        <v>169</v>
      </c>
      <c r="B333" s="25">
        <f t="shared" si="10"/>
        <v>880</v>
      </c>
      <c r="C333" t="s">
        <v>12</v>
      </c>
      <c r="D333" t="s">
        <v>13</v>
      </c>
      <c r="E333" t="s">
        <v>13</v>
      </c>
      <c r="F333" t="s">
        <v>13</v>
      </c>
      <c r="G333" t="s">
        <v>13</v>
      </c>
      <c r="H333" s="27" t="s">
        <v>13</v>
      </c>
      <c r="I333" s="27" t="s">
        <v>13</v>
      </c>
      <c r="J333" s="27" t="s">
        <v>13</v>
      </c>
      <c r="K333" s="27" t="s">
        <v>13</v>
      </c>
      <c r="L333" s="27" t="s">
        <v>13</v>
      </c>
      <c r="M333" s="27" t="s">
        <v>13</v>
      </c>
      <c r="N333" s="27" t="s">
        <v>13</v>
      </c>
      <c r="O333" s="27" t="s">
        <v>13</v>
      </c>
      <c r="P333">
        <v>700</v>
      </c>
      <c r="Q333">
        <v>560</v>
      </c>
      <c r="R333" t="s">
        <v>87</v>
      </c>
      <c r="S333" t="s">
        <v>89</v>
      </c>
      <c r="T333">
        <v>1</v>
      </c>
      <c r="U333">
        <v>0</v>
      </c>
      <c r="V333">
        <v>0</v>
      </c>
      <c r="W333">
        <v>0</v>
      </c>
      <c r="X333">
        <v>1</v>
      </c>
      <c r="Y333">
        <v>0</v>
      </c>
      <c r="Z333">
        <v>0</v>
      </c>
      <c r="AA333">
        <v>0</v>
      </c>
      <c r="AB333">
        <v>0</v>
      </c>
      <c r="AC333">
        <v>0</v>
      </c>
      <c r="AD333">
        <v>0</v>
      </c>
      <c r="AE333">
        <v>1</v>
      </c>
      <c r="AF333" t="s">
        <v>128</v>
      </c>
    </row>
    <row r="334" spans="1:32" x14ac:dyDescent="0.25">
      <c r="A334" t="s">
        <v>169</v>
      </c>
      <c r="B334" s="25">
        <f t="shared" si="10"/>
        <v>890</v>
      </c>
      <c r="C334" t="s">
        <v>12</v>
      </c>
      <c r="D334" t="s">
        <v>13</v>
      </c>
      <c r="E334" t="s">
        <v>13</v>
      </c>
      <c r="F334" t="s">
        <v>13</v>
      </c>
      <c r="G334" t="s">
        <v>13</v>
      </c>
      <c r="H334" s="27" t="s">
        <v>13</v>
      </c>
      <c r="I334" s="27" t="s">
        <v>13</v>
      </c>
      <c r="J334" s="27" t="s">
        <v>13</v>
      </c>
      <c r="K334" s="27" t="s">
        <v>13</v>
      </c>
      <c r="L334" s="27" t="s">
        <v>13</v>
      </c>
      <c r="M334" s="27" t="s">
        <v>13</v>
      </c>
      <c r="N334" s="27" t="s">
        <v>13</v>
      </c>
      <c r="O334" s="27" t="s">
        <v>13</v>
      </c>
      <c r="P334">
        <v>700</v>
      </c>
      <c r="Q334">
        <v>560</v>
      </c>
      <c r="R334" t="s">
        <v>87</v>
      </c>
      <c r="S334" t="s">
        <v>89</v>
      </c>
      <c r="T334">
        <v>1</v>
      </c>
      <c r="U334">
        <v>0</v>
      </c>
      <c r="V334">
        <v>0</v>
      </c>
      <c r="W334">
        <v>0</v>
      </c>
      <c r="X334">
        <v>1</v>
      </c>
      <c r="Y334">
        <v>0</v>
      </c>
      <c r="Z334">
        <v>0</v>
      </c>
      <c r="AA334">
        <v>0</v>
      </c>
      <c r="AB334">
        <v>0</v>
      </c>
      <c r="AC334">
        <v>0</v>
      </c>
      <c r="AD334">
        <v>0</v>
      </c>
      <c r="AE334">
        <v>1</v>
      </c>
      <c r="AF334" t="s">
        <v>129</v>
      </c>
    </row>
    <row r="335" spans="1:32" x14ac:dyDescent="0.25">
      <c r="A335" t="s">
        <v>169</v>
      </c>
      <c r="B335" s="25">
        <f t="shared" si="10"/>
        <v>900</v>
      </c>
      <c r="C335" t="s">
        <v>12</v>
      </c>
      <c r="D335" t="s">
        <v>13</v>
      </c>
      <c r="E335" t="s">
        <v>13</v>
      </c>
      <c r="F335" t="s">
        <v>13</v>
      </c>
      <c r="G335" t="s">
        <v>13</v>
      </c>
      <c r="H335" s="27" t="s">
        <v>13</v>
      </c>
      <c r="I335" s="27" t="s">
        <v>13</v>
      </c>
      <c r="J335" s="27" t="s">
        <v>13</v>
      </c>
      <c r="K335" s="27" t="s">
        <v>13</v>
      </c>
      <c r="L335" s="27" t="s">
        <v>13</v>
      </c>
      <c r="M335" s="27" t="s">
        <v>13</v>
      </c>
      <c r="N335" s="27" t="s">
        <v>13</v>
      </c>
      <c r="O335" s="27" t="s">
        <v>13</v>
      </c>
      <c r="P335">
        <v>700</v>
      </c>
      <c r="Q335">
        <v>560</v>
      </c>
      <c r="R335" t="s">
        <v>87</v>
      </c>
      <c r="S335" t="s">
        <v>89</v>
      </c>
      <c r="T335">
        <v>1</v>
      </c>
      <c r="U335">
        <v>0</v>
      </c>
      <c r="V335">
        <v>0</v>
      </c>
      <c r="W335">
        <v>0</v>
      </c>
      <c r="X335">
        <v>1</v>
      </c>
      <c r="Y335">
        <v>0</v>
      </c>
      <c r="Z335">
        <v>0</v>
      </c>
      <c r="AA335">
        <v>0</v>
      </c>
      <c r="AB335">
        <v>0</v>
      </c>
      <c r="AC335">
        <v>0</v>
      </c>
      <c r="AD335">
        <v>0</v>
      </c>
      <c r="AE335">
        <v>1</v>
      </c>
      <c r="AF335" t="s">
        <v>130</v>
      </c>
    </row>
    <row r="336" spans="1:32" x14ac:dyDescent="0.25">
      <c r="A336" t="s">
        <v>169</v>
      </c>
      <c r="B336" s="25">
        <f t="shared" si="10"/>
        <v>910</v>
      </c>
      <c r="C336" t="s">
        <v>12</v>
      </c>
      <c r="D336">
        <v>0</v>
      </c>
      <c r="E336">
        <v>0</v>
      </c>
      <c r="F336">
        <v>256</v>
      </c>
      <c r="G336">
        <v>222</v>
      </c>
      <c r="H336" s="27">
        <v>0</v>
      </c>
      <c r="I336" s="27">
        <v>0</v>
      </c>
      <c r="J336" s="27">
        <v>0</v>
      </c>
      <c r="K336" s="27">
        <v>0</v>
      </c>
      <c r="L336" s="27">
        <v>1</v>
      </c>
      <c r="M336" s="27">
        <v>0</v>
      </c>
      <c r="N336" s="27">
        <v>0</v>
      </c>
      <c r="O336" s="27">
        <v>0</v>
      </c>
      <c r="P336">
        <v>700</v>
      </c>
      <c r="Q336">
        <v>560</v>
      </c>
      <c r="R336" t="s">
        <v>87</v>
      </c>
      <c r="S336" t="s">
        <v>89</v>
      </c>
      <c r="T336">
        <v>0</v>
      </c>
      <c r="U336">
        <v>0</v>
      </c>
      <c r="V336">
        <v>0</v>
      </c>
      <c r="W336">
        <v>0</v>
      </c>
      <c r="X336">
        <v>1</v>
      </c>
      <c r="Y336">
        <v>0</v>
      </c>
      <c r="Z336">
        <v>0</v>
      </c>
      <c r="AA336">
        <v>0</v>
      </c>
      <c r="AB336">
        <v>0</v>
      </c>
      <c r="AC336">
        <v>0</v>
      </c>
      <c r="AD336">
        <v>0</v>
      </c>
      <c r="AE336">
        <v>1</v>
      </c>
      <c r="AF336" t="s">
        <v>131</v>
      </c>
    </row>
    <row r="337" spans="1:32" s="25" customFormat="1" x14ac:dyDescent="0.25">
      <c r="A337" s="25" t="s">
        <v>169</v>
      </c>
      <c r="B337" s="25">
        <f t="shared" ref="B337:B381" si="11">B336+10</f>
        <v>920</v>
      </c>
      <c r="C337" s="25" t="s">
        <v>12</v>
      </c>
      <c r="D337" s="25">
        <v>0</v>
      </c>
      <c r="E337" s="25">
        <v>0</v>
      </c>
      <c r="F337" s="25">
        <v>256</v>
      </c>
      <c r="G337" s="25">
        <v>222</v>
      </c>
      <c r="H337" s="27">
        <v>0</v>
      </c>
      <c r="I337" s="27">
        <v>0</v>
      </c>
      <c r="J337" s="27">
        <v>0</v>
      </c>
      <c r="K337" s="27">
        <v>0</v>
      </c>
      <c r="L337" s="27">
        <v>1</v>
      </c>
      <c r="M337" s="27">
        <v>0</v>
      </c>
      <c r="N337" s="27">
        <v>0</v>
      </c>
      <c r="O337" s="27">
        <v>0</v>
      </c>
      <c r="P337" s="25">
        <v>700</v>
      </c>
      <c r="Q337" s="25">
        <v>560</v>
      </c>
      <c r="R337" s="25" t="s">
        <v>87</v>
      </c>
      <c r="S337" s="25" t="s">
        <v>89</v>
      </c>
      <c r="T337" s="25">
        <v>0</v>
      </c>
      <c r="U337" s="25">
        <v>0</v>
      </c>
      <c r="V337" s="25">
        <v>0</v>
      </c>
      <c r="W337" s="25">
        <v>0</v>
      </c>
      <c r="X337" s="25">
        <v>1</v>
      </c>
      <c r="Y337" s="25">
        <v>0</v>
      </c>
      <c r="Z337" s="25">
        <v>0</v>
      </c>
      <c r="AA337" s="25">
        <v>0</v>
      </c>
      <c r="AB337" s="25">
        <v>0</v>
      </c>
      <c r="AC337" s="25">
        <v>0</v>
      </c>
      <c r="AD337" s="25">
        <v>0</v>
      </c>
      <c r="AE337" s="25">
        <v>1</v>
      </c>
      <c r="AF337" s="25" t="s">
        <v>131</v>
      </c>
    </row>
    <row r="338" spans="1:32" s="25" customFormat="1" x14ac:dyDescent="0.25">
      <c r="A338" s="25" t="s">
        <v>169</v>
      </c>
      <c r="B338" s="25">
        <f t="shared" si="11"/>
        <v>930</v>
      </c>
      <c r="C338" s="25" t="s">
        <v>12</v>
      </c>
      <c r="D338" s="25">
        <v>0</v>
      </c>
      <c r="E338" s="25">
        <v>0</v>
      </c>
      <c r="F338" s="25">
        <v>256</v>
      </c>
      <c r="G338" s="25">
        <v>222</v>
      </c>
      <c r="H338" s="27">
        <v>0</v>
      </c>
      <c r="I338" s="27">
        <v>0</v>
      </c>
      <c r="J338" s="27">
        <v>0</v>
      </c>
      <c r="K338" s="27">
        <v>0</v>
      </c>
      <c r="L338" s="27">
        <v>1</v>
      </c>
      <c r="M338" s="27">
        <v>0</v>
      </c>
      <c r="N338" s="27">
        <v>0</v>
      </c>
      <c r="O338" s="27">
        <v>0</v>
      </c>
      <c r="P338" s="25">
        <v>700</v>
      </c>
      <c r="Q338" s="25">
        <v>560</v>
      </c>
      <c r="R338" s="25" t="s">
        <v>87</v>
      </c>
      <c r="S338" s="25" t="s">
        <v>89</v>
      </c>
      <c r="T338" s="25">
        <v>0</v>
      </c>
      <c r="U338" s="25">
        <v>0</v>
      </c>
      <c r="V338" s="25">
        <v>0</v>
      </c>
      <c r="W338" s="25">
        <v>0</v>
      </c>
      <c r="X338" s="25">
        <v>1</v>
      </c>
      <c r="Y338" s="25">
        <v>0</v>
      </c>
      <c r="Z338" s="25">
        <v>0</v>
      </c>
      <c r="AA338" s="25">
        <v>0</v>
      </c>
      <c r="AB338" s="25">
        <v>0</v>
      </c>
      <c r="AC338" s="25">
        <v>0</v>
      </c>
      <c r="AD338" s="25">
        <v>0</v>
      </c>
      <c r="AE338" s="25">
        <v>1</v>
      </c>
      <c r="AF338" s="25" t="s">
        <v>131</v>
      </c>
    </row>
    <row r="339" spans="1:32" s="25" customFormat="1" x14ac:dyDescent="0.25">
      <c r="A339" s="25" t="s">
        <v>169</v>
      </c>
      <c r="B339" s="25">
        <f t="shared" si="11"/>
        <v>940</v>
      </c>
      <c r="C339" s="25" t="s">
        <v>12</v>
      </c>
      <c r="D339" s="25">
        <v>0</v>
      </c>
      <c r="E339" s="25">
        <v>0</v>
      </c>
      <c r="F339" s="25">
        <v>256</v>
      </c>
      <c r="G339" s="25">
        <v>222</v>
      </c>
      <c r="H339" s="27">
        <v>0</v>
      </c>
      <c r="I339" s="27">
        <v>0</v>
      </c>
      <c r="J339" s="27">
        <v>0</v>
      </c>
      <c r="K339" s="27">
        <v>0</v>
      </c>
      <c r="L339" s="27">
        <v>1</v>
      </c>
      <c r="M339" s="27">
        <v>0</v>
      </c>
      <c r="N339" s="27">
        <v>0</v>
      </c>
      <c r="O339" s="27">
        <v>0</v>
      </c>
      <c r="P339" s="25">
        <v>700</v>
      </c>
      <c r="Q339" s="25">
        <v>560</v>
      </c>
      <c r="R339" s="25" t="s">
        <v>87</v>
      </c>
      <c r="S339" s="25" t="s">
        <v>89</v>
      </c>
      <c r="T339" s="25">
        <v>0</v>
      </c>
      <c r="U339" s="25">
        <v>0</v>
      </c>
      <c r="V339" s="25">
        <v>0</v>
      </c>
      <c r="W339" s="25">
        <v>0</v>
      </c>
      <c r="X339" s="25">
        <v>1</v>
      </c>
      <c r="Y339" s="25">
        <v>0</v>
      </c>
      <c r="Z339" s="25">
        <v>0</v>
      </c>
      <c r="AA339" s="25">
        <v>0</v>
      </c>
      <c r="AB339" s="25">
        <v>0</v>
      </c>
      <c r="AC339" s="25">
        <v>0</v>
      </c>
      <c r="AD339" s="25">
        <v>0</v>
      </c>
      <c r="AE339" s="25">
        <v>1</v>
      </c>
      <c r="AF339" s="25" t="s">
        <v>131</v>
      </c>
    </row>
    <row r="340" spans="1:32" s="25" customFormat="1" x14ac:dyDescent="0.25">
      <c r="A340" s="25" t="s">
        <v>169</v>
      </c>
      <c r="B340" s="25">
        <f t="shared" si="11"/>
        <v>950</v>
      </c>
      <c r="C340" s="25" t="s">
        <v>12</v>
      </c>
      <c r="D340" s="25">
        <v>0</v>
      </c>
      <c r="E340" s="25">
        <v>0</v>
      </c>
      <c r="F340" s="25">
        <v>256</v>
      </c>
      <c r="G340" s="25">
        <v>222</v>
      </c>
      <c r="H340" s="27">
        <v>0</v>
      </c>
      <c r="I340" s="27">
        <v>0</v>
      </c>
      <c r="J340" s="27">
        <v>0</v>
      </c>
      <c r="K340" s="27">
        <v>0</v>
      </c>
      <c r="L340" s="27">
        <v>1</v>
      </c>
      <c r="M340" s="27">
        <v>0</v>
      </c>
      <c r="N340" s="27">
        <v>0</v>
      </c>
      <c r="O340" s="27">
        <v>0</v>
      </c>
      <c r="P340" s="25">
        <v>700</v>
      </c>
      <c r="Q340" s="25">
        <v>560</v>
      </c>
      <c r="R340" s="25" t="s">
        <v>87</v>
      </c>
      <c r="S340" s="25" t="s">
        <v>89</v>
      </c>
      <c r="T340" s="25">
        <v>0</v>
      </c>
      <c r="U340" s="25">
        <v>0</v>
      </c>
      <c r="V340" s="25">
        <v>0</v>
      </c>
      <c r="W340" s="25">
        <v>0</v>
      </c>
      <c r="X340" s="25">
        <v>1</v>
      </c>
      <c r="Y340" s="25">
        <v>0</v>
      </c>
      <c r="Z340" s="25">
        <v>0</v>
      </c>
      <c r="AA340" s="25">
        <v>0</v>
      </c>
      <c r="AB340" s="25">
        <v>0</v>
      </c>
      <c r="AC340" s="25">
        <v>0</v>
      </c>
      <c r="AD340" s="25">
        <v>0</v>
      </c>
      <c r="AE340" s="25">
        <v>1</v>
      </c>
      <c r="AF340" s="25" t="s">
        <v>131</v>
      </c>
    </row>
    <row r="341" spans="1:32" s="25" customFormat="1" x14ac:dyDescent="0.25">
      <c r="A341" s="25" t="s">
        <v>169</v>
      </c>
      <c r="B341" s="25">
        <f t="shared" si="11"/>
        <v>960</v>
      </c>
      <c r="C341" s="25" t="s">
        <v>12</v>
      </c>
      <c r="D341" s="25">
        <v>0</v>
      </c>
      <c r="E341" s="25">
        <v>0</v>
      </c>
      <c r="F341" s="25">
        <v>256</v>
      </c>
      <c r="G341" s="25">
        <v>222</v>
      </c>
      <c r="H341" s="27">
        <v>0</v>
      </c>
      <c r="I341" s="27">
        <v>0</v>
      </c>
      <c r="J341" s="27">
        <v>0</v>
      </c>
      <c r="K341" s="27">
        <v>0</v>
      </c>
      <c r="L341" s="27">
        <v>1</v>
      </c>
      <c r="M341" s="27">
        <v>0</v>
      </c>
      <c r="N341" s="27">
        <v>0</v>
      </c>
      <c r="O341" s="27">
        <v>0</v>
      </c>
      <c r="P341" s="25">
        <v>700</v>
      </c>
      <c r="Q341" s="25">
        <v>560</v>
      </c>
      <c r="R341" s="25" t="s">
        <v>87</v>
      </c>
      <c r="S341" s="25" t="s">
        <v>89</v>
      </c>
      <c r="T341" s="25">
        <v>0</v>
      </c>
      <c r="U341" s="25">
        <v>0</v>
      </c>
      <c r="V341" s="25">
        <v>0</v>
      </c>
      <c r="W341" s="25">
        <v>0</v>
      </c>
      <c r="X341" s="25">
        <v>1</v>
      </c>
      <c r="Y341" s="25">
        <v>0</v>
      </c>
      <c r="Z341" s="25">
        <v>0</v>
      </c>
      <c r="AA341" s="25">
        <v>0</v>
      </c>
      <c r="AB341" s="25">
        <v>0</v>
      </c>
      <c r="AC341" s="25">
        <v>0</v>
      </c>
      <c r="AD341" s="25">
        <v>0</v>
      </c>
      <c r="AE341" s="25">
        <v>1</v>
      </c>
      <c r="AF341" s="25" t="s">
        <v>131</v>
      </c>
    </row>
    <row r="342" spans="1:32" s="25" customFormat="1" x14ac:dyDescent="0.25">
      <c r="A342" s="25" t="s">
        <v>169</v>
      </c>
      <c r="B342" s="25">
        <f t="shared" si="11"/>
        <v>970</v>
      </c>
      <c r="C342" s="25" t="s">
        <v>12</v>
      </c>
      <c r="D342" s="25">
        <v>0</v>
      </c>
      <c r="E342" s="25">
        <v>0</v>
      </c>
      <c r="F342" s="25">
        <v>256</v>
      </c>
      <c r="G342" s="25">
        <v>222</v>
      </c>
      <c r="H342" s="27">
        <v>0</v>
      </c>
      <c r="I342" s="27">
        <v>0</v>
      </c>
      <c r="J342" s="27">
        <v>0</v>
      </c>
      <c r="K342" s="27">
        <v>0</v>
      </c>
      <c r="L342" s="27">
        <v>1</v>
      </c>
      <c r="M342" s="27">
        <v>0</v>
      </c>
      <c r="N342" s="27">
        <v>0</v>
      </c>
      <c r="O342" s="27">
        <v>0</v>
      </c>
      <c r="P342" s="25">
        <v>700</v>
      </c>
      <c r="Q342" s="25">
        <v>560</v>
      </c>
      <c r="R342" s="25" t="s">
        <v>87</v>
      </c>
      <c r="S342" s="25" t="s">
        <v>89</v>
      </c>
      <c r="T342" s="25">
        <v>0</v>
      </c>
      <c r="U342" s="25">
        <v>0</v>
      </c>
      <c r="V342" s="25">
        <v>0</v>
      </c>
      <c r="W342" s="25">
        <v>0</v>
      </c>
      <c r="X342" s="25">
        <v>1</v>
      </c>
      <c r="Y342" s="25">
        <v>0</v>
      </c>
      <c r="Z342" s="25">
        <v>0</v>
      </c>
      <c r="AA342" s="25">
        <v>0</v>
      </c>
      <c r="AB342" s="25">
        <v>0</v>
      </c>
      <c r="AC342" s="25">
        <v>0</v>
      </c>
      <c r="AD342" s="25">
        <v>0</v>
      </c>
      <c r="AE342" s="25">
        <v>1</v>
      </c>
      <c r="AF342" s="25" t="s">
        <v>131</v>
      </c>
    </row>
    <row r="343" spans="1:32" s="25" customFormat="1" x14ac:dyDescent="0.25">
      <c r="A343" s="25" t="s">
        <v>169</v>
      </c>
      <c r="B343" s="25">
        <f t="shared" si="11"/>
        <v>980</v>
      </c>
      <c r="C343" s="25" t="s">
        <v>12</v>
      </c>
      <c r="D343" s="25">
        <v>0</v>
      </c>
      <c r="E343" s="25">
        <v>0</v>
      </c>
      <c r="F343" s="25">
        <v>256</v>
      </c>
      <c r="G343" s="25">
        <v>222</v>
      </c>
      <c r="H343" s="27">
        <v>0</v>
      </c>
      <c r="I343" s="27">
        <v>0</v>
      </c>
      <c r="J343" s="27">
        <v>0</v>
      </c>
      <c r="K343" s="27">
        <v>0</v>
      </c>
      <c r="L343" s="27">
        <v>1</v>
      </c>
      <c r="M343" s="27">
        <v>0</v>
      </c>
      <c r="N343" s="27">
        <v>0</v>
      </c>
      <c r="O343" s="27">
        <v>0</v>
      </c>
      <c r="P343" s="25">
        <v>700</v>
      </c>
      <c r="Q343" s="25">
        <v>560</v>
      </c>
      <c r="R343" s="25" t="s">
        <v>87</v>
      </c>
      <c r="S343" s="25" t="s">
        <v>89</v>
      </c>
      <c r="T343" s="25">
        <v>0</v>
      </c>
      <c r="U343" s="25">
        <v>0</v>
      </c>
      <c r="V343" s="25">
        <v>0</v>
      </c>
      <c r="W343" s="25">
        <v>0</v>
      </c>
      <c r="X343" s="25">
        <v>1</v>
      </c>
      <c r="Y343" s="25">
        <v>0</v>
      </c>
      <c r="Z343" s="25">
        <v>0</v>
      </c>
      <c r="AA343" s="25">
        <v>0</v>
      </c>
      <c r="AB343" s="25">
        <v>0</v>
      </c>
      <c r="AC343" s="25">
        <v>0</v>
      </c>
      <c r="AD343" s="25">
        <v>0</v>
      </c>
      <c r="AE343" s="25">
        <v>1</v>
      </c>
      <c r="AF343" s="25" t="s">
        <v>131</v>
      </c>
    </row>
    <row r="344" spans="1:32" s="25" customFormat="1" x14ac:dyDescent="0.25">
      <c r="A344" s="25" t="s">
        <v>169</v>
      </c>
      <c r="B344" s="25">
        <f t="shared" si="11"/>
        <v>990</v>
      </c>
      <c r="C344" s="25" t="s">
        <v>12</v>
      </c>
      <c r="D344" s="25">
        <v>0</v>
      </c>
      <c r="E344" s="25">
        <v>0</v>
      </c>
      <c r="F344" s="25">
        <v>256</v>
      </c>
      <c r="G344" s="25">
        <v>222</v>
      </c>
      <c r="H344" s="27">
        <v>0</v>
      </c>
      <c r="I344" s="27">
        <v>0</v>
      </c>
      <c r="J344" s="27">
        <v>0</v>
      </c>
      <c r="K344" s="27">
        <v>0</v>
      </c>
      <c r="L344" s="27">
        <v>1</v>
      </c>
      <c r="M344" s="27">
        <v>0</v>
      </c>
      <c r="N344" s="27">
        <v>0</v>
      </c>
      <c r="O344" s="27">
        <v>0</v>
      </c>
      <c r="P344" s="25">
        <v>700</v>
      </c>
      <c r="Q344" s="25">
        <v>560</v>
      </c>
      <c r="R344" s="25" t="s">
        <v>87</v>
      </c>
      <c r="S344" s="25" t="s">
        <v>89</v>
      </c>
      <c r="T344" s="25">
        <v>0</v>
      </c>
      <c r="U344" s="25">
        <v>0</v>
      </c>
      <c r="V344" s="25">
        <v>0</v>
      </c>
      <c r="W344" s="25">
        <v>0</v>
      </c>
      <c r="X344" s="25">
        <v>1</v>
      </c>
      <c r="Y344" s="25">
        <v>0</v>
      </c>
      <c r="Z344" s="25">
        <v>0</v>
      </c>
      <c r="AA344" s="25">
        <v>0</v>
      </c>
      <c r="AB344" s="25">
        <v>0</v>
      </c>
      <c r="AC344" s="25">
        <v>0</v>
      </c>
      <c r="AD344" s="25">
        <v>0</v>
      </c>
      <c r="AE344" s="25">
        <v>1</v>
      </c>
      <c r="AF344" s="25" t="s">
        <v>131</v>
      </c>
    </row>
    <row r="345" spans="1:32" s="25" customFormat="1" x14ac:dyDescent="0.25">
      <c r="A345" s="25" t="s">
        <v>169</v>
      </c>
      <c r="B345" s="25">
        <f t="shared" si="11"/>
        <v>1000</v>
      </c>
      <c r="C345" s="25" t="s">
        <v>12</v>
      </c>
      <c r="D345" s="25">
        <v>0</v>
      </c>
      <c r="E345" s="25">
        <v>0</v>
      </c>
      <c r="F345" s="25">
        <v>256</v>
      </c>
      <c r="G345" s="25">
        <v>222</v>
      </c>
      <c r="H345" s="27">
        <v>0</v>
      </c>
      <c r="I345" s="27">
        <v>0</v>
      </c>
      <c r="J345" s="27">
        <v>0</v>
      </c>
      <c r="K345" s="27">
        <v>0</v>
      </c>
      <c r="L345" s="27">
        <v>1</v>
      </c>
      <c r="M345" s="27">
        <v>0</v>
      </c>
      <c r="N345" s="27">
        <v>0</v>
      </c>
      <c r="O345" s="27">
        <v>0</v>
      </c>
      <c r="P345" s="25">
        <v>700</v>
      </c>
      <c r="Q345" s="25">
        <v>560</v>
      </c>
      <c r="R345" s="25" t="s">
        <v>87</v>
      </c>
      <c r="S345" s="25" t="s">
        <v>89</v>
      </c>
      <c r="T345" s="25">
        <v>0</v>
      </c>
      <c r="U345" s="25">
        <v>0</v>
      </c>
      <c r="V345" s="25">
        <v>0</v>
      </c>
      <c r="W345" s="25">
        <v>0</v>
      </c>
      <c r="X345" s="25">
        <v>1</v>
      </c>
      <c r="Y345" s="25">
        <v>0</v>
      </c>
      <c r="Z345" s="25">
        <v>0</v>
      </c>
      <c r="AA345" s="25">
        <v>0</v>
      </c>
      <c r="AB345" s="25">
        <v>0</v>
      </c>
      <c r="AC345" s="25">
        <v>0</v>
      </c>
      <c r="AD345" s="25">
        <v>0</v>
      </c>
      <c r="AE345" s="25">
        <v>1</v>
      </c>
      <c r="AF345" s="25" t="s">
        <v>131</v>
      </c>
    </row>
    <row r="346" spans="1:32" s="25" customFormat="1" x14ac:dyDescent="0.25">
      <c r="A346" s="25" t="s">
        <v>169</v>
      </c>
      <c r="B346" s="25">
        <f t="shared" si="11"/>
        <v>1010</v>
      </c>
      <c r="C346" s="25" t="s">
        <v>12</v>
      </c>
      <c r="D346" s="25">
        <v>0</v>
      </c>
      <c r="E346" s="25">
        <v>0</v>
      </c>
      <c r="F346" s="25">
        <v>256</v>
      </c>
      <c r="G346" s="25">
        <v>222</v>
      </c>
      <c r="H346" s="27">
        <v>0</v>
      </c>
      <c r="I346" s="27">
        <v>0</v>
      </c>
      <c r="J346" s="27">
        <v>0</v>
      </c>
      <c r="K346" s="27">
        <v>0</v>
      </c>
      <c r="L346" s="27">
        <v>1</v>
      </c>
      <c r="M346" s="27">
        <v>0</v>
      </c>
      <c r="N346" s="27">
        <v>0</v>
      </c>
      <c r="O346" s="27">
        <v>0</v>
      </c>
      <c r="P346" s="25">
        <v>700</v>
      </c>
      <c r="Q346" s="25">
        <v>560</v>
      </c>
      <c r="R346" s="25" t="s">
        <v>87</v>
      </c>
      <c r="S346" s="25" t="s">
        <v>89</v>
      </c>
      <c r="T346" s="25">
        <v>0</v>
      </c>
      <c r="U346" s="25">
        <v>0</v>
      </c>
      <c r="V346" s="25">
        <v>0</v>
      </c>
      <c r="W346" s="25">
        <v>0</v>
      </c>
      <c r="X346" s="25">
        <v>1</v>
      </c>
      <c r="Y346" s="25">
        <v>0</v>
      </c>
      <c r="Z346" s="25">
        <v>0</v>
      </c>
      <c r="AA346" s="25">
        <v>0</v>
      </c>
      <c r="AB346" s="25">
        <v>0</v>
      </c>
      <c r="AC346" s="25">
        <v>0</v>
      </c>
      <c r="AD346" s="25">
        <v>0</v>
      </c>
      <c r="AE346" s="25">
        <v>1</v>
      </c>
      <c r="AF346" s="25" t="s">
        <v>131</v>
      </c>
    </row>
    <row r="347" spans="1:32" s="25" customFormat="1" x14ac:dyDescent="0.25">
      <c r="A347" s="25" t="s">
        <v>169</v>
      </c>
      <c r="B347" s="25">
        <f t="shared" si="11"/>
        <v>1020</v>
      </c>
      <c r="C347" s="25" t="s">
        <v>12</v>
      </c>
      <c r="D347" s="25">
        <v>0</v>
      </c>
      <c r="E347" s="25">
        <v>0</v>
      </c>
      <c r="F347" s="25">
        <v>256</v>
      </c>
      <c r="G347" s="25">
        <v>222</v>
      </c>
      <c r="H347" s="27">
        <v>0</v>
      </c>
      <c r="I347" s="27">
        <v>0</v>
      </c>
      <c r="J347" s="27">
        <v>0</v>
      </c>
      <c r="K347" s="27">
        <v>0</v>
      </c>
      <c r="L347" s="27">
        <v>1</v>
      </c>
      <c r="M347" s="27">
        <v>0</v>
      </c>
      <c r="N347" s="27">
        <v>0</v>
      </c>
      <c r="O347" s="27">
        <v>0</v>
      </c>
      <c r="P347" s="25">
        <v>700</v>
      </c>
      <c r="Q347" s="25">
        <v>560</v>
      </c>
      <c r="R347" s="25" t="s">
        <v>87</v>
      </c>
      <c r="S347" s="25" t="s">
        <v>89</v>
      </c>
      <c r="T347" s="25">
        <v>0</v>
      </c>
      <c r="U347" s="25">
        <v>0</v>
      </c>
      <c r="V347" s="25">
        <v>0</v>
      </c>
      <c r="W347" s="25">
        <v>0</v>
      </c>
      <c r="X347" s="25">
        <v>1</v>
      </c>
      <c r="Y347" s="25">
        <v>0</v>
      </c>
      <c r="Z347" s="25">
        <v>0</v>
      </c>
      <c r="AA347" s="25">
        <v>0</v>
      </c>
      <c r="AB347" s="25">
        <v>0</v>
      </c>
      <c r="AC347" s="25">
        <v>0</v>
      </c>
      <c r="AD347" s="25">
        <v>0</v>
      </c>
      <c r="AE347" s="25">
        <v>1</v>
      </c>
      <c r="AF347" s="25" t="s">
        <v>131</v>
      </c>
    </row>
    <row r="348" spans="1:32" s="25" customFormat="1" x14ac:dyDescent="0.25">
      <c r="A348" s="25" t="s">
        <v>169</v>
      </c>
      <c r="B348" s="25">
        <f t="shared" si="11"/>
        <v>1030</v>
      </c>
      <c r="C348" s="25" t="s">
        <v>12</v>
      </c>
      <c r="D348" s="25">
        <v>0</v>
      </c>
      <c r="E348" s="25">
        <v>0</v>
      </c>
      <c r="F348" s="25">
        <v>256</v>
      </c>
      <c r="G348" s="25">
        <v>222</v>
      </c>
      <c r="H348" s="27">
        <v>0</v>
      </c>
      <c r="I348" s="27">
        <v>0</v>
      </c>
      <c r="J348" s="27">
        <v>0</v>
      </c>
      <c r="K348" s="27">
        <v>0</v>
      </c>
      <c r="L348" s="27">
        <v>1</v>
      </c>
      <c r="M348" s="27">
        <v>0</v>
      </c>
      <c r="N348" s="27">
        <v>0</v>
      </c>
      <c r="O348" s="27">
        <v>0</v>
      </c>
      <c r="P348" s="25">
        <v>700</v>
      </c>
      <c r="Q348" s="25">
        <v>560</v>
      </c>
      <c r="R348" s="25" t="s">
        <v>87</v>
      </c>
      <c r="S348" s="25" t="s">
        <v>89</v>
      </c>
      <c r="T348" s="25">
        <v>0</v>
      </c>
      <c r="U348" s="25">
        <v>0</v>
      </c>
      <c r="V348" s="25">
        <v>0</v>
      </c>
      <c r="W348" s="25">
        <v>0</v>
      </c>
      <c r="X348" s="25">
        <v>1</v>
      </c>
      <c r="Y348" s="25">
        <v>0</v>
      </c>
      <c r="Z348" s="25">
        <v>0</v>
      </c>
      <c r="AA348" s="25">
        <v>0</v>
      </c>
      <c r="AB348" s="25">
        <v>0</v>
      </c>
      <c r="AC348" s="25">
        <v>0</v>
      </c>
      <c r="AD348" s="25">
        <v>0</v>
      </c>
      <c r="AE348" s="25">
        <v>1</v>
      </c>
      <c r="AF348" s="25" t="s">
        <v>131</v>
      </c>
    </row>
    <row r="349" spans="1:32" s="25" customFormat="1" x14ac:dyDescent="0.25">
      <c r="A349" s="25" t="s">
        <v>169</v>
      </c>
      <c r="B349" s="25">
        <f t="shared" si="11"/>
        <v>1040</v>
      </c>
      <c r="C349" s="25" t="s">
        <v>12</v>
      </c>
      <c r="D349" s="25">
        <v>0</v>
      </c>
      <c r="E349" s="25">
        <v>0</v>
      </c>
      <c r="F349" s="25">
        <v>256</v>
      </c>
      <c r="G349" s="25">
        <v>222</v>
      </c>
      <c r="H349" s="27">
        <v>0</v>
      </c>
      <c r="I349" s="27">
        <v>0</v>
      </c>
      <c r="J349" s="27">
        <v>0</v>
      </c>
      <c r="K349" s="27">
        <v>0</v>
      </c>
      <c r="L349" s="27">
        <v>1</v>
      </c>
      <c r="M349" s="27">
        <v>0</v>
      </c>
      <c r="N349" s="27">
        <v>0</v>
      </c>
      <c r="O349" s="27">
        <v>0</v>
      </c>
      <c r="P349" s="25">
        <v>700</v>
      </c>
      <c r="Q349" s="25">
        <v>560</v>
      </c>
      <c r="R349" s="25" t="s">
        <v>87</v>
      </c>
      <c r="S349" s="25" t="s">
        <v>89</v>
      </c>
      <c r="T349" s="25">
        <v>0</v>
      </c>
      <c r="U349" s="25">
        <v>0</v>
      </c>
      <c r="V349" s="25">
        <v>0</v>
      </c>
      <c r="W349" s="25">
        <v>0</v>
      </c>
      <c r="X349" s="25">
        <v>1</v>
      </c>
      <c r="Y349" s="25">
        <v>0</v>
      </c>
      <c r="Z349" s="25">
        <v>0</v>
      </c>
      <c r="AA349" s="25">
        <v>0</v>
      </c>
      <c r="AB349" s="25">
        <v>0</v>
      </c>
      <c r="AC349" s="25">
        <v>0</v>
      </c>
      <c r="AD349" s="25">
        <v>0</v>
      </c>
      <c r="AE349" s="25">
        <v>1</v>
      </c>
      <c r="AF349" s="25" t="s">
        <v>131</v>
      </c>
    </row>
    <row r="350" spans="1:32" s="25" customFormat="1" x14ac:dyDescent="0.25">
      <c r="A350" s="25" t="s">
        <v>169</v>
      </c>
      <c r="B350" s="25">
        <f t="shared" si="11"/>
        <v>1050</v>
      </c>
      <c r="C350" s="25" t="s">
        <v>12</v>
      </c>
      <c r="D350" s="25">
        <v>0</v>
      </c>
      <c r="E350" s="25">
        <v>0</v>
      </c>
      <c r="F350" s="25">
        <v>256</v>
      </c>
      <c r="G350" s="25">
        <v>222</v>
      </c>
      <c r="H350" s="27">
        <v>0</v>
      </c>
      <c r="I350" s="27">
        <v>0</v>
      </c>
      <c r="J350" s="27">
        <v>0</v>
      </c>
      <c r="K350" s="27">
        <v>0</v>
      </c>
      <c r="L350" s="27">
        <v>1</v>
      </c>
      <c r="M350" s="27">
        <v>0</v>
      </c>
      <c r="N350" s="27">
        <v>0</v>
      </c>
      <c r="O350" s="27">
        <v>0</v>
      </c>
      <c r="P350" s="25">
        <v>700</v>
      </c>
      <c r="Q350" s="25">
        <v>560</v>
      </c>
      <c r="R350" s="25" t="s">
        <v>87</v>
      </c>
      <c r="S350" s="25" t="s">
        <v>89</v>
      </c>
      <c r="T350" s="25">
        <v>0</v>
      </c>
      <c r="U350" s="25">
        <v>0</v>
      </c>
      <c r="V350" s="25">
        <v>0</v>
      </c>
      <c r="W350" s="25">
        <v>0</v>
      </c>
      <c r="X350" s="25">
        <v>1</v>
      </c>
      <c r="Y350" s="25">
        <v>0</v>
      </c>
      <c r="Z350" s="25">
        <v>0</v>
      </c>
      <c r="AA350" s="25">
        <v>0</v>
      </c>
      <c r="AB350" s="25">
        <v>0</v>
      </c>
      <c r="AC350" s="25">
        <v>0</v>
      </c>
      <c r="AD350" s="25">
        <v>0</v>
      </c>
      <c r="AE350" s="25">
        <v>1</v>
      </c>
      <c r="AF350" s="25" t="s">
        <v>131</v>
      </c>
    </row>
    <row r="351" spans="1:32" s="25" customFormat="1" x14ac:dyDescent="0.25">
      <c r="A351" s="25" t="s">
        <v>169</v>
      </c>
      <c r="B351" s="25">
        <f t="shared" si="11"/>
        <v>1060</v>
      </c>
      <c r="C351" s="25" t="s">
        <v>12</v>
      </c>
      <c r="D351" s="25">
        <v>0</v>
      </c>
      <c r="E351" s="25">
        <v>0</v>
      </c>
      <c r="F351" s="25">
        <v>256</v>
      </c>
      <c r="G351" s="25">
        <v>222</v>
      </c>
      <c r="H351" s="27">
        <v>0</v>
      </c>
      <c r="I351" s="27">
        <v>0</v>
      </c>
      <c r="J351" s="27">
        <v>0</v>
      </c>
      <c r="K351" s="27">
        <v>0</v>
      </c>
      <c r="L351" s="27">
        <v>1</v>
      </c>
      <c r="M351" s="27">
        <v>0</v>
      </c>
      <c r="N351" s="27">
        <v>0</v>
      </c>
      <c r="O351" s="27">
        <v>0</v>
      </c>
      <c r="P351" s="25">
        <v>700</v>
      </c>
      <c r="Q351" s="25">
        <v>560</v>
      </c>
      <c r="R351" s="25" t="s">
        <v>87</v>
      </c>
      <c r="S351" s="25" t="s">
        <v>89</v>
      </c>
      <c r="T351" s="25">
        <v>0</v>
      </c>
      <c r="U351" s="25">
        <v>0</v>
      </c>
      <c r="V351" s="25">
        <v>0</v>
      </c>
      <c r="W351" s="25">
        <v>0</v>
      </c>
      <c r="X351" s="25">
        <v>1</v>
      </c>
      <c r="Y351" s="25">
        <v>0</v>
      </c>
      <c r="Z351" s="25">
        <v>0</v>
      </c>
      <c r="AA351" s="25">
        <v>0</v>
      </c>
      <c r="AB351" s="25">
        <v>0</v>
      </c>
      <c r="AC351" s="25">
        <v>0</v>
      </c>
      <c r="AD351" s="25">
        <v>0</v>
      </c>
      <c r="AE351" s="25">
        <v>1</v>
      </c>
      <c r="AF351" s="25" t="s">
        <v>131</v>
      </c>
    </row>
    <row r="352" spans="1:32" s="25" customFormat="1" x14ac:dyDescent="0.25">
      <c r="A352" s="25" t="s">
        <v>169</v>
      </c>
      <c r="B352" s="25">
        <f t="shared" si="11"/>
        <v>1070</v>
      </c>
      <c r="C352" s="25" t="s">
        <v>12</v>
      </c>
      <c r="D352" s="25">
        <v>0</v>
      </c>
      <c r="E352" s="25">
        <v>0</v>
      </c>
      <c r="F352" s="25">
        <v>256</v>
      </c>
      <c r="G352" s="25">
        <v>222</v>
      </c>
      <c r="H352" s="27">
        <v>0</v>
      </c>
      <c r="I352" s="27">
        <v>0</v>
      </c>
      <c r="J352" s="27">
        <v>0</v>
      </c>
      <c r="K352" s="27">
        <v>0</v>
      </c>
      <c r="L352" s="27">
        <v>1</v>
      </c>
      <c r="M352" s="27">
        <v>0</v>
      </c>
      <c r="N352" s="27">
        <v>0</v>
      </c>
      <c r="O352" s="27">
        <v>0</v>
      </c>
      <c r="P352" s="25">
        <v>700</v>
      </c>
      <c r="Q352" s="25">
        <v>560</v>
      </c>
      <c r="R352" s="25" t="s">
        <v>87</v>
      </c>
      <c r="S352" s="25" t="s">
        <v>89</v>
      </c>
      <c r="T352" s="25">
        <v>0</v>
      </c>
      <c r="U352" s="25">
        <v>0</v>
      </c>
      <c r="V352" s="25">
        <v>0</v>
      </c>
      <c r="W352" s="25">
        <v>0</v>
      </c>
      <c r="X352" s="25">
        <v>1</v>
      </c>
      <c r="Y352" s="25">
        <v>0</v>
      </c>
      <c r="Z352" s="25">
        <v>0</v>
      </c>
      <c r="AA352" s="25">
        <v>0</v>
      </c>
      <c r="AB352" s="25">
        <v>0</v>
      </c>
      <c r="AC352" s="25">
        <v>0</v>
      </c>
      <c r="AD352" s="25">
        <v>0</v>
      </c>
      <c r="AE352" s="25">
        <v>1</v>
      </c>
      <c r="AF352" s="25" t="s">
        <v>131</v>
      </c>
    </row>
    <row r="353" spans="1:32" s="25" customFormat="1" x14ac:dyDescent="0.25">
      <c r="A353" s="25" t="s">
        <v>169</v>
      </c>
      <c r="B353" s="25">
        <f t="shared" si="11"/>
        <v>1080</v>
      </c>
      <c r="C353" s="25" t="s">
        <v>12</v>
      </c>
      <c r="D353" s="25">
        <v>0</v>
      </c>
      <c r="E353" s="25">
        <v>0</v>
      </c>
      <c r="F353" s="25">
        <v>256</v>
      </c>
      <c r="G353" s="25">
        <v>222</v>
      </c>
      <c r="H353" s="27">
        <v>0</v>
      </c>
      <c r="I353" s="27">
        <v>0</v>
      </c>
      <c r="J353" s="27">
        <v>0</v>
      </c>
      <c r="K353" s="27">
        <v>0</v>
      </c>
      <c r="L353" s="27">
        <v>1</v>
      </c>
      <c r="M353" s="27">
        <v>0</v>
      </c>
      <c r="N353" s="27">
        <v>0</v>
      </c>
      <c r="O353" s="27">
        <v>0</v>
      </c>
      <c r="P353" s="25">
        <v>700</v>
      </c>
      <c r="Q353" s="25">
        <v>560</v>
      </c>
      <c r="R353" s="25" t="s">
        <v>87</v>
      </c>
      <c r="S353" s="25" t="s">
        <v>89</v>
      </c>
      <c r="T353" s="25">
        <v>0</v>
      </c>
      <c r="U353" s="25">
        <v>0</v>
      </c>
      <c r="V353" s="25">
        <v>0</v>
      </c>
      <c r="W353" s="25">
        <v>0</v>
      </c>
      <c r="X353" s="25">
        <v>1</v>
      </c>
      <c r="Y353" s="25">
        <v>0</v>
      </c>
      <c r="Z353" s="25">
        <v>0</v>
      </c>
      <c r="AA353" s="25">
        <v>0</v>
      </c>
      <c r="AB353" s="25">
        <v>0</v>
      </c>
      <c r="AC353" s="25">
        <v>0</v>
      </c>
      <c r="AD353" s="25">
        <v>0</v>
      </c>
      <c r="AE353" s="25">
        <v>1</v>
      </c>
      <c r="AF353" s="25" t="s">
        <v>131</v>
      </c>
    </row>
    <row r="354" spans="1:32" s="25" customFormat="1" x14ac:dyDescent="0.25">
      <c r="A354" s="25" t="s">
        <v>169</v>
      </c>
      <c r="B354" s="25">
        <f t="shared" si="11"/>
        <v>1090</v>
      </c>
      <c r="C354" s="25" t="s">
        <v>12</v>
      </c>
      <c r="D354" s="25">
        <v>0</v>
      </c>
      <c r="E354" s="25">
        <v>0</v>
      </c>
      <c r="F354" s="25">
        <v>256</v>
      </c>
      <c r="G354" s="25">
        <v>222</v>
      </c>
      <c r="H354" s="27">
        <v>0</v>
      </c>
      <c r="I354" s="27">
        <v>0</v>
      </c>
      <c r="J354" s="27">
        <v>0</v>
      </c>
      <c r="K354" s="27">
        <v>0</v>
      </c>
      <c r="L354" s="27">
        <v>1</v>
      </c>
      <c r="M354" s="27">
        <v>0</v>
      </c>
      <c r="N354" s="27">
        <v>0</v>
      </c>
      <c r="O354" s="27">
        <v>0</v>
      </c>
      <c r="P354" s="25">
        <v>700</v>
      </c>
      <c r="Q354" s="25">
        <v>560</v>
      </c>
      <c r="R354" s="25" t="s">
        <v>87</v>
      </c>
      <c r="S354" s="25" t="s">
        <v>89</v>
      </c>
      <c r="T354" s="25">
        <v>0</v>
      </c>
      <c r="U354" s="25">
        <v>0</v>
      </c>
      <c r="V354" s="25">
        <v>0</v>
      </c>
      <c r="W354" s="25">
        <v>0</v>
      </c>
      <c r="X354" s="25">
        <v>1</v>
      </c>
      <c r="Y354" s="25">
        <v>0</v>
      </c>
      <c r="Z354" s="25">
        <v>0</v>
      </c>
      <c r="AA354" s="25">
        <v>0</v>
      </c>
      <c r="AB354" s="25">
        <v>0</v>
      </c>
      <c r="AC354" s="25">
        <v>0</v>
      </c>
      <c r="AD354" s="25">
        <v>0</v>
      </c>
      <c r="AE354" s="25">
        <v>1</v>
      </c>
      <c r="AF354" s="25" t="s">
        <v>131</v>
      </c>
    </row>
    <row r="355" spans="1:32" s="25" customFormat="1" x14ac:dyDescent="0.25">
      <c r="A355" s="25" t="s">
        <v>169</v>
      </c>
      <c r="B355" s="25">
        <f t="shared" si="11"/>
        <v>1100</v>
      </c>
      <c r="C355" s="25" t="s">
        <v>12</v>
      </c>
      <c r="D355" s="25">
        <v>0</v>
      </c>
      <c r="E355" s="25">
        <v>0</v>
      </c>
      <c r="F355" s="25">
        <v>256</v>
      </c>
      <c r="G355" s="25">
        <v>222</v>
      </c>
      <c r="H355" s="27">
        <v>0</v>
      </c>
      <c r="I355" s="27">
        <v>0</v>
      </c>
      <c r="J355" s="27">
        <v>0</v>
      </c>
      <c r="K355" s="27">
        <v>0</v>
      </c>
      <c r="L355" s="27">
        <v>1</v>
      </c>
      <c r="M355" s="27">
        <v>0</v>
      </c>
      <c r="N355" s="27">
        <v>0</v>
      </c>
      <c r="O355" s="27">
        <v>0</v>
      </c>
      <c r="P355" s="25">
        <v>700</v>
      </c>
      <c r="Q355" s="25">
        <v>560</v>
      </c>
      <c r="R355" s="25" t="s">
        <v>87</v>
      </c>
      <c r="S355" s="25" t="s">
        <v>89</v>
      </c>
      <c r="T355" s="25">
        <v>0</v>
      </c>
      <c r="U355" s="25">
        <v>0</v>
      </c>
      <c r="V355" s="25">
        <v>0</v>
      </c>
      <c r="W355" s="25">
        <v>0</v>
      </c>
      <c r="X355" s="25">
        <v>1</v>
      </c>
      <c r="Y355" s="25">
        <v>0</v>
      </c>
      <c r="Z355" s="25">
        <v>0</v>
      </c>
      <c r="AA355" s="25">
        <v>0</v>
      </c>
      <c r="AB355" s="25">
        <v>0</v>
      </c>
      <c r="AC355" s="25">
        <v>0</v>
      </c>
      <c r="AD355" s="25">
        <v>0</v>
      </c>
      <c r="AE355" s="25">
        <v>1</v>
      </c>
      <c r="AF355" s="25" t="s">
        <v>131</v>
      </c>
    </row>
    <row r="356" spans="1:32" s="25" customFormat="1" x14ac:dyDescent="0.25">
      <c r="A356" s="25" t="s">
        <v>169</v>
      </c>
      <c r="B356" s="25">
        <f t="shared" si="11"/>
        <v>1110</v>
      </c>
      <c r="C356" s="25" t="s">
        <v>12</v>
      </c>
      <c r="D356" s="25">
        <v>0</v>
      </c>
      <c r="E356" s="25">
        <v>0</v>
      </c>
      <c r="F356" s="25">
        <v>256</v>
      </c>
      <c r="G356" s="25">
        <v>222</v>
      </c>
      <c r="H356" s="27">
        <v>0</v>
      </c>
      <c r="I356" s="27">
        <v>0</v>
      </c>
      <c r="J356" s="27">
        <v>0</v>
      </c>
      <c r="K356" s="27">
        <v>0</v>
      </c>
      <c r="L356" s="27">
        <v>1</v>
      </c>
      <c r="M356" s="27">
        <v>0</v>
      </c>
      <c r="N356" s="27">
        <v>0</v>
      </c>
      <c r="O356" s="27">
        <v>0</v>
      </c>
      <c r="P356" s="25">
        <v>700</v>
      </c>
      <c r="Q356" s="25">
        <v>560</v>
      </c>
      <c r="R356" s="25" t="s">
        <v>87</v>
      </c>
      <c r="S356" s="25" t="s">
        <v>89</v>
      </c>
      <c r="T356" s="25">
        <v>0</v>
      </c>
      <c r="U356" s="25">
        <v>0</v>
      </c>
      <c r="V356" s="25">
        <v>0</v>
      </c>
      <c r="W356" s="25">
        <v>0</v>
      </c>
      <c r="X356" s="25">
        <v>1</v>
      </c>
      <c r="Y356" s="25">
        <v>0</v>
      </c>
      <c r="Z356" s="25">
        <v>0</v>
      </c>
      <c r="AA356" s="25">
        <v>0</v>
      </c>
      <c r="AB356" s="25">
        <v>0</v>
      </c>
      <c r="AC356" s="25">
        <v>0</v>
      </c>
      <c r="AD356" s="25">
        <v>0</v>
      </c>
      <c r="AE356" s="25">
        <v>1</v>
      </c>
      <c r="AF356" s="25" t="s">
        <v>131</v>
      </c>
    </row>
    <row r="357" spans="1:32" s="25" customFormat="1" x14ac:dyDescent="0.25">
      <c r="A357" s="25" t="s">
        <v>169</v>
      </c>
      <c r="B357" s="25">
        <f t="shared" si="11"/>
        <v>1120</v>
      </c>
      <c r="C357" s="25" t="s">
        <v>12</v>
      </c>
      <c r="D357" s="25">
        <v>0</v>
      </c>
      <c r="E357" s="25">
        <v>0</v>
      </c>
      <c r="F357" s="25">
        <v>256</v>
      </c>
      <c r="G357" s="25">
        <v>222</v>
      </c>
      <c r="H357" s="27">
        <v>0</v>
      </c>
      <c r="I357" s="27">
        <v>0</v>
      </c>
      <c r="J357" s="27">
        <v>0</v>
      </c>
      <c r="K357" s="27">
        <v>0</v>
      </c>
      <c r="L357" s="27">
        <v>1</v>
      </c>
      <c r="M357" s="27">
        <v>0</v>
      </c>
      <c r="N357" s="27">
        <v>0</v>
      </c>
      <c r="O357" s="27">
        <v>0</v>
      </c>
      <c r="P357" s="25">
        <v>700</v>
      </c>
      <c r="Q357" s="25">
        <v>560</v>
      </c>
      <c r="R357" s="25" t="s">
        <v>87</v>
      </c>
      <c r="S357" s="25" t="s">
        <v>89</v>
      </c>
      <c r="T357" s="25">
        <v>0</v>
      </c>
      <c r="U357" s="25">
        <v>0</v>
      </c>
      <c r="V357" s="25">
        <v>0</v>
      </c>
      <c r="W357" s="25">
        <v>0</v>
      </c>
      <c r="X357" s="25">
        <v>1</v>
      </c>
      <c r="Y357" s="25">
        <v>0</v>
      </c>
      <c r="Z357" s="25">
        <v>0</v>
      </c>
      <c r="AA357" s="25">
        <v>0</v>
      </c>
      <c r="AB357" s="25">
        <v>0</v>
      </c>
      <c r="AC357" s="25">
        <v>0</v>
      </c>
      <c r="AD357" s="25">
        <v>0</v>
      </c>
      <c r="AE357" s="25">
        <v>1</v>
      </c>
      <c r="AF357" s="25" t="s">
        <v>131</v>
      </c>
    </row>
    <row r="358" spans="1:32" s="25" customFormat="1" x14ac:dyDescent="0.25">
      <c r="A358" s="25" t="s">
        <v>169</v>
      </c>
      <c r="B358" s="25">
        <f t="shared" si="11"/>
        <v>1130</v>
      </c>
      <c r="C358" s="25" t="s">
        <v>12</v>
      </c>
      <c r="D358" s="25">
        <v>0</v>
      </c>
      <c r="E358" s="25">
        <v>0</v>
      </c>
      <c r="F358" s="25">
        <v>256</v>
      </c>
      <c r="G358" s="25">
        <v>222</v>
      </c>
      <c r="H358" s="27">
        <v>0</v>
      </c>
      <c r="I358" s="27">
        <v>0</v>
      </c>
      <c r="J358" s="27">
        <v>0</v>
      </c>
      <c r="K358" s="27">
        <v>0</v>
      </c>
      <c r="L358" s="27">
        <v>1</v>
      </c>
      <c r="M358" s="27">
        <v>0</v>
      </c>
      <c r="N358" s="27">
        <v>0</v>
      </c>
      <c r="O358" s="27">
        <v>0</v>
      </c>
      <c r="P358" s="25">
        <v>700</v>
      </c>
      <c r="Q358" s="25">
        <v>560</v>
      </c>
      <c r="R358" s="25" t="s">
        <v>87</v>
      </c>
      <c r="S358" s="25" t="s">
        <v>89</v>
      </c>
      <c r="T358" s="25">
        <v>0</v>
      </c>
      <c r="U358" s="25">
        <v>0</v>
      </c>
      <c r="V358" s="25">
        <v>0</v>
      </c>
      <c r="W358" s="25">
        <v>0</v>
      </c>
      <c r="X358" s="25">
        <v>1</v>
      </c>
      <c r="Y358" s="25">
        <v>0</v>
      </c>
      <c r="Z358" s="25">
        <v>0</v>
      </c>
      <c r="AA358" s="25">
        <v>0</v>
      </c>
      <c r="AB358" s="25">
        <v>0</v>
      </c>
      <c r="AC358" s="25">
        <v>0</v>
      </c>
      <c r="AD358" s="25">
        <v>0</v>
      </c>
      <c r="AE358" s="25">
        <v>1</v>
      </c>
      <c r="AF358" s="25" t="s">
        <v>131</v>
      </c>
    </row>
    <row r="359" spans="1:32" s="25" customFormat="1" x14ac:dyDescent="0.25">
      <c r="A359" s="25" t="s">
        <v>169</v>
      </c>
      <c r="B359" s="25">
        <f t="shared" si="11"/>
        <v>1140</v>
      </c>
      <c r="C359" s="25" t="s">
        <v>12</v>
      </c>
      <c r="D359" s="25">
        <v>0</v>
      </c>
      <c r="E359" s="25">
        <v>0</v>
      </c>
      <c r="F359" s="25">
        <v>256</v>
      </c>
      <c r="G359" s="25">
        <v>222</v>
      </c>
      <c r="H359" s="27">
        <v>0</v>
      </c>
      <c r="I359" s="27">
        <v>0</v>
      </c>
      <c r="J359" s="27">
        <v>0</v>
      </c>
      <c r="K359" s="27">
        <v>0</v>
      </c>
      <c r="L359" s="27">
        <v>1</v>
      </c>
      <c r="M359" s="27">
        <v>0</v>
      </c>
      <c r="N359" s="27">
        <v>0</v>
      </c>
      <c r="O359" s="27">
        <v>0</v>
      </c>
      <c r="P359" s="25">
        <v>700</v>
      </c>
      <c r="Q359" s="25">
        <v>560</v>
      </c>
      <c r="R359" s="25" t="s">
        <v>87</v>
      </c>
      <c r="S359" s="25" t="s">
        <v>89</v>
      </c>
      <c r="T359" s="25">
        <v>0</v>
      </c>
      <c r="U359" s="25">
        <v>0</v>
      </c>
      <c r="V359" s="25">
        <v>0</v>
      </c>
      <c r="W359" s="25">
        <v>0</v>
      </c>
      <c r="X359" s="25">
        <v>1</v>
      </c>
      <c r="Y359" s="25">
        <v>0</v>
      </c>
      <c r="Z359" s="25">
        <v>0</v>
      </c>
      <c r="AA359" s="25">
        <v>0</v>
      </c>
      <c r="AB359" s="25">
        <v>0</v>
      </c>
      <c r="AC359" s="25">
        <v>0</v>
      </c>
      <c r="AD359" s="25">
        <v>0</v>
      </c>
      <c r="AE359" s="25">
        <v>1</v>
      </c>
      <c r="AF359" s="25" t="s">
        <v>131</v>
      </c>
    </row>
    <row r="360" spans="1:32" s="25" customFormat="1" x14ac:dyDescent="0.25">
      <c r="A360" s="25" t="s">
        <v>169</v>
      </c>
      <c r="B360" s="25">
        <f t="shared" si="11"/>
        <v>1150</v>
      </c>
      <c r="C360" s="25" t="s">
        <v>12</v>
      </c>
      <c r="D360" s="25">
        <v>0</v>
      </c>
      <c r="E360" s="25">
        <v>0</v>
      </c>
      <c r="F360" s="25">
        <v>256</v>
      </c>
      <c r="G360" s="25">
        <v>222</v>
      </c>
      <c r="H360" s="27">
        <v>0</v>
      </c>
      <c r="I360" s="27">
        <v>0</v>
      </c>
      <c r="J360" s="27">
        <v>0</v>
      </c>
      <c r="K360" s="27">
        <v>0</v>
      </c>
      <c r="L360" s="27">
        <v>1</v>
      </c>
      <c r="M360" s="27">
        <v>0</v>
      </c>
      <c r="N360" s="27">
        <v>0</v>
      </c>
      <c r="O360" s="27">
        <v>0</v>
      </c>
      <c r="P360" s="25">
        <v>700</v>
      </c>
      <c r="Q360" s="25">
        <v>560</v>
      </c>
      <c r="R360" s="25" t="s">
        <v>87</v>
      </c>
      <c r="S360" s="25" t="s">
        <v>89</v>
      </c>
      <c r="T360" s="25">
        <v>0</v>
      </c>
      <c r="U360" s="25">
        <v>0</v>
      </c>
      <c r="V360" s="25">
        <v>0</v>
      </c>
      <c r="W360" s="25">
        <v>0</v>
      </c>
      <c r="X360" s="25">
        <v>1</v>
      </c>
      <c r="Y360" s="25">
        <v>0</v>
      </c>
      <c r="Z360" s="25">
        <v>0</v>
      </c>
      <c r="AA360" s="25">
        <v>0</v>
      </c>
      <c r="AB360" s="25">
        <v>0</v>
      </c>
      <c r="AC360" s="25">
        <v>0</v>
      </c>
      <c r="AD360" s="25">
        <v>0</v>
      </c>
      <c r="AE360" s="25">
        <v>1</v>
      </c>
      <c r="AF360" s="25" t="s">
        <v>131</v>
      </c>
    </row>
    <row r="361" spans="1:32" s="25" customFormat="1" x14ac:dyDescent="0.25">
      <c r="A361" s="25" t="s">
        <v>169</v>
      </c>
      <c r="B361" s="25">
        <f t="shared" si="11"/>
        <v>1160</v>
      </c>
      <c r="C361" s="25" t="s">
        <v>12</v>
      </c>
      <c r="D361" s="25">
        <v>0</v>
      </c>
      <c r="E361" s="25">
        <v>0</v>
      </c>
      <c r="F361" s="25">
        <v>256</v>
      </c>
      <c r="G361" s="25">
        <v>222</v>
      </c>
      <c r="H361" s="27">
        <v>0</v>
      </c>
      <c r="I361" s="27">
        <v>0</v>
      </c>
      <c r="J361" s="27">
        <v>0</v>
      </c>
      <c r="K361" s="27">
        <v>0</v>
      </c>
      <c r="L361" s="27">
        <v>1</v>
      </c>
      <c r="M361" s="27">
        <v>0</v>
      </c>
      <c r="N361" s="27">
        <v>0</v>
      </c>
      <c r="O361" s="27">
        <v>0</v>
      </c>
      <c r="P361" s="25">
        <v>700</v>
      </c>
      <c r="Q361" s="25">
        <v>560</v>
      </c>
      <c r="R361" s="25" t="s">
        <v>87</v>
      </c>
      <c r="S361" s="25" t="s">
        <v>89</v>
      </c>
      <c r="T361" s="25">
        <v>0</v>
      </c>
      <c r="U361" s="25">
        <v>0</v>
      </c>
      <c r="V361" s="25">
        <v>0</v>
      </c>
      <c r="W361" s="25">
        <v>0</v>
      </c>
      <c r="X361" s="25">
        <v>1</v>
      </c>
      <c r="Y361" s="25">
        <v>0</v>
      </c>
      <c r="Z361" s="25">
        <v>0</v>
      </c>
      <c r="AA361" s="25">
        <v>0</v>
      </c>
      <c r="AB361" s="25">
        <v>0</v>
      </c>
      <c r="AC361" s="25">
        <v>0</v>
      </c>
      <c r="AD361" s="25">
        <v>0</v>
      </c>
      <c r="AE361" s="25">
        <v>1</v>
      </c>
      <c r="AF361" s="25" t="s">
        <v>131</v>
      </c>
    </row>
    <row r="362" spans="1:32" s="25" customFormat="1" x14ac:dyDescent="0.25">
      <c r="A362" s="25" t="s">
        <v>169</v>
      </c>
      <c r="B362" s="25">
        <f t="shared" si="11"/>
        <v>1170</v>
      </c>
      <c r="C362" s="25" t="s">
        <v>12</v>
      </c>
      <c r="D362" s="25">
        <v>0</v>
      </c>
      <c r="E362" s="25">
        <v>0</v>
      </c>
      <c r="F362" s="25">
        <v>256</v>
      </c>
      <c r="G362" s="25">
        <v>222</v>
      </c>
      <c r="H362" s="27">
        <v>0</v>
      </c>
      <c r="I362" s="27">
        <v>0</v>
      </c>
      <c r="J362" s="27">
        <v>0</v>
      </c>
      <c r="K362" s="27">
        <v>0</v>
      </c>
      <c r="L362" s="27">
        <v>1</v>
      </c>
      <c r="M362" s="27">
        <v>0</v>
      </c>
      <c r="N362" s="27">
        <v>0</v>
      </c>
      <c r="O362" s="27">
        <v>0</v>
      </c>
      <c r="P362" s="25">
        <v>700</v>
      </c>
      <c r="Q362" s="25">
        <v>560</v>
      </c>
      <c r="R362" s="25" t="s">
        <v>87</v>
      </c>
      <c r="S362" s="25" t="s">
        <v>89</v>
      </c>
      <c r="T362" s="25">
        <v>0</v>
      </c>
      <c r="U362" s="25">
        <v>0</v>
      </c>
      <c r="V362" s="25">
        <v>0</v>
      </c>
      <c r="W362" s="25">
        <v>0</v>
      </c>
      <c r="X362" s="25">
        <v>1</v>
      </c>
      <c r="Y362" s="25">
        <v>0</v>
      </c>
      <c r="Z362" s="25">
        <v>0</v>
      </c>
      <c r="AA362" s="25">
        <v>0</v>
      </c>
      <c r="AB362" s="25">
        <v>0</v>
      </c>
      <c r="AC362" s="25">
        <v>0</v>
      </c>
      <c r="AD362" s="25">
        <v>0</v>
      </c>
      <c r="AE362" s="25">
        <v>1</v>
      </c>
      <c r="AF362" s="25" t="s">
        <v>131</v>
      </c>
    </row>
    <row r="363" spans="1:32" s="25" customFormat="1" x14ac:dyDescent="0.25">
      <c r="A363" s="25" t="s">
        <v>169</v>
      </c>
      <c r="B363" s="25">
        <f t="shared" si="11"/>
        <v>1180</v>
      </c>
      <c r="C363" s="25" t="s">
        <v>12</v>
      </c>
      <c r="D363" s="25">
        <v>0</v>
      </c>
      <c r="E363" s="25">
        <v>0</v>
      </c>
      <c r="F363" s="25">
        <v>256</v>
      </c>
      <c r="G363" s="25">
        <v>222</v>
      </c>
      <c r="H363" s="27">
        <v>0</v>
      </c>
      <c r="I363" s="27">
        <v>0</v>
      </c>
      <c r="J363" s="27">
        <v>0</v>
      </c>
      <c r="K363" s="27">
        <v>0</v>
      </c>
      <c r="L363" s="27">
        <v>1</v>
      </c>
      <c r="M363" s="27">
        <v>0</v>
      </c>
      <c r="N363" s="27">
        <v>0</v>
      </c>
      <c r="O363" s="27">
        <v>0</v>
      </c>
      <c r="P363" s="25">
        <v>700</v>
      </c>
      <c r="Q363" s="25">
        <v>560</v>
      </c>
      <c r="R363" s="25" t="s">
        <v>87</v>
      </c>
      <c r="S363" s="25" t="s">
        <v>89</v>
      </c>
      <c r="T363" s="25">
        <v>0</v>
      </c>
      <c r="U363" s="25">
        <v>0</v>
      </c>
      <c r="V363" s="25">
        <v>0</v>
      </c>
      <c r="W363" s="25">
        <v>0</v>
      </c>
      <c r="X363" s="25">
        <v>1</v>
      </c>
      <c r="Y363" s="25">
        <v>0</v>
      </c>
      <c r="Z363" s="25">
        <v>0</v>
      </c>
      <c r="AA363" s="25">
        <v>0</v>
      </c>
      <c r="AB363" s="25">
        <v>0</v>
      </c>
      <c r="AC363" s="25">
        <v>0</v>
      </c>
      <c r="AD363" s="25">
        <v>0</v>
      </c>
      <c r="AE363" s="25">
        <v>1</v>
      </c>
      <c r="AF363" s="25" t="s">
        <v>131</v>
      </c>
    </row>
    <row r="364" spans="1:32" s="25" customFormat="1" x14ac:dyDescent="0.25">
      <c r="A364" s="25" t="s">
        <v>169</v>
      </c>
      <c r="B364" s="25">
        <f t="shared" si="11"/>
        <v>1190</v>
      </c>
      <c r="C364" s="25" t="s">
        <v>12</v>
      </c>
      <c r="D364" s="25">
        <v>0</v>
      </c>
      <c r="E364" s="25">
        <v>0</v>
      </c>
      <c r="F364" s="25">
        <v>256</v>
      </c>
      <c r="G364" s="25">
        <v>222</v>
      </c>
      <c r="H364" s="27">
        <v>0</v>
      </c>
      <c r="I364" s="27">
        <v>0</v>
      </c>
      <c r="J364" s="27">
        <v>0</v>
      </c>
      <c r="K364" s="27">
        <v>0</v>
      </c>
      <c r="L364" s="27">
        <v>1</v>
      </c>
      <c r="M364" s="27">
        <v>0</v>
      </c>
      <c r="N364" s="27">
        <v>0</v>
      </c>
      <c r="O364" s="27">
        <v>0</v>
      </c>
      <c r="P364" s="25">
        <v>700</v>
      </c>
      <c r="Q364" s="25">
        <v>560</v>
      </c>
      <c r="R364" s="25" t="s">
        <v>87</v>
      </c>
      <c r="S364" s="25" t="s">
        <v>89</v>
      </c>
      <c r="T364" s="25">
        <v>0</v>
      </c>
      <c r="U364" s="25">
        <v>0</v>
      </c>
      <c r="V364" s="25">
        <v>0</v>
      </c>
      <c r="W364" s="25">
        <v>0</v>
      </c>
      <c r="X364" s="25">
        <v>1</v>
      </c>
      <c r="Y364" s="25">
        <v>0</v>
      </c>
      <c r="Z364" s="25">
        <v>0</v>
      </c>
      <c r="AA364" s="25">
        <v>0</v>
      </c>
      <c r="AB364" s="25">
        <v>0</v>
      </c>
      <c r="AC364" s="25">
        <v>0</v>
      </c>
      <c r="AD364" s="25">
        <v>0</v>
      </c>
      <c r="AE364" s="25">
        <v>1</v>
      </c>
      <c r="AF364" s="25" t="s">
        <v>131</v>
      </c>
    </row>
    <row r="365" spans="1:32" s="25" customFormat="1" x14ac:dyDescent="0.25">
      <c r="A365" s="25" t="s">
        <v>169</v>
      </c>
      <c r="B365" s="25">
        <f t="shared" si="11"/>
        <v>1200</v>
      </c>
      <c r="C365" s="25" t="s">
        <v>12</v>
      </c>
      <c r="D365" s="25">
        <v>0</v>
      </c>
      <c r="E365" s="25">
        <v>0</v>
      </c>
      <c r="F365" s="25">
        <v>256</v>
      </c>
      <c r="G365" s="25">
        <v>222</v>
      </c>
      <c r="H365" s="27">
        <v>0</v>
      </c>
      <c r="I365" s="27">
        <v>0</v>
      </c>
      <c r="J365" s="27">
        <v>0</v>
      </c>
      <c r="K365" s="27">
        <v>0</v>
      </c>
      <c r="L365" s="27">
        <v>1</v>
      </c>
      <c r="M365" s="27">
        <v>0</v>
      </c>
      <c r="N365" s="27">
        <v>0</v>
      </c>
      <c r="O365" s="27">
        <v>0</v>
      </c>
      <c r="P365" s="25">
        <v>700</v>
      </c>
      <c r="Q365" s="25">
        <v>560</v>
      </c>
      <c r="R365" s="25" t="s">
        <v>87</v>
      </c>
      <c r="S365" s="25" t="s">
        <v>89</v>
      </c>
      <c r="T365" s="25">
        <v>0</v>
      </c>
      <c r="U365" s="25">
        <v>0</v>
      </c>
      <c r="V365" s="25">
        <v>0</v>
      </c>
      <c r="W365" s="25">
        <v>0</v>
      </c>
      <c r="X365" s="25">
        <v>1</v>
      </c>
      <c r="Y365" s="25">
        <v>0</v>
      </c>
      <c r="Z365" s="25">
        <v>0</v>
      </c>
      <c r="AA365" s="25">
        <v>0</v>
      </c>
      <c r="AB365" s="25">
        <v>0</v>
      </c>
      <c r="AC365" s="25">
        <v>0</v>
      </c>
      <c r="AD365" s="25">
        <v>0</v>
      </c>
      <c r="AE365" s="25">
        <v>1</v>
      </c>
      <c r="AF365" s="25" t="s">
        <v>131</v>
      </c>
    </row>
    <row r="366" spans="1:32" s="25" customFormat="1" x14ac:dyDescent="0.25">
      <c r="A366" s="25" t="s">
        <v>169</v>
      </c>
      <c r="B366" s="25">
        <f t="shared" si="11"/>
        <v>1210</v>
      </c>
      <c r="C366" s="25" t="s">
        <v>12</v>
      </c>
      <c r="D366" s="25">
        <v>0</v>
      </c>
      <c r="E366" s="25">
        <v>0</v>
      </c>
      <c r="F366" s="25">
        <v>256</v>
      </c>
      <c r="G366" s="25">
        <v>222</v>
      </c>
      <c r="H366" s="27">
        <v>0</v>
      </c>
      <c r="I366" s="27">
        <v>0</v>
      </c>
      <c r="J366" s="27">
        <v>0</v>
      </c>
      <c r="K366" s="27">
        <v>0</v>
      </c>
      <c r="L366" s="27">
        <v>1</v>
      </c>
      <c r="M366" s="27">
        <v>0</v>
      </c>
      <c r="N366" s="27">
        <v>0</v>
      </c>
      <c r="O366" s="27">
        <v>0</v>
      </c>
      <c r="P366" s="25">
        <v>700</v>
      </c>
      <c r="Q366" s="25">
        <v>560</v>
      </c>
      <c r="R366" s="25" t="s">
        <v>87</v>
      </c>
      <c r="S366" s="25" t="s">
        <v>89</v>
      </c>
      <c r="T366" s="25">
        <v>0</v>
      </c>
      <c r="U366" s="25">
        <v>0</v>
      </c>
      <c r="V366" s="25">
        <v>0</v>
      </c>
      <c r="W366" s="25">
        <v>0</v>
      </c>
      <c r="X366" s="25">
        <v>1</v>
      </c>
      <c r="Y366" s="25">
        <v>0</v>
      </c>
      <c r="Z366" s="25">
        <v>0</v>
      </c>
      <c r="AA366" s="25">
        <v>0</v>
      </c>
      <c r="AB366" s="25">
        <v>0</v>
      </c>
      <c r="AC366" s="25">
        <v>0</v>
      </c>
      <c r="AD366" s="25">
        <v>0</v>
      </c>
      <c r="AE366" s="25">
        <v>1</v>
      </c>
      <c r="AF366" s="25" t="s">
        <v>131</v>
      </c>
    </row>
    <row r="367" spans="1:32" s="25" customFormat="1" x14ac:dyDescent="0.25">
      <c r="A367" s="25" t="s">
        <v>169</v>
      </c>
      <c r="B367" s="25">
        <f t="shared" si="11"/>
        <v>1220</v>
      </c>
      <c r="C367" s="25" t="s">
        <v>12</v>
      </c>
      <c r="D367" s="25">
        <v>0</v>
      </c>
      <c r="E367" s="25">
        <v>0</v>
      </c>
      <c r="F367" s="25">
        <v>256</v>
      </c>
      <c r="G367" s="25">
        <v>222</v>
      </c>
      <c r="H367" s="27">
        <v>0</v>
      </c>
      <c r="I367" s="27">
        <v>0</v>
      </c>
      <c r="J367" s="27">
        <v>0</v>
      </c>
      <c r="K367" s="27">
        <v>0</v>
      </c>
      <c r="L367" s="27">
        <v>1</v>
      </c>
      <c r="M367" s="27">
        <v>0</v>
      </c>
      <c r="N367" s="27">
        <v>0</v>
      </c>
      <c r="O367" s="27">
        <v>0</v>
      </c>
      <c r="P367" s="25">
        <v>700</v>
      </c>
      <c r="Q367" s="25">
        <v>560</v>
      </c>
      <c r="R367" s="25" t="s">
        <v>87</v>
      </c>
      <c r="S367" s="25" t="s">
        <v>89</v>
      </c>
      <c r="T367" s="25">
        <v>0</v>
      </c>
      <c r="U367" s="25">
        <v>0</v>
      </c>
      <c r="V367" s="25">
        <v>0</v>
      </c>
      <c r="W367" s="25">
        <v>0</v>
      </c>
      <c r="X367" s="25">
        <v>1</v>
      </c>
      <c r="Y367" s="25">
        <v>0</v>
      </c>
      <c r="Z367" s="25">
        <v>0</v>
      </c>
      <c r="AA367" s="25">
        <v>0</v>
      </c>
      <c r="AB367" s="25">
        <v>0</v>
      </c>
      <c r="AC367" s="25">
        <v>0</v>
      </c>
      <c r="AD367" s="25">
        <v>0</v>
      </c>
      <c r="AE367" s="25">
        <v>1</v>
      </c>
      <c r="AF367" s="25" t="s">
        <v>131</v>
      </c>
    </row>
    <row r="368" spans="1:32" s="25" customFormat="1" x14ac:dyDescent="0.25">
      <c r="A368" s="25" t="s">
        <v>169</v>
      </c>
      <c r="B368" s="25">
        <f t="shared" si="11"/>
        <v>1230</v>
      </c>
      <c r="C368" s="25" t="s">
        <v>12</v>
      </c>
      <c r="D368" s="25">
        <v>0</v>
      </c>
      <c r="E368" s="25">
        <v>0</v>
      </c>
      <c r="F368" s="25">
        <v>256</v>
      </c>
      <c r="G368" s="25">
        <v>222</v>
      </c>
      <c r="H368" s="27">
        <v>0</v>
      </c>
      <c r="I368" s="27">
        <v>0</v>
      </c>
      <c r="J368" s="27">
        <v>0</v>
      </c>
      <c r="K368" s="27">
        <v>0</v>
      </c>
      <c r="L368" s="27">
        <v>1</v>
      </c>
      <c r="M368" s="27">
        <v>0</v>
      </c>
      <c r="N368" s="27">
        <v>0</v>
      </c>
      <c r="O368" s="27">
        <v>0</v>
      </c>
      <c r="P368" s="25">
        <v>700</v>
      </c>
      <c r="Q368" s="25">
        <v>560</v>
      </c>
      <c r="R368" s="25" t="s">
        <v>87</v>
      </c>
      <c r="S368" s="25" t="s">
        <v>89</v>
      </c>
      <c r="T368" s="25">
        <v>0</v>
      </c>
      <c r="U368" s="25">
        <v>0</v>
      </c>
      <c r="V368" s="25">
        <v>0</v>
      </c>
      <c r="W368" s="25">
        <v>0</v>
      </c>
      <c r="X368" s="25">
        <v>1</v>
      </c>
      <c r="Y368" s="25">
        <v>0</v>
      </c>
      <c r="Z368" s="25">
        <v>0</v>
      </c>
      <c r="AA368" s="25">
        <v>0</v>
      </c>
      <c r="AB368" s="25">
        <v>0</v>
      </c>
      <c r="AC368" s="25">
        <v>0</v>
      </c>
      <c r="AD368" s="25">
        <v>0</v>
      </c>
      <c r="AE368" s="25">
        <v>1</v>
      </c>
      <c r="AF368" s="25" t="s">
        <v>131</v>
      </c>
    </row>
    <row r="369" spans="1:32" s="25" customFormat="1" x14ac:dyDescent="0.25">
      <c r="A369" s="25" t="s">
        <v>169</v>
      </c>
      <c r="B369" s="25">
        <f t="shared" si="11"/>
        <v>1240</v>
      </c>
      <c r="C369" s="25" t="s">
        <v>12</v>
      </c>
      <c r="D369" s="25">
        <v>0</v>
      </c>
      <c r="E369" s="25">
        <v>0</v>
      </c>
      <c r="F369" s="25">
        <v>256</v>
      </c>
      <c r="G369" s="25">
        <v>222</v>
      </c>
      <c r="H369" s="27">
        <v>0</v>
      </c>
      <c r="I369" s="27">
        <v>0</v>
      </c>
      <c r="J369" s="27">
        <v>0</v>
      </c>
      <c r="K369" s="27">
        <v>0</v>
      </c>
      <c r="L369" s="27">
        <v>1</v>
      </c>
      <c r="M369" s="27">
        <v>0</v>
      </c>
      <c r="N369" s="27">
        <v>0</v>
      </c>
      <c r="O369" s="27">
        <v>0</v>
      </c>
      <c r="P369" s="25">
        <v>700</v>
      </c>
      <c r="Q369" s="25">
        <v>560</v>
      </c>
      <c r="R369" s="25" t="s">
        <v>87</v>
      </c>
      <c r="S369" s="25" t="s">
        <v>89</v>
      </c>
      <c r="T369" s="25">
        <v>0</v>
      </c>
      <c r="U369" s="25">
        <v>0</v>
      </c>
      <c r="V369" s="25">
        <v>0</v>
      </c>
      <c r="W369" s="25">
        <v>0</v>
      </c>
      <c r="X369" s="25">
        <v>1</v>
      </c>
      <c r="Y369" s="25">
        <v>0</v>
      </c>
      <c r="Z369" s="25">
        <v>0</v>
      </c>
      <c r="AA369" s="25">
        <v>0</v>
      </c>
      <c r="AB369" s="25">
        <v>0</v>
      </c>
      <c r="AC369" s="25">
        <v>0</v>
      </c>
      <c r="AD369" s="25">
        <v>0</v>
      </c>
      <c r="AE369" s="25">
        <v>1</v>
      </c>
      <c r="AF369" s="25" t="s">
        <v>131</v>
      </c>
    </row>
    <row r="370" spans="1:32" s="25" customFormat="1" x14ac:dyDescent="0.25">
      <c r="A370" s="25" t="s">
        <v>169</v>
      </c>
      <c r="B370" s="25">
        <f t="shared" si="11"/>
        <v>1250</v>
      </c>
      <c r="C370" s="25" t="s">
        <v>12</v>
      </c>
      <c r="D370" s="25">
        <v>0</v>
      </c>
      <c r="E370" s="25">
        <v>0</v>
      </c>
      <c r="F370" s="25">
        <v>256</v>
      </c>
      <c r="G370" s="25">
        <v>222</v>
      </c>
      <c r="H370" s="27">
        <v>0</v>
      </c>
      <c r="I370" s="27">
        <v>0</v>
      </c>
      <c r="J370" s="27">
        <v>0</v>
      </c>
      <c r="K370" s="27">
        <v>0</v>
      </c>
      <c r="L370" s="27">
        <v>1</v>
      </c>
      <c r="M370" s="27">
        <v>0</v>
      </c>
      <c r="N370" s="27">
        <v>0</v>
      </c>
      <c r="O370" s="27">
        <v>0</v>
      </c>
      <c r="P370" s="25">
        <v>700</v>
      </c>
      <c r="Q370" s="25">
        <v>560</v>
      </c>
      <c r="R370" s="25" t="s">
        <v>87</v>
      </c>
      <c r="S370" s="25" t="s">
        <v>89</v>
      </c>
      <c r="T370" s="25">
        <v>0</v>
      </c>
      <c r="U370" s="25">
        <v>0</v>
      </c>
      <c r="V370" s="25">
        <v>0</v>
      </c>
      <c r="W370" s="25">
        <v>0</v>
      </c>
      <c r="X370" s="25">
        <v>1</v>
      </c>
      <c r="Y370" s="25">
        <v>0</v>
      </c>
      <c r="Z370" s="25">
        <v>0</v>
      </c>
      <c r="AA370" s="25">
        <v>0</v>
      </c>
      <c r="AB370" s="25">
        <v>0</v>
      </c>
      <c r="AC370" s="25">
        <v>0</v>
      </c>
      <c r="AD370" s="25">
        <v>0</v>
      </c>
      <c r="AE370" s="25">
        <v>1</v>
      </c>
      <c r="AF370" s="25" t="s">
        <v>131</v>
      </c>
    </row>
    <row r="371" spans="1:32" s="25" customFormat="1" x14ac:dyDescent="0.25">
      <c r="A371" s="25" t="s">
        <v>169</v>
      </c>
      <c r="B371" s="25">
        <f t="shared" si="11"/>
        <v>1260</v>
      </c>
      <c r="C371" s="25" t="s">
        <v>12</v>
      </c>
      <c r="D371" s="25">
        <v>0</v>
      </c>
      <c r="E371" s="25">
        <v>0</v>
      </c>
      <c r="F371" s="25">
        <v>256</v>
      </c>
      <c r="G371" s="25">
        <v>222</v>
      </c>
      <c r="H371" s="27">
        <v>0</v>
      </c>
      <c r="I371" s="27">
        <v>0</v>
      </c>
      <c r="J371" s="27">
        <v>0</v>
      </c>
      <c r="K371" s="27">
        <v>0</v>
      </c>
      <c r="L371" s="27">
        <v>1</v>
      </c>
      <c r="M371" s="27">
        <v>0</v>
      </c>
      <c r="N371" s="27">
        <v>0</v>
      </c>
      <c r="O371" s="27">
        <v>0</v>
      </c>
      <c r="P371" s="25">
        <v>700</v>
      </c>
      <c r="Q371" s="25">
        <v>560</v>
      </c>
      <c r="R371" s="25" t="s">
        <v>87</v>
      </c>
      <c r="S371" s="25" t="s">
        <v>89</v>
      </c>
      <c r="T371" s="25">
        <v>0</v>
      </c>
      <c r="U371" s="25">
        <v>0</v>
      </c>
      <c r="V371" s="25">
        <v>0</v>
      </c>
      <c r="W371" s="25">
        <v>0</v>
      </c>
      <c r="X371" s="25">
        <v>1</v>
      </c>
      <c r="Y371" s="25">
        <v>0</v>
      </c>
      <c r="Z371" s="25">
        <v>0</v>
      </c>
      <c r="AA371" s="25">
        <v>0</v>
      </c>
      <c r="AB371" s="25">
        <v>0</v>
      </c>
      <c r="AC371" s="25">
        <v>0</v>
      </c>
      <c r="AD371" s="25">
        <v>0</v>
      </c>
      <c r="AE371" s="25">
        <v>1</v>
      </c>
      <c r="AF371" s="25" t="s">
        <v>131</v>
      </c>
    </row>
    <row r="372" spans="1:32" s="25" customFormat="1" x14ac:dyDescent="0.25">
      <c r="A372" s="25" t="s">
        <v>169</v>
      </c>
      <c r="B372" s="25">
        <f t="shared" si="11"/>
        <v>1270</v>
      </c>
      <c r="C372" s="25" t="s">
        <v>12</v>
      </c>
      <c r="D372" s="25">
        <v>0</v>
      </c>
      <c r="E372" s="25">
        <v>0</v>
      </c>
      <c r="F372" s="25">
        <v>256</v>
      </c>
      <c r="G372" s="25">
        <v>222</v>
      </c>
      <c r="H372" s="27">
        <v>0</v>
      </c>
      <c r="I372" s="27">
        <v>0</v>
      </c>
      <c r="J372" s="27">
        <v>0</v>
      </c>
      <c r="K372" s="27">
        <v>0</v>
      </c>
      <c r="L372" s="27">
        <v>1</v>
      </c>
      <c r="M372" s="27">
        <v>0</v>
      </c>
      <c r="N372" s="27">
        <v>0</v>
      </c>
      <c r="O372" s="27">
        <v>0</v>
      </c>
      <c r="P372" s="25">
        <v>700</v>
      </c>
      <c r="Q372" s="25">
        <v>560</v>
      </c>
      <c r="R372" s="25" t="s">
        <v>87</v>
      </c>
      <c r="S372" s="25" t="s">
        <v>89</v>
      </c>
      <c r="T372" s="25">
        <v>0</v>
      </c>
      <c r="U372" s="25">
        <v>0</v>
      </c>
      <c r="V372" s="25">
        <v>0</v>
      </c>
      <c r="W372" s="25">
        <v>0</v>
      </c>
      <c r="X372" s="25">
        <v>1</v>
      </c>
      <c r="Y372" s="25">
        <v>0</v>
      </c>
      <c r="Z372" s="25">
        <v>0</v>
      </c>
      <c r="AA372" s="25">
        <v>0</v>
      </c>
      <c r="AB372" s="25">
        <v>0</v>
      </c>
      <c r="AC372" s="25">
        <v>0</v>
      </c>
      <c r="AD372" s="25">
        <v>0</v>
      </c>
      <c r="AE372" s="25">
        <v>1</v>
      </c>
      <c r="AF372" s="25" t="s">
        <v>131</v>
      </c>
    </row>
    <row r="373" spans="1:32" s="25" customFormat="1" x14ac:dyDescent="0.25">
      <c r="A373" s="25" t="s">
        <v>169</v>
      </c>
      <c r="B373" s="25">
        <f t="shared" si="11"/>
        <v>1280</v>
      </c>
      <c r="C373" s="25" t="s">
        <v>12</v>
      </c>
      <c r="D373" s="25">
        <v>0</v>
      </c>
      <c r="E373" s="25">
        <v>0</v>
      </c>
      <c r="F373" s="25">
        <v>256</v>
      </c>
      <c r="G373" s="25">
        <v>222</v>
      </c>
      <c r="H373" s="27">
        <v>0</v>
      </c>
      <c r="I373" s="27">
        <v>0</v>
      </c>
      <c r="J373" s="27">
        <v>0</v>
      </c>
      <c r="K373" s="27">
        <v>0</v>
      </c>
      <c r="L373" s="27">
        <v>1</v>
      </c>
      <c r="M373" s="27">
        <v>0</v>
      </c>
      <c r="N373" s="27">
        <v>0</v>
      </c>
      <c r="O373" s="27">
        <v>0</v>
      </c>
      <c r="P373" s="25">
        <v>700</v>
      </c>
      <c r="Q373" s="25">
        <v>560</v>
      </c>
      <c r="R373" s="25" t="s">
        <v>87</v>
      </c>
      <c r="S373" s="25" t="s">
        <v>89</v>
      </c>
      <c r="T373" s="25">
        <v>0</v>
      </c>
      <c r="U373" s="25">
        <v>0</v>
      </c>
      <c r="V373" s="25">
        <v>0</v>
      </c>
      <c r="W373" s="25">
        <v>0</v>
      </c>
      <c r="X373" s="25">
        <v>1</v>
      </c>
      <c r="Y373" s="25">
        <v>0</v>
      </c>
      <c r="Z373" s="25">
        <v>0</v>
      </c>
      <c r="AA373" s="25">
        <v>0</v>
      </c>
      <c r="AB373" s="25">
        <v>0</v>
      </c>
      <c r="AC373" s="25">
        <v>0</v>
      </c>
      <c r="AD373" s="25">
        <v>0</v>
      </c>
      <c r="AE373" s="25">
        <v>1</v>
      </c>
      <c r="AF373" s="25" t="s">
        <v>131</v>
      </c>
    </row>
    <row r="374" spans="1:32" s="25" customFormat="1" x14ac:dyDescent="0.25">
      <c r="A374" s="25" t="s">
        <v>169</v>
      </c>
      <c r="B374" s="25">
        <f t="shared" si="11"/>
        <v>1290</v>
      </c>
      <c r="C374" s="25" t="s">
        <v>12</v>
      </c>
      <c r="D374" s="25">
        <v>0</v>
      </c>
      <c r="E374" s="25">
        <v>0</v>
      </c>
      <c r="F374" s="25">
        <v>256</v>
      </c>
      <c r="G374" s="25">
        <v>222</v>
      </c>
      <c r="H374" s="27">
        <v>0</v>
      </c>
      <c r="I374" s="27">
        <v>0</v>
      </c>
      <c r="J374" s="27">
        <v>0</v>
      </c>
      <c r="K374" s="27">
        <v>0</v>
      </c>
      <c r="L374" s="27">
        <v>1</v>
      </c>
      <c r="M374" s="27">
        <v>0</v>
      </c>
      <c r="N374" s="27">
        <v>0</v>
      </c>
      <c r="O374" s="27">
        <v>0</v>
      </c>
      <c r="P374" s="25">
        <v>700</v>
      </c>
      <c r="Q374" s="25">
        <v>560</v>
      </c>
      <c r="R374" s="25" t="s">
        <v>87</v>
      </c>
      <c r="S374" s="25" t="s">
        <v>89</v>
      </c>
      <c r="T374" s="25">
        <v>0</v>
      </c>
      <c r="U374" s="25">
        <v>0</v>
      </c>
      <c r="V374" s="25">
        <v>0</v>
      </c>
      <c r="W374" s="25">
        <v>0</v>
      </c>
      <c r="X374" s="25">
        <v>1</v>
      </c>
      <c r="Y374" s="25">
        <v>0</v>
      </c>
      <c r="Z374" s="25">
        <v>0</v>
      </c>
      <c r="AA374" s="25">
        <v>0</v>
      </c>
      <c r="AB374" s="25">
        <v>0</v>
      </c>
      <c r="AC374" s="25">
        <v>0</v>
      </c>
      <c r="AD374" s="25">
        <v>0</v>
      </c>
      <c r="AE374" s="25">
        <v>1</v>
      </c>
      <c r="AF374" s="25" t="s">
        <v>131</v>
      </c>
    </row>
    <row r="375" spans="1:32" s="25" customFormat="1" x14ac:dyDescent="0.25">
      <c r="A375" s="25" t="s">
        <v>169</v>
      </c>
      <c r="B375" s="25">
        <f t="shared" si="11"/>
        <v>1300</v>
      </c>
      <c r="C375" s="25" t="s">
        <v>12</v>
      </c>
      <c r="D375" s="25">
        <v>0</v>
      </c>
      <c r="E375" s="25">
        <v>0</v>
      </c>
      <c r="F375" s="25">
        <v>256</v>
      </c>
      <c r="G375" s="25">
        <v>222</v>
      </c>
      <c r="H375" s="27">
        <v>0</v>
      </c>
      <c r="I375" s="27">
        <v>0</v>
      </c>
      <c r="J375" s="27">
        <v>0</v>
      </c>
      <c r="K375" s="27">
        <v>0</v>
      </c>
      <c r="L375" s="27">
        <v>1</v>
      </c>
      <c r="M375" s="27">
        <v>0</v>
      </c>
      <c r="N375" s="27">
        <v>0</v>
      </c>
      <c r="O375" s="27">
        <v>0</v>
      </c>
      <c r="P375" s="25">
        <v>700</v>
      </c>
      <c r="Q375" s="25">
        <v>560</v>
      </c>
      <c r="R375" s="25" t="s">
        <v>87</v>
      </c>
      <c r="S375" s="25" t="s">
        <v>89</v>
      </c>
      <c r="T375" s="25">
        <v>0</v>
      </c>
      <c r="U375" s="25">
        <v>0</v>
      </c>
      <c r="V375" s="25">
        <v>0</v>
      </c>
      <c r="W375" s="25">
        <v>0</v>
      </c>
      <c r="X375" s="25">
        <v>1</v>
      </c>
      <c r="Y375" s="25">
        <v>0</v>
      </c>
      <c r="Z375" s="25">
        <v>0</v>
      </c>
      <c r="AA375" s="25">
        <v>0</v>
      </c>
      <c r="AB375" s="25">
        <v>0</v>
      </c>
      <c r="AC375" s="25">
        <v>0</v>
      </c>
      <c r="AD375" s="25">
        <v>0</v>
      </c>
      <c r="AE375" s="25">
        <v>1</v>
      </c>
      <c r="AF375" s="25" t="s">
        <v>131</v>
      </c>
    </row>
    <row r="376" spans="1:32" s="25" customFormat="1" x14ac:dyDescent="0.25">
      <c r="A376" s="25" t="s">
        <v>169</v>
      </c>
      <c r="B376" s="25">
        <f t="shared" si="11"/>
        <v>1310</v>
      </c>
      <c r="C376" s="25" t="s">
        <v>12</v>
      </c>
      <c r="D376" s="25">
        <v>0</v>
      </c>
      <c r="E376" s="25">
        <v>0</v>
      </c>
      <c r="F376" s="25">
        <v>256</v>
      </c>
      <c r="G376" s="25">
        <v>222</v>
      </c>
      <c r="H376" s="27">
        <v>0</v>
      </c>
      <c r="I376" s="27">
        <v>0</v>
      </c>
      <c r="J376" s="27">
        <v>0</v>
      </c>
      <c r="K376" s="27">
        <v>0</v>
      </c>
      <c r="L376" s="27">
        <v>1</v>
      </c>
      <c r="M376" s="27">
        <v>0</v>
      </c>
      <c r="N376" s="27">
        <v>0</v>
      </c>
      <c r="O376" s="27">
        <v>0</v>
      </c>
      <c r="P376" s="25">
        <v>700</v>
      </c>
      <c r="Q376" s="25">
        <v>560</v>
      </c>
      <c r="R376" s="25" t="s">
        <v>87</v>
      </c>
      <c r="S376" s="25" t="s">
        <v>89</v>
      </c>
      <c r="T376" s="25">
        <v>0</v>
      </c>
      <c r="U376" s="25">
        <v>0</v>
      </c>
      <c r="V376" s="25">
        <v>0</v>
      </c>
      <c r="W376" s="25">
        <v>0</v>
      </c>
      <c r="X376" s="25">
        <v>1</v>
      </c>
      <c r="Y376" s="25">
        <v>0</v>
      </c>
      <c r="Z376" s="25">
        <v>0</v>
      </c>
      <c r="AA376" s="25">
        <v>0</v>
      </c>
      <c r="AB376" s="25">
        <v>0</v>
      </c>
      <c r="AC376" s="25">
        <v>0</v>
      </c>
      <c r="AD376" s="25">
        <v>0</v>
      </c>
      <c r="AE376" s="25">
        <v>1</v>
      </c>
      <c r="AF376" s="25" t="s">
        <v>131</v>
      </c>
    </row>
    <row r="377" spans="1:32" s="25" customFormat="1" x14ac:dyDescent="0.25">
      <c r="A377" s="25" t="s">
        <v>169</v>
      </c>
      <c r="B377" s="25">
        <f t="shared" si="11"/>
        <v>1320</v>
      </c>
      <c r="C377" s="25" t="s">
        <v>12</v>
      </c>
      <c r="D377" s="25">
        <v>0</v>
      </c>
      <c r="E377" s="25">
        <v>0</v>
      </c>
      <c r="F377" s="25">
        <v>256</v>
      </c>
      <c r="G377" s="25">
        <v>222</v>
      </c>
      <c r="H377" s="27">
        <v>0</v>
      </c>
      <c r="I377" s="27">
        <v>0</v>
      </c>
      <c r="J377" s="27">
        <v>0</v>
      </c>
      <c r="K377" s="27">
        <v>0</v>
      </c>
      <c r="L377" s="27">
        <v>1</v>
      </c>
      <c r="M377" s="27">
        <v>0</v>
      </c>
      <c r="N377" s="27">
        <v>0</v>
      </c>
      <c r="O377" s="27">
        <v>0</v>
      </c>
      <c r="P377" s="25">
        <v>700</v>
      </c>
      <c r="Q377" s="25">
        <v>560</v>
      </c>
      <c r="R377" s="25" t="s">
        <v>87</v>
      </c>
      <c r="S377" s="25" t="s">
        <v>89</v>
      </c>
      <c r="T377" s="25">
        <v>0</v>
      </c>
      <c r="U377" s="25">
        <v>0</v>
      </c>
      <c r="V377" s="25">
        <v>0</v>
      </c>
      <c r="W377" s="25">
        <v>0</v>
      </c>
      <c r="X377" s="25">
        <v>1</v>
      </c>
      <c r="Y377" s="25">
        <v>0</v>
      </c>
      <c r="Z377" s="25">
        <v>0</v>
      </c>
      <c r="AA377" s="25">
        <v>0</v>
      </c>
      <c r="AB377" s="25">
        <v>0</v>
      </c>
      <c r="AC377" s="25">
        <v>0</v>
      </c>
      <c r="AD377" s="25">
        <v>0</v>
      </c>
      <c r="AE377" s="25">
        <v>1</v>
      </c>
      <c r="AF377" s="25" t="s">
        <v>131</v>
      </c>
    </row>
    <row r="378" spans="1:32" s="25" customFormat="1" x14ac:dyDescent="0.25">
      <c r="A378" s="25" t="s">
        <v>169</v>
      </c>
      <c r="B378" s="25">
        <f t="shared" si="11"/>
        <v>1330</v>
      </c>
      <c r="C378" s="25" t="s">
        <v>12</v>
      </c>
      <c r="D378" s="25">
        <v>0</v>
      </c>
      <c r="E378" s="25">
        <v>0</v>
      </c>
      <c r="F378" s="25">
        <v>256</v>
      </c>
      <c r="G378" s="25">
        <v>222</v>
      </c>
      <c r="H378" s="27">
        <v>0</v>
      </c>
      <c r="I378" s="27">
        <v>0</v>
      </c>
      <c r="J378" s="27">
        <v>0</v>
      </c>
      <c r="K378" s="27">
        <v>0</v>
      </c>
      <c r="L378" s="27">
        <v>1</v>
      </c>
      <c r="M378" s="27">
        <v>0</v>
      </c>
      <c r="N378" s="27">
        <v>0</v>
      </c>
      <c r="O378" s="27">
        <v>0</v>
      </c>
      <c r="P378" s="25">
        <v>700</v>
      </c>
      <c r="Q378" s="25">
        <v>560</v>
      </c>
      <c r="R378" s="25" t="s">
        <v>87</v>
      </c>
      <c r="S378" s="25" t="s">
        <v>89</v>
      </c>
      <c r="T378" s="25">
        <v>0</v>
      </c>
      <c r="U378" s="25">
        <v>0</v>
      </c>
      <c r="V378" s="25">
        <v>0</v>
      </c>
      <c r="W378" s="25">
        <v>0</v>
      </c>
      <c r="X378" s="25">
        <v>1</v>
      </c>
      <c r="Y378" s="25">
        <v>0</v>
      </c>
      <c r="Z378" s="25">
        <v>0</v>
      </c>
      <c r="AA378" s="25">
        <v>0</v>
      </c>
      <c r="AB378" s="25">
        <v>0</v>
      </c>
      <c r="AC378" s="25">
        <v>0</v>
      </c>
      <c r="AD378" s="25">
        <v>0</v>
      </c>
      <c r="AE378" s="25">
        <v>1</v>
      </c>
      <c r="AF378" s="25" t="s">
        <v>131</v>
      </c>
    </row>
    <row r="379" spans="1:32" s="25" customFormat="1" x14ac:dyDescent="0.25">
      <c r="A379" s="25" t="s">
        <v>169</v>
      </c>
      <c r="B379" s="25">
        <f t="shared" si="11"/>
        <v>1340</v>
      </c>
      <c r="C379" s="25" t="s">
        <v>12</v>
      </c>
      <c r="D379" s="25">
        <v>0</v>
      </c>
      <c r="E379" s="25">
        <v>0</v>
      </c>
      <c r="F379" s="25">
        <v>256</v>
      </c>
      <c r="G379" s="25">
        <v>222</v>
      </c>
      <c r="H379" s="27">
        <v>0</v>
      </c>
      <c r="I379" s="27">
        <v>0</v>
      </c>
      <c r="J379" s="27">
        <v>0</v>
      </c>
      <c r="K379" s="27">
        <v>0</v>
      </c>
      <c r="L379" s="27">
        <v>1</v>
      </c>
      <c r="M379" s="27">
        <v>0</v>
      </c>
      <c r="N379" s="27">
        <v>0</v>
      </c>
      <c r="O379" s="27">
        <v>0</v>
      </c>
      <c r="P379" s="25">
        <v>700</v>
      </c>
      <c r="Q379" s="25">
        <v>560</v>
      </c>
      <c r="R379" s="25" t="s">
        <v>87</v>
      </c>
      <c r="S379" s="25" t="s">
        <v>89</v>
      </c>
      <c r="T379" s="25">
        <v>0</v>
      </c>
      <c r="U379" s="25">
        <v>0</v>
      </c>
      <c r="V379" s="25">
        <v>0</v>
      </c>
      <c r="W379" s="25">
        <v>0</v>
      </c>
      <c r="X379" s="25">
        <v>1</v>
      </c>
      <c r="Y379" s="25">
        <v>0</v>
      </c>
      <c r="Z379" s="25">
        <v>0</v>
      </c>
      <c r="AA379" s="25">
        <v>0</v>
      </c>
      <c r="AB379" s="25">
        <v>0</v>
      </c>
      <c r="AC379" s="25">
        <v>0</v>
      </c>
      <c r="AD379" s="25">
        <v>0</v>
      </c>
      <c r="AE379" s="25">
        <v>1</v>
      </c>
      <c r="AF379" s="25" t="s">
        <v>131</v>
      </c>
    </row>
    <row r="380" spans="1:32" s="25" customFormat="1" x14ac:dyDescent="0.25">
      <c r="A380" s="25" t="s">
        <v>169</v>
      </c>
      <c r="B380" s="25">
        <f t="shared" si="11"/>
        <v>1350</v>
      </c>
      <c r="C380" s="25" t="s">
        <v>12</v>
      </c>
      <c r="D380" s="25">
        <v>0</v>
      </c>
      <c r="E380" s="25">
        <v>0</v>
      </c>
      <c r="F380" s="25">
        <v>256</v>
      </c>
      <c r="G380" s="25">
        <v>222</v>
      </c>
      <c r="H380" s="27">
        <v>0</v>
      </c>
      <c r="I380" s="27">
        <v>0</v>
      </c>
      <c r="J380" s="27">
        <v>0</v>
      </c>
      <c r="K380" s="27">
        <v>0</v>
      </c>
      <c r="L380" s="27">
        <v>1</v>
      </c>
      <c r="M380" s="27">
        <v>0</v>
      </c>
      <c r="N380" s="27">
        <v>0</v>
      </c>
      <c r="O380" s="27">
        <v>0</v>
      </c>
      <c r="P380" s="25">
        <v>700</v>
      </c>
      <c r="Q380" s="25">
        <v>560</v>
      </c>
      <c r="R380" s="25" t="s">
        <v>87</v>
      </c>
      <c r="S380" s="25" t="s">
        <v>89</v>
      </c>
      <c r="T380" s="25">
        <v>0</v>
      </c>
      <c r="U380" s="25">
        <v>0</v>
      </c>
      <c r="V380" s="25">
        <v>0</v>
      </c>
      <c r="W380" s="25">
        <v>0</v>
      </c>
      <c r="X380" s="25">
        <v>1</v>
      </c>
      <c r="Y380" s="25">
        <v>0</v>
      </c>
      <c r="Z380" s="25">
        <v>0</v>
      </c>
      <c r="AA380" s="25">
        <v>0</v>
      </c>
      <c r="AB380" s="25">
        <v>0</v>
      </c>
      <c r="AC380" s="25">
        <v>0</v>
      </c>
      <c r="AD380" s="25">
        <v>0</v>
      </c>
      <c r="AE380" s="25">
        <v>1</v>
      </c>
      <c r="AF380" s="25" t="s">
        <v>131</v>
      </c>
    </row>
    <row r="381" spans="1:32" s="25" customFormat="1" x14ac:dyDescent="0.25">
      <c r="A381" s="25" t="s">
        <v>169</v>
      </c>
      <c r="B381" s="25">
        <f t="shared" si="11"/>
        <v>1360</v>
      </c>
      <c r="C381" s="25" t="s">
        <v>12</v>
      </c>
      <c r="D381" s="25">
        <v>0</v>
      </c>
      <c r="E381" s="25">
        <v>0</v>
      </c>
      <c r="F381" s="25">
        <v>256</v>
      </c>
      <c r="G381" s="25">
        <v>222</v>
      </c>
      <c r="H381" s="27">
        <v>0</v>
      </c>
      <c r="I381" s="27">
        <v>0</v>
      </c>
      <c r="J381" s="27">
        <v>0</v>
      </c>
      <c r="K381" s="27">
        <v>0</v>
      </c>
      <c r="L381" s="27">
        <v>1</v>
      </c>
      <c r="M381" s="27">
        <v>0</v>
      </c>
      <c r="N381" s="27">
        <v>0</v>
      </c>
      <c r="O381" s="27">
        <v>0</v>
      </c>
      <c r="P381" s="25">
        <v>700</v>
      </c>
      <c r="Q381" s="25">
        <v>560</v>
      </c>
      <c r="R381" s="25" t="s">
        <v>87</v>
      </c>
      <c r="S381" s="25" t="s">
        <v>89</v>
      </c>
      <c r="T381" s="25">
        <v>0</v>
      </c>
      <c r="U381" s="25">
        <v>0</v>
      </c>
      <c r="V381" s="25">
        <v>0</v>
      </c>
      <c r="W381" s="25">
        <v>0</v>
      </c>
      <c r="X381" s="25">
        <v>1</v>
      </c>
      <c r="Y381" s="25">
        <v>0</v>
      </c>
      <c r="Z381" s="25">
        <v>0</v>
      </c>
      <c r="AA381" s="25">
        <v>0</v>
      </c>
      <c r="AB381" s="25">
        <v>0</v>
      </c>
      <c r="AC381" s="25">
        <v>0</v>
      </c>
      <c r="AD381" s="25">
        <v>0</v>
      </c>
      <c r="AE381" s="25">
        <v>1</v>
      </c>
      <c r="AF381" s="25" t="s">
        <v>131</v>
      </c>
    </row>
    <row r="382" spans="1:32" s="25" customFormat="1" x14ac:dyDescent="0.25">
      <c r="A382" s="25" t="s">
        <v>169</v>
      </c>
      <c r="B382" s="25">
        <f t="shared" ref="B382:B387" si="12">B381+10</f>
        <v>1370</v>
      </c>
      <c r="C382" s="25" t="s">
        <v>12</v>
      </c>
      <c r="D382" s="25">
        <v>0</v>
      </c>
      <c r="E382" s="25">
        <v>0</v>
      </c>
      <c r="F382" s="25">
        <v>256</v>
      </c>
      <c r="G382" s="25">
        <v>222</v>
      </c>
      <c r="H382" s="27">
        <v>0</v>
      </c>
      <c r="I382" s="27">
        <v>0</v>
      </c>
      <c r="J382" s="27">
        <v>0</v>
      </c>
      <c r="K382" s="27">
        <v>0</v>
      </c>
      <c r="L382" s="27">
        <v>1</v>
      </c>
      <c r="M382" s="27">
        <v>0</v>
      </c>
      <c r="N382" s="27">
        <v>0</v>
      </c>
      <c r="O382" s="27">
        <v>0</v>
      </c>
      <c r="P382" s="25">
        <v>700</v>
      </c>
      <c r="Q382" s="25">
        <v>560</v>
      </c>
      <c r="R382" s="25" t="s">
        <v>87</v>
      </c>
      <c r="S382" s="25" t="s">
        <v>89</v>
      </c>
      <c r="T382" s="25">
        <v>0</v>
      </c>
      <c r="U382" s="25">
        <v>0</v>
      </c>
      <c r="V382" s="25">
        <v>0</v>
      </c>
      <c r="W382" s="25">
        <v>0</v>
      </c>
      <c r="X382" s="25">
        <v>1</v>
      </c>
      <c r="Y382" s="25">
        <v>0</v>
      </c>
      <c r="Z382" s="25">
        <v>0</v>
      </c>
      <c r="AA382" s="25">
        <v>0</v>
      </c>
      <c r="AB382" s="25">
        <v>0</v>
      </c>
      <c r="AC382" s="25">
        <v>0</v>
      </c>
      <c r="AD382" s="25">
        <v>0</v>
      </c>
      <c r="AE382" s="25">
        <v>1</v>
      </c>
      <c r="AF382" s="25" t="s">
        <v>131</v>
      </c>
    </row>
    <row r="383" spans="1:32" s="25" customFormat="1" x14ac:dyDescent="0.25">
      <c r="A383" s="25" t="s">
        <v>169</v>
      </c>
      <c r="B383" s="25">
        <f t="shared" si="12"/>
        <v>1380</v>
      </c>
      <c r="C383" s="25" t="s">
        <v>12</v>
      </c>
      <c r="D383" s="25">
        <v>0</v>
      </c>
      <c r="E383" s="25">
        <v>0</v>
      </c>
      <c r="F383" s="25">
        <v>256</v>
      </c>
      <c r="G383" s="25">
        <v>222</v>
      </c>
      <c r="H383" s="27">
        <v>0</v>
      </c>
      <c r="I383" s="27">
        <v>0</v>
      </c>
      <c r="J383" s="27">
        <v>0</v>
      </c>
      <c r="K383" s="27">
        <v>0</v>
      </c>
      <c r="L383" s="27">
        <v>1</v>
      </c>
      <c r="M383" s="27">
        <v>0</v>
      </c>
      <c r="N383" s="27">
        <v>0</v>
      </c>
      <c r="O383" s="27">
        <v>0</v>
      </c>
      <c r="P383" s="25">
        <v>700</v>
      </c>
      <c r="Q383" s="25">
        <v>560</v>
      </c>
      <c r="R383" s="25" t="s">
        <v>87</v>
      </c>
      <c r="S383" s="25" t="s">
        <v>89</v>
      </c>
      <c r="T383" s="25">
        <v>0</v>
      </c>
      <c r="U383" s="25">
        <v>0</v>
      </c>
      <c r="V383" s="25">
        <v>0</v>
      </c>
      <c r="W383" s="25">
        <v>0</v>
      </c>
      <c r="X383" s="25">
        <v>1</v>
      </c>
      <c r="Y383" s="25">
        <v>0</v>
      </c>
      <c r="Z383" s="25">
        <v>0</v>
      </c>
      <c r="AA383" s="25">
        <v>0</v>
      </c>
      <c r="AB383" s="25">
        <v>0</v>
      </c>
      <c r="AC383" s="25">
        <v>0</v>
      </c>
      <c r="AD383" s="25">
        <v>0</v>
      </c>
      <c r="AE383" s="25">
        <v>1</v>
      </c>
      <c r="AF383" s="25" t="s">
        <v>131</v>
      </c>
    </row>
    <row r="384" spans="1:32" s="25" customFormat="1" x14ac:dyDescent="0.25">
      <c r="A384" s="25" t="s">
        <v>169</v>
      </c>
      <c r="B384" s="25">
        <f t="shared" si="12"/>
        <v>1390</v>
      </c>
      <c r="C384" s="25" t="s">
        <v>12</v>
      </c>
      <c r="D384" s="25">
        <v>0</v>
      </c>
      <c r="E384" s="25">
        <v>0</v>
      </c>
      <c r="F384" s="25">
        <v>256</v>
      </c>
      <c r="G384" s="25">
        <v>222</v>
      </c>
      <c r="H384" s="27">
        <v>0</v>
      </c>
      <c r="I384" s="27">
        <v>0</v>
      </c>
      <c r="J384" s="27">
        <v>0</v>
      </c>
      <c r="K384" s="27">
        <v>0</v>
      </c>
      <c r="L384" s="27">
        <v>1</v>
      </c>
      <c r="M384" s="27">
        <v>0</v>
      </c>
      <c r="N384" s="27">
        <v>0</v>
      </c>
      <c r="O384" s="27">
        <v>0</v>
      </c>
      <c r="P384" s="25">
        <v>700</v>
      </c>
      <c r="Q384" s="25">
        <v>560</v>
      </c>
      <c r="R384" s="25" t="s">
        <v>87</v>
      </c>
      <c r="S384" s="25" t="s">
        <v>89</v>
      </c>
      <c r="T384" s="25">
        <v>0</v>
      </c>
      <c r="U384" s="25">
        <v>0</v>
      </c>
      <c r="V384" s="25">
        <v>0</v>
      </c>
      <c r="W384" s="25">
        <v>0</v>
      </c>
      <c r="X384" s="25">
        <v>1</v>
      </c>
      <c r="Y384" s="25">
        <v>0</v>
      </c>
      <c r="Z384" s="25">
        <v>0</v>
      </c>
      <c r="AA384" s="25">
        <v>0</v>
      </c>
      <c r="AB384" s="25">
        <v>0</v>
      </c>
      <c r="AC384" s="25">
        <v>0</v>
      </c>
      <c r="AD384" s="25">
        <v>0</v>
      </c>
      <c r="AE384" s="25">
        <v>1</v>
      </c>
      <c r="AF384" s="25" t="s">
        <v>131</v>
      </c>
    </row>
    <row r="385" spans="1:32" x14ac:dyDescent="0.25">
      <c r="A385" t="s">
        <v>169</v>
      </c>
      <c r="B385" s="25">
        <f t="shared" si="12"/>
        <v>1400</v>
      </c>
      <c r="C385" t="s">
        <v>12</v>
      </c>
      <c r="D385">
        <v>0</v>
      </c>
      <c r="E385">
        <v>0</v>
      </c>
      <c r="F385">
        <v>256</v>
      </c>
      <c r="G385">
        <v>222</v>
      </c>
      <c r="H385" s="27">
        <v>0</v>
      </c>
      <c r="I385" s="27">
        <v>0</v>
      </c>
      <c r="J385" s="27">
        <v>0</v>
      </c>
      <c r="K385" s="27">
        <v>0</v>
      </c>
      <c r="L385" s="27">
        <v>1</v>
      </c>
      <c r="M385" s="27">
        <v>0</v>
      </c>
      <c r="N385" s="27">
        <v>0</v>
      </c>
      <c r="O385" s="27">
        <v>0</v>
      </c>
      <c r="P385">
        <v>700</v>
      </c>
      <c r="Q385">
        <v>560</v>
      </c>
      <c r="R385" t="s">
        <v>87</v>
      </c>
      <c r="S385" t="s">
        <v>89</v>
      </c>
      <c r="T385">
        <v>0</v>
      </c>
      <c r="U385">
        <v>0</v>
      </c>
      <c r="V385">
        <v>0</v>
      </c>
      <c r="W385">
        <v>0</v>
      </c>
      <c r="X385">
        <v>1</v>
      </c>
      <c r="Y385">
        <v>0</v>
      </c>
      <c r="Z385">
        <v>0</v>
      </c>
      <c r="AA385">
        <v>0</v>
      </c>
      <c r="AB385">
        <v>0</v>
      </c>
      <c r="AC385">
        <v>0</v>
      </c>
      <c r="AD385">
        <v>0</v>
      </c>
      <c r="AE385">
        <v>1</v>
      </c>
      <c r="AF385" t="s">
        <v>131</v>
      </c>
    </row>
    <row r="386" spans="1:32" x14ac:dyDescent="0.25">
      <c r="A386" t="s">
        <v>170</v>
      </c>
      <c r="B386" s="25">
        <f t="shared" si="12"/>
        <v>1410</v>
      </c>
      <c r="C386" t="s">
        <v>12</v>
      </c>
      <c r="D386" t="s">
        <v>13</v>
      </c>
      <c r="E386" t="s">
        <v>13</v>
      </c>
      <c r="F386" t="s">
        <v>13</v>
      </c>
      <c r="G386" t="s">
        <v>13</v>
      </c>
      <c r="H386" s="27" t="s">
        <v>13</v>
      </c>
      <c r="I386" s="27" t="s">
        <v>13</v>
      </c>
      <c r="J386" s="27" t="s">
        <v>13</v>
      </c>
      <c r="K386" s="27" t="s">
        <v>13</v>
      </c>
      <c r="L386" s="27" t="s">
        <v>13</v>
      </c>
      <c r="M386" s="27" t="s">
        <v>13</v>
      </c>
      <c r="N386" s="27" t="s">
        <v>13</v>
      </c>
      <c r="O386" s="27" t="s">
        <v>13</v>
      </c>
      <c r="P386">
        <v>700</v>
      </c>
      <c r="Q386">
        <v>560</v>
      </c>
      <c r="R386" t="s">
        <v>87</v>
      </c>
      <c r="S386" t="s">
        <v>89</v>
      </c>
      <c r="T386">
        <v>0</v>
      </c>
      <c r="U386">
        <v>0</v>
      </c>
      <c r="V386">
        <v>0</v>
      </c>
      <c r="W386">
        <v>0</v>
      </c>
      <c r="X386">
        <v>1</v>
      </c>
      <c r="Y386">
        <v>0</v>
      </c>
      <c r="Z386">
        <v>0</v>
      </c>
      <c r="AA386">
        <v>0</v>
      </c>
      <c r="AB386">
        <v>0</v>
      </c>
      <c r="AC386">
        <v>0</v>
      </c>
      <c r="AD386">
        <v>0</v>
      </c>
      <c r="AE386">
        <v>1</v>
      </c>
      <c r="AF386" t="s">
        <v>132</v>
      </c>
    </row>
    <row r="387" spans="1:32" x14ac:dyDescent="0.25">
      <c r="A387" t="s">
        <v>170</v>
      </c>
      <c r="B387" s="25">
        <f t="shared" si="12"/>
        <v>1420</v>
      </c>
      <c r="C387" t="s">
        <v>12</v>
      </c>
      <c r="D387">
        <v>0</v>
      </c>
      <c r="E387">
        <v>0</v>
      </c>
      <c r="F387">
        <v>256</v>
      </c>
      <c r="G387">
        <v>222</v>
      </c>
      <c r="H387" s="27">
        <v>0</v>
      </c>
      <c r="I387" s="27">
        <v>0</v>
      </c>
      <c r="J387" s="27">
        <v>0</v>
      </c>
      <c r="K387" s="27">
        <v>0</v>
      </c>
      <c r="L387" s="27">
        <v>1</v>
      </c>
      <c r="M387" s="27">
        <v>0</v>
      </c>
      <c r="N387" s="27">
        <v>0</v>
      </c>
      <c r="O387" s="27">
        <v>0</v>
      </c>
      <c r="P387">
        <v>700</v>
      </c>
      <c r="Q387">
        <v>560</v>
      </c>
      <c r="R387" t="s">
        <v>87</v>
      </c>
      <c r="S387" t="s">
        <v>89</v>
      </c>
      <c r="T387">
        <v>0</v>
      </c>
      <c r="U387">
        <v>0</v>
      </c>
      <c r="V387">
        <v>0</v>
      </c>
      <c r="W387">
        <v>0</v>
      </c>
      <c r="X387">
        <v>1</v>
      </c>
      <c r="Y387">
        <v>0</v>
      </c>
      <c r="Z387">
        <v>0</v>
      </c>
      <c r="AA387">
        <v>0</v>
      </c>
      <c r="AB387">
        <v>0</v>
      </c>
      <c r="AC387">
        <v>0</v>
      </c>
      <c r="AD387">
        <v>0</v>
      </c>
      <c r="AE387">
        <v>1</v>
      </c>
      <c r="AF387" t="s">
        <v>132</v>
      </c>
    </row>
    <row r="388" spans="1:32" s="25" customFormat="1" x14ac:dyDescent="0.25">
      <c r="A388" s="25" t="s">
        <v>170</v>
      </c>
      <c r="B388" s="25">
        <f t="shared" ref="B388:B419" si="13">B387+10</f>
        <v>1430</v>
      </c>
      <c r="C388" s="25" t="s">
        <v>12</v>
      </c>
      <c r="D388" s="25">
        <v>0</v>
      </c>
      <c r="E388" s="25">
        <v>0</v>
      </c>
      <c r="F388" s="25">
        <v>256</v>
      </c>
      <c r="G388" s="25">
        <v>222</v>
      </c>
      <c r="H388" s="27">
        <v>0</v>
      </c>
      <c r="I388" s="27">
        <v>0</v>
      </c>
      <c r="J388" s="27">
        <v>0</v>
      </c>
      <c r="K388" s="27">
        <v>0</v>
      </c>
      <c r="L388" s="27">
        <v>1</v>
      </c>
      <c r="M388" s="27">
        <v>0</v>
      </c>
      <c r="N388" s="27">
        <v>0</v>
      </c>
      <c r="O388" s="27">
        <v>0</v>
      </c>
      <c r="P388" s="25">
        <v>700</v>
      </c>
      <c r="Q388" s="25">
        <v>560</v>
      </c>
      <c r="R388" s="25" t="s">
        <v>87</v>
      </c>
      <c r="S388" s="25" t="s">
        <v>89</v>
      </c>
      <c r="T388" s="25">
        <v>0</v>
      </c>
      <c r="U388" s="25">
        <v>0</v>
      </c>
      <c r="V388" s="25">
        <v>0</v>
      </c>
      <c r="W388" s="25">
        <v>0</v>
      </c>
      <c r="X388" s="25">
        <v>1</v>
      </c>
      <c r="Y388" s="25">
        <v>0</v>
      </c>
      <c r="Z388" s="25">
        <v>0</v>
      </c>
      <c r="AA388" s="25">
        <v>0</v>
      </c>
      <c r="AB388" s="25">
        <v>0</v>
      </c>
      <c r="AC388" s="25">
        <v>0</v>
      </c>
      <c r="AD388" s="25">
        <v>0</v>
      </c>
      <c r="AE388" s="25">
        <v>1</v>
      </c>
      <c r="AF388" s="25" t="s">
        <v>132</v>
      </c>
    </row>
    <row r="389" spans="1:32" s="25" customFormat="1" x14ac:dyDescent="0.25">
      <c r="A389" s="25" t="s">
        <v>170</v>
      </c>
      <c r="B389" s="25">
        <f t="shared" si="13"/>
        <v>1440</v>
      </c>
      <c r="C389" s="25" t="s">
        <v>12</v>
      </c>
      <c r="D389" s="25">
        <v>0</v>
      </c>
      <c r="E389" s="25">
        <v>0</v>
      </c>
      <c r="F389" s="25">
        <v>256</v>
      </c>
      <c r="G389" s="25">
        <v>222</v>
      </c>
      <c r="H389" s="27">
        <v>0</v>
      </c>
      <c r="I389" s="27">
        <v>0</v>
      </c>
      <c r="J389" s="27">
        <v>0</v>
      </c>
      <c r="K389" s="27">
        <v>0</v>
      </c>
      <c r="L389" s="27">
        <v>1</v>
      </c>
      <c r="M389" s="27">
        <v>0</v>
      </c>
      <c r="N389" s="27">
        <v>0</v>
      </c>
      <c r="O389" s="27">
        <v>0</v>
      </c>
      <c r="P389" s="25">
        <v>700</v>
      </c>
      <c r="Q389" s="25">
        <v>560</v>
      </c>
      <c r="R389" s="25" t="s">
        <v>87</v>
      </c>
      <c r="S389" s="25" t="s">
        <v>89</v>
      </c>
      <c r="T389" s="25">
        <v>0</v>
      </c>
      <c r="U389" s="25">
        <v>0</v>
      </c>
      <c r="V389" s="25">
        <v>0</v>
      </c>
      <c r="W389" s="25">
        <v>0</v>
      </c>
      <c r="X389" s="25">
        <v>1</v>
      </c>
      <c r="Y389" s="25">
        <v>0</v>
      </c>
      <c r="Z389" s="25">
        <v>0</v>
      </c>
      <c r="AA389" s="25">
        <v>0</v>
      </c>
      <c r="AB389" s="25">
        <v>0</v>
      </c>
      <c r="AC389" s="25">
        <v>0</v>
      </c>
      <c r="AD389" s="25">
        <v>0</v>
      </c>
      <c r="AE389" s="25">
        <v>1</v>
      </c>
      <c r="AF389" s="25" t="s">
        <v>132</v>
      </c>
    </row>
    <row r="390" spans="1:32" s="25" customFormat="1" x14ac:dyDescent="0.25">
      <c r="A390" s="25" t="s">
        <v>170</v>
      </c>
      <c r="B390" s="25">
        <f t="shared" si="13"/>
        <v>1450</v>
      </c>
      <c r="C390" s="25" t="s">
        <v>12</v>
      </c>
      <c r="D390" s="25">
        <v>0</v>
      </c>
      <c r="E390" s="25">
        <v>0</v>
      </c>
      <c r="F390" s="25">
        <v>256</v>
      </c>
      <c r="G390" s="25">
        <v>222</v>
      </c>
      <c r="H390" s="27">
        <v>0</v>
      </c>
      <c r="I390" s="27">
        <v>0</v>
      </c>
      <c r="J390" s="27">
        <v>0</v>
      </c>
      <c r="K390" s="27">
        <v>0</v>
      </c>
      <c r="L390" s="27">
        <v>1</v>
      </c>
      <c r="M390" s="27">
        <v>0</v>
      </c>
      <c r="N390" s="27">
        <v>0</v>
      </c>
      <c r="O390" s="27">
        <v>0</v>
      </c>
      <c r="P390" s="25">
        <v>700</v>
      </c>
      <c r="Q390" s="25">
        <v>560</v>
      </c>
      <c r="R390" s="25" t="s">
        <v>87</v>
      </c>
      <c r="S390" s="25" t="s">
        <v>89</v>
      </c>
      <c r="T390" s="25">
        <v>0</v>
      </c>
      <c r="U390" s="25">
        <v>0</v>
      </c>
      <c r="V390" s="25">
        <v>0</v>
      </c>
      <c r="W390" s="25">
        <v>0</v>
      </c>
      <c r="X390" s="25">
        <v>1</v>
      </c>
      <c r="Y390" s="25">
        <v>0</v>
      </c>
      <c r="Z390" s="25">
        <v>0</v>
      </c>
      <c r="AA390" s="25">
        <v>0</v>
      </c>
      <c r="AB390" s="25">
        <v>0</v>
      </c>
      <c r="AC390" s="25">
        <v>0</v>
      </c>
      <c r="AD390" s="25">
        <v>0</v>
      </c>
      <c r="AE390" s="25">
        <v>1</v>
      </c>
      <c r="AF390" s="25" t="s">
        <v>132</v>
      </c>
    </row>
    <row r="391" spans="1:32" s="25" customFormat="1" x14ac:dyDescent="0.25">
      <c r="A391" s="25" t="s">
        <v>170</v>
      </c>
      <c r="B391" s="25">
        <f t="shared" si="13"/>
        <v>1460</v>
      </c>
      <c r="C391" s="25" t="s">
        <v>12</v>
      </c>
      <c r="D391" s="25">
        <v>0</v>
      </c>
      <c r="E391" s="25">
        <v>0</v>
      </c>
      <c r="F391" s="25">
        <v>256</v>
      </c>
      <c r="G391" s="25">
        <v>222</v>
      </c>
      <c r="H391" s="27">
        <v>0</v>
      </c>
      <c r="I391" s="27">
        <v>0</v>
      </c>
      <c r="J391" s="27">
        <v>0</v>
      </c>
      <c r="K391" s="27">
        <v>0</v>
      </c>
      <c r="L391" s="27">
        <v>1</v>
      </c>
      <c r="M391" s="27">
        <v>0</v>
      </c>
      <c r="N391" s="27">
        <v>0</v>
      </c>
      <c r="O391" s="27">
        <v>0</v>
      </c>
      <c r="P391" s="25">
        <v>700</v>
      </c>
      <c r="Q391" s="25">
        <v>560</v>
      </c>
      <c r="R391" s="25" t="s">
        <v>87</v>
      </c>
      <c r="S391" s="25" t="s">
        <v>89</v>
      </c>
      <c r="T391" s="25">
        <v>0</v>
      </c>
      <c r="U391" s="25">
        <v>0</v>
      </c>
      <c r="V391" s="25">
        <v>0</v>
      </c>
      <c r="W391" s="25">
        <v>0</v>
      </c>
      <c r="X391" s="25">
        <v>1</v>
      </c>
      <c r="Y391" s="25">
        <v>0</v>
      </c>
      <c r="Z391" s="25">
        <v>0</v>
      </c>
      <c r="AA391" s="25">
        <v>0</v>
      </c>
      <c r="AB391" s="25">
        <v>0</v>
      </c>
      <c r="AC391" s="25">
        <v>0</v>
      </c>
      <c r="AD391" s="25">
        <v>0</v>
      </c>
      <c r="AE391" s="25">
        <v>1</v>
      </c>
      <c r="AF391" s="25" t="s">
        <v>132</v>
      </c>
    </row>
    <row r="392" spans="1:32" s="25" customFormat="1" x14ac:dyDescent="0.25">
      <c r="A392" s="25" t="s">
        <v>170</v>
      </c>
      <c r="B392" s="25">
        <f t="shared" si="13"/>
        <v>1470</v>
      </c>
      <c r="C392" s="25" t="s">
        <v>12</v>
      </c>
      <c r="D392" s="25">
        <v>0</v>
      </c>
      <c r="E392" s="25">
        <v>0</v>
      </c>
      <c r="F392" s="25">
        <v>256</v>
      </c>
      <c r="G392" s="25">
        <v>222</v>
      </c>
      <c r="H392" s="27">
        <v>0</v>
      </c>
      <c r="I392" s="27">
        <v>0</v>
      </c>
      <c r="J392" s="27">
        <v>0</v>
      </c>
      <c r="K392" s="27">
        <v>0</v>
      </c>
      <c r="L392" s="27">
        <v>1</v>
      </c>
      <c r="M392" s="27">
        <v>0</v>
      </c>
      <c r="N392" s="27">
        <v>0</v>
      </c>
      <c r="O392" s="27">
        <v>0</v>
      </c>
      <c r="P392" s="25">
        <v>700</v>
      </c>
      <c r="Q392" s="25">
        <v>560</v>
      </c>
      <c r="R392" s="25" t="s">
        <v>87</v>
      </c>
      <c r="S392" s="25" t="s">
        <v>89</v>
      </c>
      <c r="T392" s="25">
        <v>0</v>
      </c>
      <c r="U392" s="25">
        <v>0</v>
      </c>
      <c r="V392" s="25">
        <v>0</v>
      </c>
      <c r="W392" s="25">
        <v>0</v>
      </c>
      <c r="X392" s="25">
        <v>1</v>
      </c>
      <c r="Y392" s="25">
        <v>0</v>
      </c>
      <c r="Z392" s="25">
        <v>0</v>
      </c>
      <c r="AA392" s="25">
        <v>0</v>
      </c>
      <c r="AB392" s="25">
        <v>0</v>
      </c>
      <c r="AC392" s="25">
        <v>0</v>
      </c>
      <c r="AD392" s="25">
        <v>0</v>
      </c>
      <c r="AE392" s="25">
        <v>1</v>
      </c>
      <c r="AF392" s="25" t="s">
        <v>132</v>
      </c>
    </row>
    <row r="393" spans="1:32" s="25" customFormat="1" x14ac:dyDescent="0.25">
      <c r="A393" s="25" t="s">
        <v>170</v>
      </c>
      <c r="B393" s="25">
        <f t="shared" si="13"/>
        <v>1480</v>
      </c>
      <c r="C393" s="25" t="s">
        <v>12</v>
      </c>
      <c r="D393" s="25">
        <v>0</v>
      </c>
      <c r="E393" s="25">
        <v>0</v>
      </c>
      <c r="F393" s="25">
        <v>256</v>
      </c>
      <c r="G393" s="25">
        <v>222</v>
      </c>
      <c r="H393" s="27">
        <v>0</v>
      </c>
      <c r="I393" s="27">
        <v>0</v>
      </c>
      <c r="J393" s="27">
        <v>0</v>
      </c>
      <c r="K393" s="27">
        <v>0</v>
      </c>
      <c r="L393" s="27">
        <v>1</v>
      </c>
      <c r="M393" s="27">
        <v>0</v>
      </c>
      <c r="N393" s="27">
        <v>0</v>
      </c>
      <c r="O393" s="27">
        <v>0</v>
      </c>
      <c r="P393" s="25">
        <v>700</v>
      </c>
      <c r="Q393" s="25">
        <v>560</v>
      </c>
      <c r="R393" s="25" t="s">
        <v>87</v>
      </c>
      <c r="S393" s="25" t="s">
        <v>89</v>
      </c>
      <c r="T393" s="25">
        <v>0</v>
      </c>
      <c r="U393" s="25">
        <v>0</v>
      </c>
      <c r="V393" s="25">
        <v>0</v>
      </c>
      <c r="W393" s="25">
        <v>0</v>
      </c>
      <c r="X393" s="25">
        <v>1</v>
      </c>
      <c r="Y393" s="25">
        <v>0</v>
      </c>
      <c r="Z393" s="25">
        <v>0</v>
      </c>
      <c r="AA393" s="25">
        <v>0</v>
      </c>
      <c r="AB393" s="25">
        <v>0</v>
      </c>
      <c r="AC393" s="25">
        <v>0</v>
      </c>
      <c r="AD393" s="25">
        <v>0</v>
      </c>
      <c r="AE393" s="25">
        <v>1</v>
      </c>
      <c r="AF393" s="25" t="s">
        <v>132</v>
      </c>
    </row>
    <row r="394" spans="1:32" s="25" customFormat="1" x14ac:dyDescent="0.25">
      <c r="A394" s="25" t="s">
        <v>170</v>
      </c>
      <c r="B394" s="25">
        <f t="shared" si="13"/>
        <v>1490</v>
      </c>
      <c r="C394" s="25" t="s">
        <v>12</v>
      </c>
      <c r="D394" s="25">
        <v>0</v>
      </c>
      <c r="E394" s="25">
        <v>0</v>
      </c>
      <c r="F394" s="25">
        <v>256</v>
      </c>
      <c r="G394" s="25">
        <v>222</v>
      </c>
      <c r="H394" s="27">
        <v>0</v>
      </c>
      <c r="I394" s="27">
        <v>0</v>
      </c>
      <c r="J394" s="27">
        <v>0</v>
      </c>
      <c r="K394" s="27">
        <v>0</v>
      </c>
      <c r="L394" s="27">
        <v>1</v>
      </c>
      <c r="M394" s="27">
        <v>0</v>
      </c>
      <c r="N394" s="27">
        <v>0</v>
      </c>
      <c r="O394" s="27">
        <v>0</v>
      </c>
      <c r="P394" s="25">
        <v>700</v>
      </c>
      <c r="Q394" s="25">
        <v>560</v>
      </c>
      <c r="R394" s="25" t="s">
        <v>87</v>
      </c>
      <c r="S394" s="25" t="s">
        <v>89</v>
      </c>
      <c r="T394" s="25">
        <v>0</v>
      </c>
      <c r="U394" s="25">
        <v>0</v>
      </c>
      <c r="V394" s="25">
        <v>0</v>
      </c>
      <c r="W394" s="25">
        <v>0</v>
      </c>
      <c r="X394" s="25">
        <v>1</v>
      </c>
      <c r="Y394" s="25">
        <v>0</v>
      </c>
      <c r="Z394" s="25">
        <v>0</v>
      </c>
      <c r="AA394" s="25">
        <v>0</v>
      </c>
      <c r="AB394" s="25">
        <v>0</v>
      </c>
      <c r="AC394" s="25">
        <v>0</v>
      </c>
      <c r="AD394" s="25">
        <v>0</v>
      </c>
      <c r="AE394" s="25">
        <v>1</v>
      </c>
      <c r="AF394" s="25" t="s">
        <v>132</v>
      </c>
    </row>
    <row r="395" spans="1:32" s="25" customFormat="1" x14ac:dyDescent="0.25">
      <c r="A395" s="25" t="s">
        <v>170</v>
      </c>
      <c r="B395" s="25">
        <f t="shared" si="13"/>
        <v>1500</v>
      </c>
      <c r="C395" s="25" t="s">
        <v>12</v>
      </c>
      <c r="D395" s="25">
        <v>0</v>
      </c>
      <c r="E395" s="25">
        <v>0</v>
      </c>
      <c r="F395" s="25">
        <v>256</v>
      </c>
      <c r="G395" s="25">
        <v>222</v>
      </c>
      <c r="H395" s="27">
        <v>0</v>
      </c>
      <c r="I395" s="27">
        <v>0</v>
      </c>
      <c r="J395" s="27">
        <v>0</v>
      </c>
      <c r="K395" s="27">
        <v>0</v>
      </c>
      <c r="L395" s="27">
        <v>1</v>
      </c>
      <c r="M395" s="27">
        <v>0</v>
      </c>
      <c r="N395" s="27">
        <v>0</v>
      </c>
      <c r="O395" s="27">
        <v>0</v>
      </c>
      <c r="P395" s="25">
        <v>700</v>
      </c>
      <c r="Q395" s="25">
        <v>560</v>
      </c>
      <c r="R395" s="25" t="s">
        <v>87</v>
      </c>
      <c r="S395" s="25" t="s">
        <v>89</v>
      </c>
      <c r="T395" s="25">
        <v>0</v>
      </c>
      <c r="U395" s="25">
        <v>0</v>
      </c>
      <c r="V395" s="25">
        <v>0</v>
      </c>
      <c r="W395" s="25">
        <v>0</v>
      </c>
      <c r="X395" s="25">
        <v>1</v>
      </c>
      <c r="Y395" s="25">
        <v>0</v>
      </c>
      <c r="Z395" s="25">
        <v>0</v>
      </c>
      <c r="AA395" s="25">
        <v>0</v>
      </c>
      <c r="AB395" s="25">
        <v>0</v>
      </c>
      <c r="AC395" s="25">
        <v>0</v>
      </c>
      <c r="AD395" s="25">
        <v>0</v>
      </c>
      <c r="AE395" s="25">
        <v>1</v>
      </c>
      <c r="AF395" s="25" t="s">
        <v>132</v>
      </c>
    </row>
    <row r="396" spans="1:32" s="25" customFormat="1" x14ac:dyDescent="0.25">
      <c r="A396" s="25" t="s">
        <v>170</v>
      </c>
      <c r="B396" s="25">
        <f t="shared" si="13"/>
        <v>1510</v>
      </c>
      <c r="C396" s="25" t="s">
        <v>12</v>
      </c>
      <c r="D396" s="25">
        <v>0</v>
      </c>
      <c r="E396" s="25">
        <v>0</v>
      </c>
      <c r="F396" s="25">
        <v>256</v>
      </c>
      <c r="G396" s="25">
        <v>222</v>
      </c>
      <c r="H396" s="27">
        <v>0</v>
      </c>
      <c r="I396" s="27">
        <v>0</v>
      </c>
      <c r="J396" s="27">
        <v>0</v>
      </c>
      <c r="K396" s="27">
        <v>0</v>
      </c>
      <c r="L396" s="27">
        <v>1</v>
      </c>
      <c r="M396" s="27">
        <v>0</v>
      </c>
      <c r="N396" s="27">
        <v>0</v>
      </c>
      <c r="O396" s="27">
        <v>0</v>
      </c>
      <c r="P396" s="25">
        <v>700</v>
      </c>
      <c r="Q396" s="25">
        <v>560</v>
      </c>
      <c r="R396" s="25" t="s">
        <v>87</v>
      </c>
      <c r="S396" s="25" t="s">
        <v>89</v>
      </c>
      <c r="T396" s="25">
        <v>0</v>
      </c>
      <c r="U396" s="25">
        <v>0</v>
      </c>
      <c r="V396" s="25">
        <v>0</v>
      </c>
      <c r="W396" s="25">
        <v>0</v>
      </c>
      <c r="X396" s="25">
        <v>1</v>
      </c>
      <c r="Y396" s="25">
        <v>0</v>
      </c>
      <c r="Z396" s="25">
        <v>0</v>
      </c>
      <c r="AA396" s="25">
        <v>0</v>
      </c>
      <c r="AB396" s="25">
        <v>0</v>
      </c>
      <c r="AC396" s="25">
        <v>0</v>
      </c>
      <c r="AD396" s="25">
        <v>0</v>
      </c>
      <c r="AE396" s="25">
        <v>1</v>
      </c>
      <c r="AF396" s="25" t="s">
        <v>132</v>
      </c>
    </row>
    <row r="397" spans="1:32" s="25" customFormat="1" x14ac:dyDescent="0.25">
      <c r="A397" s="25" t="s">
        <v>170</v>
      </c>
      <c r="B397" s="25">
        <f t="shared" si="13"/>
        <v>1520</v>
      </c>
      <c r="C397" s="25" t="s">
        <v>12</v>
      </c>
      <c r="D397" s="25">
        <v>0</v>
      </c>
      <c r="E397" s="25">
        <v>0</v>
      </c>
      <c r="F397" s="25">
        <v>256</v>
      </c>
      <c r="G397" s="25">
        <v>222</v>
      </c>
      <c r="H397" s="27">
        <v>0</v>
      </c>
      <c r="I397" s="27">
        <v>0</v>
      </c>
      <c r="J397" s="27">
        <v>0</v>
      </c>
      <c r="K397" s="27">
        <v>0</v>
      </c>
      <c r="L397" s="27">
        <v>1</v>
      </c>
      <c r="M397" s="27">
        <v>0</v>
      </c>
      <c r="N397" s="27">
        <v>0</v>
      </c>
      <c r="O397" s="27">
        <v>0</v>
      </c>
      <c r="P397" s="25">
        <v>700</v>
      </c>
      <c r="Q397" s="25">
        <v>560</v>
      </c>
      <c r="R397" s="25" t="s">
        <v>87</v>
      </c>
      <c r="S397" s="25" t="s">
        <v>89</v>
      </c>
      <c r="T397" s="25">
        <v>0</v>
      </c>
      <c r="U397" s="25">
        <v>0</v>
      </c>
      <c r="V397" s="25">
        <v>0</v>
      </c>
      <c r="W397" s="25">
        <v>0</v>
      </c>
      <c r="X397" s="25">
        <v>1</v>
      </c>
      <c r="Y397" s="25">
        <v>0</v>
      </c>
      <c r="Z397" s="25">
        <v>0</v>
      </c>
      <c r="AA397" s="25">
        <v>0</v>
      </c>
      <c r="AB397" s="25">
        <v>0</v>
      </c>
      <c r="AC397" s="25">
        <v>0</v>
      </c>
      <c r="AD397" s="25">
        <v>0</v>
      </c>
      <c r="AE397" s="25">
        <v>1</v>
      </c>
      <c r="AF397" s="25" t="s">
        <v>132</v>
      </c>
    </row>
    <row r="398" spans="1:32" s="25" customFormat="1" x14ac:dyDescent="0.25">
      <c r="A398" s="25" t="s">
        <v>170</v>
      </c>
      <c r="B398" s="25">
        <f t="shared" si="13"/>
        <v>1530</v>
      </c>
      <c r="C398" s="25" t="s">
        <v>12</v>
      </c>
      <c r="D398" s="25">
        <v>0</v>
      </c>
      <c r="E398" s="25">
        <v>0</v>
      </c>
      <c r="F398" s="25">
        <v>256</v>
      </c>
      <c r="G398" s="25">
        <v>222</v>
      </c>
      <c r="H398" s="27">
        <v>0</v>
      </c>
      <c r="I398" s="27">
        <v>0</v>
      </c>
      <c r="J398" s="27">
        <v>0</v>
      </c>
      <c r="K398" s="27">
        <v>0</v>
      </c>
      <c r="L398" s="27">
        <v>1</v>
      </c>
      <c r="M398" s="27">
        <v>0</v>
      </c>
      <c r="N398" s="27">
        <v>0</v>
      </c>
      <c r="O398" s="27">
        <v>0</v>
      </c>
      <c r="P398" s="25">
        <v>700</v>
      </c>
      <c r="Q398" s="25">
        <v>560</v>
      </c>
      <c r="R398" s="25" t="s">
        <v>87</v>
      </c>
      <c r="S398" s="25" t="s">
        <v>89</v>
      </c>
      <c r="T398" s="25">
        <v>0</v>
      </c>
      <c r="U398" s="25">
        <v>0</v>
      </c>
      <c r="V398" s="25">
        <v>0</v>
      </c>
      <c r="W398" s="25">
        <v>0</v>
      </c>
      <c r="X398" s="25">
        <v>1</v>
      </c>
      <c r="Y398" s="25">
        <v>0</v>
      </c>
      <c r="Z398" s="25">
        <v>0</v>
      </c>
      <c r="AA398" s="25">
        <v>0</v>
      </c>
      <c r="AB398" s="25">
        <v>0</v>
      </c>
      <c r="AC398" s="25">
        <v>0</v>
      </c>
      <c r="AD398" s="25">
        <v>0</v>
      </c>
      <c r="AE398" s="25">
        <v>1</v>
      </c>
      <c r="AF398" s="25" t="s">
        <v>132</v>
      </c>
    </row>
    <row r="399" spans="1:32" s="25" customFormat="1" x14ac:dyDescent="0.25">
      <c r="A399" s="25" t="s">
        <v>170</v>
      </c>
      <c r="B399" s="25">
        <f t="shared" si="13"/>
        <v>1540</v>
      </c>
      <c r="C399" s="25" t="s">
        <v>12</v>
      </c>
      <c r="D399" s="25">
        <v>0</v>
      </c>
      <c r="E399" s="25">
        <v>0</v>
      </c>
      <c r="F399" s="25">
        <v>256</v>
      </c>
      <c r="G399" s="25">
        <v>222</v>
      </c>
      <c r="H399" s="27">
        <v>0</v>
      </c>
      <c r="I399" s="27">
        <v>0</v>
      </c>
      <c r="J399" s="27">
        <v>0</v>
      </c>
      <c r="K399" s="27">
        <v>0</v>
      </c>
      <c r="L399" s="27">
        <v>1</v>
      </c>
      <c r="M399" s="27">
        <v>0</v>
      </c>
      <c r="N399" s="27">
        <v>0</v>
      </c>
      <c r="O399" s="27">
        <v>0</v>
      </c>
      <c r="P399" s="25">
        <v>700</v>
      </c>
      <c r="Q399" s="25">
        <v>560</v>
      </c>
      <c r="R399" s="25" t="s">
        <v>87</v>
      </c>
      <c r="S399" s="25" t="s">
        <v>89</v>
      </c>
      <c r="T399" s="25">
        <v>0</v>
      </c>
      <c r="U399" s="25">
        <v>0</v>
      </c>
      <c r="V399" s="25">
        <v>0</v>
      </c>
      <c r="W399" s="25">
        <v>0</v>
      </c>
      <c r="X399" s="25">
        <v>1</v>
      </c>
      <c r="Y399" s="25">
        <v>0</v>
      </c>
      <c r="Z399" s="25">
        <v>0</v>
      </c>
      <c r="AA399" s="25">
        <v>0</v>
      </c>
      <c r="AB399" s="25">
        <v>0</v>
      </c>
      <c r="AC399" s="25">
        <v>0</v>
      </c>
      <c r="AD399" s="25">
        <v>0</v>
      </c>
      <c r="AE399" s="25">
        <v>1</v>
      </c>
      <c r="AF399" s="25" t="s">
        <v>132</v>
      </c>
    </row>
    <row r="400" spans="1:32" s="25" customFormat="1" x14ac:dyDescent="0.25">
      <c r="A400" s="25" t="s">
        <v>170</v>
      </c>
      <c r="B400" s="25">
        <f t="shared" si="13"/>
        <v>1550</v>
      </c>
      <c r="C400" s="25" t="s">
        <v>12</v>
      </c>
      <c r="D400" s="25">
        <v>0</v>
      </c>
      <c r="E400" s="25">
        <v>0</v>
      </c>
      <c r="F400" s="25">
        <v>256</v>
      </c>
      <c r="G400" s="25">
        <v>222</v>
      </c>
      <c r="H400" s="27">
        <v>0</v>
      </c>
      <c r="I400" s="27">
        <v>0</v>
      </c>
      <c r="J400" s="27">
        <v>0</v>
      </c>
      <c r="K400" s="27">
        <v>0</v>
      </c>
      <c r="L400" s="27">
        <v>1</v>
      </c>
      <c r="M400" s="27">
        <v>0</v>
      </c>
      <c r="N400" s="27">
        <v>0</v>
      </c>
      <c r="O400" s="27">
        <v>0</v>
      </c>
      <c r="P400" s="25">
        <v>700</v>
      </c>
      <c r="Q400" s="25">
        <v>560</v>
      </c>
      <c r="R400" s="25" t="s">
        <v>87</v>
      </c>
      <c r="S400" s="25" t="s">
        <v>89</v>
      </c>
      <c r="T400" s="25">
        <v>0</v>
      </c>
      <c r="U400" s="25">
        <v>0</v>
      </c>
      <c r="V400" s="25">
        <v>0</v>
      </c>
      <c r="W400" s="25">
        <v>0</v>
      </c>
      <c r="X400" s="25">
        <v>1</v>
      </c>
      <c r="Y400" s="25">
        <v>0</v>
      </c>
      <c r="Z400" s="25">
        <v>0</v>
      </c>
      <c r="AA400" s="25">
        <v>0</v>
      </c>
      <c r="AB400" s="25">
        <v>0</v>
      </c>
      <c r="AC400" s="25">
        <v>0</v>
      </c>
      <c r="AD400" s="25">
        <v>0</v>
      </c>
      <c r="AE400" s="25">
        <v>1</v>
      </c>
      <c r="AF400" s="25" t="s">
        <v>132</v>
      </c>
    </row>
    <row r="401" spans="1:32" s="25" customFormat="1" x14ac:dyDescent="0.25">
      <c r="A401" s="25" t="s">
        <v>170</v>
      </c>
      <c r="B401" s="25">
        <f t="shared" si="13"/>
        <v>1560</v>
      </c>
      <c r="C401" s="25" t="s">
        <v>12</v>
      </c>
      <c r="D401" s="25">
        <v>0</v>
      </c>
      <c r="E401" s="25">
        <v>0</v>
      </c>
      <c r="F401" s="25">
        <v>256</v>
      </c>
      <c r="G401" s="25">
        <v>222</v>
      </c>
      <c r="H401" s="27">
        <v>0</v>
      </c>
      <c r="I401" s="27">
        <v>0</v>
      </c>
      <c r="J401" s="27">
        <v>0</v>
      </c>
      <c r="K401" s="27">
        <v>0</v>
      </c>
      <c r="L401" s="27">
        <v>1</v>
      </c>
      <c r="M401" s="27">
        <v>0</v>
      </c>
      <c r="N401" s="27">
        <v>0</v>
      </c>
      <c r="O401" s="27">
        <v>0</v>
      </c>
      <c r="P401" s="25">
        <v>700</v>
      </c>
      <c r="Q401" s="25">
        <v>560</v>
      </c>
      <c r="R401" s="25" t="s">
        <v>87</v>
      </c>
      <c r="S401" s="25" t="s">
        <v>89</v>
      </c>
      <c r="T401" s="25">
        <v>0</v>
      </c>
      <c r="U401" s="25">
        <v>0</v>
      </c>
      <c r="V401" s="25">
        <v>0</v>
      </c>
      <c r="W401" s="25">
        <v>0</v>
      </c>
      <c r="X401" s="25">
        <v>1</v>
      </c>
      <c r="Y401" s="25">
        <v>0</v>
      </c>
      <c r="Z401" s="25">
        <v>0</v>
      </c>
      <c r="AA401" s="25">
        <v>0</v>
      </c>
      <c r="AB401" s="25">
        <v>0</v>
      </c>
      <c r="AC401" s="25">
        <v>0</v>
      </c>
      <c r="AD401" s="25">
        <v>0</v>
      </c>
      <c r="AE401" s="25">
        <v>1</v>
      </c>
      <c r="AF401" s="25" t="s">
        <v>132</v>
      </c>
    </row>
    <row r="402" spans="1:32" s="25" customFormat="1" x14ac:dyDescent="0.25">
      <c r="A402" s="25" t="s">
        <v>170</v>
      </c>
      <c r="B402" s="25">
        <f t="shared" si="13"/>
        <v>1570</v>
      </c>
      <c r="C402" s="25" t="s">
        <v>12</v>
      </c>
      <c r="D402" s="25">
        <v>0</v>
      </c>
      <c r="E402" s="25">
        <v>0</v>
      </c>
      <c r="F402" s="25">
        <v>256</v>
      </c>
      <c r="G402" s="25">
        <v>222</v>
      </c>
      <c r="H402" s="27">
        <v>0</v>
      </c>
      <c r="I402" s="27">
        <v>0</v>
      </c>
      <c r="J402" s="27">
        <v>0</v>
      </c>
      <c r="K402" s="27">
        <v>0</v>
      </c>
      <c r="L402" s="27">
        <v>1</v>
      </c>
      <c r="M402" s="27">
        <v>0</v>
      </c>
      <c r="N402" s="27">
        <v>0</v>
      </c>
      <c r="O402" s="27">
        <v>0</v>
      </c>
      <c r="P402" s="25">
        <v>700</v>
      </c>
      <c r="Q402" s="25">
        <v>560</v>
      </c>
      <c r="R402" s="25" t="s">
        <v>87</v>
      </c>
      <c r="S402" s="25" t="s">
        <v>89</v>
      </c>
      <c r="T402" s="25">
        <v>0</v>
      </c>
      <c r="U402" s="25">
        <v>0</v>
      </c>
      <c r="V402" s="25">
        <v>0</v>
      </c>
      <c r="W402" s="25">
        <v>0</v>
      </c>
      <c r="X402" s="25">
        <v>1</v>
      </c>
      <c r="Y402" s="25">
        <v>0</v>
      </c>
      <c r="Z402" s="25">
        <v>0</v>
      </c>
      <c r="AA402" s="25">
        <v>0</v>
      </c>
      <c r="AB402" s="25">
        <v>0</v>
      </c>
      <c r="AC402" s="25">
        <v>0</v>
      </c>
      <c r="AD402" s="25">
        <v>0</v>
      </c>
      <c r="AE402" s="25">
        <v>1</v>
      </c>
      <c r="AF402" s="25" t="s">
        <v>132</v>
      </c>
    </row>
    <row r="403" spans="1:32" s="25" customFormat="1" x14ac:dyDescent="0.25">
      <c r="A403" s="25" t="s">
        <v>170</v>
      </c>
      <c r="B403" s="25">
        <f t="shared" si="13"/>
        <v>1580</v>
      </c>
      <c r="C403" s="25" t="s">
        <v>12</v>
      </c>
      <c r="D403" s="25">
        <v>0</v>
      </c>
      <c r="E403" s="25">
        <v>0</v>
      </c>
      <c r="F403" s="25">
        <v>256</v>
      </c>
      <c r="G403" s="25">
        <v>222</v>
      </c>
      <c r="H403" s="27">
        <v>0</v>
      </c>
      <c r="I403" s="27">
        <v>0</v>
      </c>
      <c r="J403" s="27">
        <v>0</v>
      </c>
      <c r="K403" s="27">
        <v>0</v>
      </c>
      <c r="L403" s="27">
        <v>1</v>
      </c>
      <c r="M403" s="27">
        <v>0</v>
      </c>
      <c r="N403" s="27">
        <v>0</v>
      </c>
      <c r="O403" s="27">
        <v>0</v>
      </c>
      <c r="P403" s="25">
        <v>700</v>
      </c>
      <c r="Q403" s="25">
        <v>560</v>
      </c>
      <c r="R403" s="25" t="s">
        <v>87</v>
      </c>
      <c r="S403" s="25" t="s">
        <v>89</v>
      </c>
      <c r="T403" s="25">
        <v>0</v>
      </c>
      <c r="U403" s="25">
        <v>0</v>
      </c>
      <c r="V403" s="25">
        <v>0</v>
      </c>
      <c r="W403" s="25">
        <v>0</v>
      </c>
      <c r="X403" s="25">
        <v>1</v>
      </c>
      <c r="Y403" s="25">
        <v>0</v>
      </c>
      <c r="Z403" s="25">
        <v>0</v>
      </c>
      <c r="AA403" s="25">
        <v>0</v>
      </c>
      <c r="AB403" s="25">
        <v>0</v>
      </c>
      <c r="AC403" s="25">
        <v>0</v>
      </c>
      <c r="AD403" s="25">
        <v>0</v>
      </c>
      <c r="AE403" s="25">
        <v>1</v>
      </c>
      <c r="AF403" s="25" t="s">
        <v>132</v>
      </c>
    </row>
    <row r="404" spans="1:32" s="25" customFormat="1" x14ac:dyDescent="0.25">
      <c r="A404" s="25" t="s">
        <v>170</v>
      </c>
      <c r="B404" s="25">
        <f t="shared" si="13"/>
        <v>1590</v>
      </c>
      <c r="C404" s="25" t="s">
        <v>12</v>
      </c>
      <c r="D404" s="25">
        <v>0</v>
      </c>
      <c r="E404" s="25">
        <v>0</v>
      </c>
      <c r="F404" s="25">
        <v>256</v>
      </c>
      <c r="G404" s="25">
        <v>222</v>
      </c>
      <c r="H404" s="27">
        <v>0</v>
      </c>
      <c r="I404" s="27">
        <v>0</v>
      </c>
      <c r="J404" s="27">
        <v>0</v>
      </c>
      <c r="K404" s="27">
        <v>0</v>
      </c>
      <c r="L404" s="27">
        <v>1</v>
      </c>
      <c r="M404" s="27">
        <v>0</v>
      </c>
      <c r="N404" s="27">
        <v>0</v>
      </c>
      <c r="O404" s="27">
        <v>0</v>
      </c>
      <c r="P404" s="25">
        <v>700</v>
      </c>
      <c r="Q404" s="25">
        <v>560</v>
      </c>
      <c r="R404" s="25" t="s">
        <v>87</v>
      </c>
      <c r="S404" s="25" t="s">
        <v>89</v>
      </c>
      <c r="T404" s="25">
        <v>0</v>
      </c>
      <c r="U404" s="25">
        <v>0</v>
      </c>
      <c r="V404" s="25">
        <v>0</v>
      </c>
      <c r="W404" s="25">
        <v>0</v>
      </c>
      <c r="X404" s="25">
        <v>1</v>
      </c>
      <c r="Y404" s="25">
        <v>0</v>
      </c>
      <c r="Z404" s="25">
        <v>0</v>
      </c>
      <c r="AA404" s="25">
        <v>0</v>
      </c>
      <c r="AB404" s="25">
        <v>0</v>
      </c>
      <c r="AC404" s="25">
        <v>0</v>
      </c>
      <c r="AD404" s="25">
        <v>0</v>
      </c>
      <c r="AE404" s="25">
        <v>1</v>
      </c>
      <c r="AF404" s="25" t="s">
        <v>132</v>
      </c>
    </row>
    <row r="405" spans="1:32" s="25" customFormat="1" x14ac:dyDescent="0.25">
      <c r="A405" s="25" t="s">
        <v>170</v>
      </c>
      <c r="B405" s="25">
        <f t="shared" si="13"/>
        <v>1600</v>
      </c>
      <c r="C405" s="25" t="s">
        <v>12</v>
      </c>
      <c r="D405" s="25">
        <v>0</v>
      </c>
      <c r="E405" s="25">
        <v>0</v>
      </c>
      <c r="F405" s="25">
        <v>256</v>
      </c>
      <c r="G405" s="25">
        <v>222</v>
      </c>
      <c r="H405" s="27">
        <v>0</v>
      </c>
      <c r="I405" s="27">
        <v>0</v>
      </c>
      <c r="J405" s="27">
        <v>0</v>
      </c>
      <c r="K405" s="27">
        <v>0</v>
      </c>
      <c r="L405" s="27">
        <v>1</v>
      </c>
      <c r="M405" s="27">
        <v>0</v>
      </c>
      <c r="N405" s="27">
        <v>0</v>
      </c>
      <c r="O405" s="27">
        <v>0</v>
      </c>
      <c r="P405" s="25">
        <v>700</v>
      </c>
      <c r="Q405" s="25">
        <v>560</v>
      </c>
      <c r="R405" s="25" t="s">
        <v>87</v>
      </c>
      <c r="S405" s="25" t="s">
        <v>89</v>
      </c>
      <c r="T405" s="25">
        <v>0</v>
      </c>
      <c r="U405" s="25">
        <v>0</v>
      </c>
      <c r="V405" s="25">
        <v>0</v>
      </c>
      <c r="W405" s="25">
        <v>0</v>
      </c>
      <c r="X405" s="25">
        <v>1</v>
      </c>
      <c r="Y405" s="25">
        <v>0</v>
      </c>
      <c r="Z405" s="25">
        <v>0</v>
      </c>
      <c r="AA405" s="25">
        <v>0</v>
      </c>
      <c r="AB405" s="25">
        <v>0</v>
      </c>
      <c r="AC405" s="25">
        <v>0</v>
      </c>
      <c r="AD405" s="25">
        <v>0</v>
      </c>
      <c r="AE405" s="25">
        <v>1</v>
      </c>
      <c r="AF405" s="25" t="s">
        <v>132</v>
      </c>
    </row>
    <row r="406" spans="1:32" s="25" customFormat="1" x14ac:dyDescent="0.25">
      <c r="A406" s="25" t="s">
        <v>170</v>
      </c>
      <c r="B406" s="25">
        <f t="shared" si="13"/>
        <v>1610</v>
      </c>
      <c r="C406" s="25" t="s">
        <v>12</v>
      </c>
      <c r="D406" s="25">
        <v>0</v>
      </c>
      <c r="E406" s="25">
        <v>0</v>
      </c>
      <c r="F406" s="25">
        <v>256</v>
      </c>
      <c r="G406" s="25">
        <v>222</v>
      </c>
      <c r="H406" s="27">
        <v>0</v>
      </c>
      <c r="I406" s="27">
        <v>0</v>
      </c>
      <c r="J406" s="27">
        <v>0</v>
      </c>
      <c r="K406" s="27">
        <v>0</v>
      </c>
      <c r="L406" s="27">
        <v>1</v>
      </c>
      <c r="M406" s="27">
        <v>0</v>
      </c>
      <c r="N406" s="27">
        <v>0</v>
      </c>
      <c r="O406" s="27">
        <v>0</v>
      </c>
      <c r="P406" s="25">
        <v>700</v>
      </c>
      <c r="Q406" s="25">
        <v>560</v>
      </c>
      <c r="R406" s="25" t="s">
        <v>87</v>
      </c>
      <c r="S406" s="25" t="s">
        <v>89</v>
      </c>
      <c r="T406" s="25">
        <v>0</v>
      </c>
      <c r="U406" s="25">
        <v>0</v>
      </c>
      <c r="V406" s="25">
        <v>0</v>
      </c>
      <c r="W406" s="25">
        <v>0</v>
      </c>
      <c r="X406" s="25">
        <v>1</v>
      </c>
      <c r="Y406" s="25">
        <v>0</v>
      </c>
      <c r="Z406" s="25">
        <v>0</v>
      </c>
      <c r="AA406" s="25">
        <v>0</v>
      </c>
      <c r="AB406" s="25">
        <v>0</v>
      </c>
      <c r="AC406" s="25">
        <v>0</v>
      </c>
      <c r="AD406" s="25">
        <v>0</v>
      </c>
      <c r="AE406" s="25">
        <v>1</v>
      </c>
      <c r="AF406" s="25" t="s">
        <v>132</v>
      </c>
    </row>
    <row r="407" spans="1:32" s="25" customFormat="1" x14ac:dyDescent="0.25">
      <c r="A407" s="25" t="s">
        <v>170</v>
      </c>
      <c r="B407" s="25">
        <f t="shared" si="13"/>
        <v>1620</v>
      </c>
      <c r="C407" s="25" t="s">
        <v>12</v>
      </c>
      <c r="D407" s="25">
        <v>0</v>
      </c>
      <c r="E407" s="25">
        <v>0</v>
      </c>
      <c r="F407" s="25">
        <v>256</v>
      </c>
      <c r="G407" s="25">
        <v>222</v>
      </c>
      <c r="H407" s="27">
        <v>0</v>
      </c>
      <c r="I407" s="27">
        <v>0</v>
      </c>
      <c r="J407" s="27">
        <v>0</v>
      </c>
      <c r="K407" s="27">
        <v>0</v>
      </c>
      <c r="L407" s="27">
        <v>1</v>
      </c>
      <c r="M407" s="27">
        <v>0</v>
      </c>
      <c r="N407" s="27">
        <v>0</v>
      </c>
      <c r="O407" s="27">
        <v>0</v>
      </c>
      <c r="P407" s="25">
        <v>700</v>
      </c>
      <c r="Q407" s="25">
        <v>560</v>
      </c>
      <c r="R407" s="25" t="s">
        <v>87</v>
      </c>
      <c r="S407" s="25" t="s">
        <v>89</v>
      </c>
      <c r="T407" s="25">
        <v>0</v>
      </c>
      <c r="U407" s="25">
        <v>0</v>
      </c>
      <c r="V407" s="25">
        <v>0</v>
      </c>
      <c r="W407" s="25">
        <v>0</v>
      </c>
      <c r="X407" s="25">
        <v>1</v>
      </c>
      <c r="Y407" s="25">
        <v>0</v>
      </c>
      <c r="Z407" s="25">
        <v>0</v>
      </c>
      <c r="AA407" s="25">
        <v>0</v>
      </c>
      <c r="AB407" s="25">
        <v>0</v>
      </c>
      <c r="AC407" s="25">
        <v>0</v>
      </c>
      <c r="AD407" s="25">
        <v>0</v>
      </c>
      <c r="AE407" s="25">
        <v>1</v>
      </c>
      <c r="AF407" s="25" t="s">
        <v>132</v>
      </c>
    </row>
    <row r="408" spans="1:32" s="25" customFormat="1" x14ac:dyDescent="0.25">
      <c r="A408" s="25" t="s">
        <v>170</v>
      </c>
      <c r="B408" s="25">
        <f t="shared" si="13"/>
        <v>1630</v>
      </c>
      <c r="C408" s="25" t="s">
        <v>12</v>
      </c>
      <c r="D408" s="25">
        <v>0</v>
      </c>
      <c r="E408" s="25">
        <v>0</v>
      </c>
      <c r="F408" s="25">
        <v>256</v>
      </c>
      <c r="G408" s="25">
        <v>222</v>
      </c>
      <c r="H408" s="27">
        <v>0</v>
      </c>
      <c r="I408" s="27">
        <v>0</v>
      </c>
      <c r="J408" s="27">
        <v>0</v>
      </c>
      <c r="K408" s="27">
        <v>0</v>
      </c>
      <c r="L408" s="27">
        <v>1</v>
      </c>
      <c r="M408" s="27">
        <v>0</v>
      </c>
      <c r="N408" s="27">
        <v>0</v>
      </c>
      <c r="O408" s="27">
        <v>0</v>
      </c>
      <c r="P408" s="25">
        <v>700</v>
      </c>
      <c r="Q408" s="25">
        <v>560</v>
      </c>
      <c r="R408" s="25" t="s">
        <v>87</v>
      </c>
      <c r="S408" s="25" t="s">
        <v>89</v>
      </c>
      <c r="T408" s="25">
        <v>0</v>
      </c>
      <c r="U408" s="25">
        <v>0</v>
      </c>
      <c r="V408" s="25">
        <v>0</v>
      </c>
      <c r="W408" s="25">
        <v>0</v>
      </c>
      <c r="X408" s="25">
        <v>1</v>
      </c>
      <c r="Y408" s="25">
        <v>0</v>
      </c>
      <c r="Z408" s="25">
        <v>0</v>
      </c>
      <c r="AA408" s="25">
        <v>0</v>
      </c>
      <c r="AB408" s="25">
        <v>0</v>
      </c>
      <c r="AC408" s="25">
        <v>0</v>
      </c>
      <c r="AD408" s="25">
        <v>0</v>
      </c>
      <c r="AE408" s="25">
        <v>1</v>
      </c>
      <c r="AF408" s="25" t="s">
        <v>132</v>
      </c>
    </row>
    <row r="409" spans="1:32" s="25" customFormat="1" x14ac:dyDescent="0.25">
      <c r="A409" s="25" t="s">
        <v>170</v>
      </c>
      <c r="B409" s="25">
        <f t="shared" si="13"/>
        <v>1640</v>
      </c>
      <c r="C409" s="25" t="s">
        <v>12</v>
      </c>
      <c r="D409" s="25">
        <v>0</v>
      </c>
      <c r="E409" s="25">
        <v>0</v>
      </c>
      <c r="F409" s="25">
        <v>256</v>
      </c>
      <c r="G409" s="25">
        <v>222</v>
      </c>
      <c r="H409" s="27">
        <v>0</v>
      </c>
      <c r="I409" s="27">
        <v>0</v>
      </c>
      <c r="J409" s="27">
        <v>0</v>
      </c>
      <c r="K409" s="27">
        <v>0</v>
      </c>
      <c r="L409" s="27">
        <v>1</v>
      </c>
      <c r="M409" s="27">
        <v>0</v>
      </c>
      <c r="N409" s="27">
        <v>0</v>
      </c>
      <c r="O409" s="27">
        <v>0</v>
      </c>
      <c r="P409" s="25">
        <v>700</v>
      </c>
      <c r="Q409" s="25">
        <v>560</v>
      </c>
      <c r="R409" s="25" t="s">
        <v>87</v>
      </c>
      <c r="S409" s="25" t="s">
        <v>89</v>
      </c>
      <c r="T409" s="25">
        <v>0</v>
      </c>
      <c r="U409" s="25">
        <v>0</v>
      </c>
      <c r="V409" s="25">
        <v>0</v>
      </c>
      <c r="W409" s="25">
        <v>0</v>
      </c>
      <c r="X409" s="25">
        <v>1</v>
      </c>
      <c r="Y409" s="25">
        <v>0</v>
      </c>
      <c r="Z409" s="25">
        <v>0</v>
      </c>
      <c r="AA409" s="25">
        <v>0</v>
      </c>
      <c r="AB409" s="25">
        <v>0</v>
      </c>
      <c r="AC409" s="25">
        <v>0</v>
      </c>
      <c r="AD409" s="25">
        <v>0</v>
      </c>
      <c r="AE409" s="25">
        <v>1</v>
      </c>
      <c r="AF409" s="25" t="s">
        <v>132</v>
      </c>
    </row>
    <row r="410" spans="1:32" s="25" customFormat="1" x14ac:dyDescent="0.25">
      <c r="A410" s="25" t="s">
        <v>170</v>
      </c>
      <c r="B410" s="25">
        <f t="shared" si="13"/>
        <v>1650</v>
      </c>
      <c r="C410" s="25" t="s">
        <v>12</v>
      </c>
      <c r="D410" s="25">
        <v>0</v>
      </c>
      <c r="E410" s="25">
        <v>0</v>
      </c>
      <c r="F410" s="25">
        <v>256</v>
      </c>
      <c r="G410" s="25">
        <v>222</v>
      </c>
      <c r="H410" s="27">
        <v>0</v>
      </c>
      <c r="I410" s="27">
        <v>0</v>
      </c>
      <c r="J410" s="27">
        <v>0</v>
      </c>
      <c r="K410" s="27">
        <v>0</v>
      </c>
      <c r="L410" s="27">
        <v>1</v>
      </c>
      <c r="M410" s="27">
        <v>0</v>
      </c>
      <c r="N410" s="27">
        <v>0</v>
      </c>
      <c r="O410" s="27">
        <v>0</v>
      </c>
      <c r="P410" s="25">
        <v>700</v>
      </c>
      <c r="Q410" s="25">
        <v>560</v>
      </c>
      <c r="R410" s="25" t="s">
        <v>87</v>
      </c>
      <c r="S410" s="25" t="s">
        <v>89</v>
      </c>
      <c r="T410" s="25">
        <v>0</v>
      </c>
      <c r="U410" s="25">
        <v>0</v>
      </c>
      <c r="V410" s="25">
        <v>0</v>
      </c>
      <c r="W410" s="25">
        <v>0</v>
      </c>
      <c r="X410" s="25">
        <v>1</v>
      </c>
      <c r="Y410" s="25">
        <v>0</v>
      </c>
      <c r="Z410" s="25">
        <v>0</v>
      </c>
      <c r="AA410" s="25">
        <v>0</v>
      </c>
      <c r="AB410" s="25">
        <v>0</v>
      </c>
      <c r="AC410" s="25">
        <v>0</v>
      </c>
      <c r="AD410" s="25">
        <v>0</v>
      </c>
      <c r="AE410" s="25">
        <v>1</v>
      </c>
      <c r="AF410" s="25" t="s">
        <v>132</v>
      </c>
    </row>
    <row r="411" spans="1:32" s="25" customFormat="1" x14ac:dyDescent="0.25">
      <c r="A411" s="25" t="s">
        <v>170</v>
      </c>
      <c r="B411" s="25">
        <f t="shared" si="13"/>
        <v>1660</v>
      </c>
      <c r="C411" s="25" t="s">
        <v>12</v>
      </c>
      <c r="D411" s="25">
        <v>0</v>
      </c>
      <c r="E411" s="25">
        <v>0</v>
      </c>
      <c r="F411" s="25">
        <v>256</v>
      </c>
      <c r="G411" s="25">
        <v>222</v>
      </c>
      <c r="H411" s="27">
        <v>0</v>
      </c>
      <c r="I411" s="27">
        <v>0</v>
      </c>
      <c r="J411" s="27">
        <v>0</v>
      </c>
      <c r="K411" s="27">
        <v>0</v>
      </c>
      <c r="L411" s="27">
        <v>1</v>
      </c>
      <c r="M411" s="27">
        <v>0</v>
      </c>
      <c r="N411" s="27">
        <v>0</v>
      </c>
      <c r="O411" s="27">
        <v>0</v>
      </c>
      <c r="P411" s="25">
        <v>700</v>
      </c>
      <c r="Q411" s="25">
        <v>560</v>
      </c>
      <c r="R411" s="25" t="s">
        <v>87</v>
      </c>
      <c r="S411" s="25" t="s">
        <v>89</v>
      </c>
      <c r="T411" s="25">
        <v>0</v>
      </c>
      <c r="U411" s="25">
        <v>0</v>
      </c>
      <c r="V411" s="25">
        <v>0</v>
      </c>
      <c r="W411" s="25">
        <v>0</v>
      </c>
      <c r="X411" s="25">
        <v>1</v>
      </c>
      <c r="Y411" s="25">
        <v>0</v>
      </c>
      <c r="Z411" s="25">
        <v>0</v>
      </c>
      <c r="AA411" s="25">
        <v>0</v>
      </c>
      <c r="AB411" s="25">
        <v>0</v>
      </c>
      <c r="AC411" s="25">
        <v>0</v>
      </c>
      <c r="AD411" s="25">
        <v>0</v>
      </c>
      <c r="AE411" s="25">
        <v>1</v>
      </c>
      <c r="AF411" s="25" t="s">
        <v>132</v>
      </c>
    </row>
    <row r="412" spans="1:32" s="25" customFormat="1" x14ac:dyDescent="0.25">
      <c r="A412" s="25" t="s">
        <v>170</v>
      </c>
      <c r="B412" s="25">
        <f t="shared" si="13"/>
        <v>1670</v>
      </c>
      <c r="C412" s="25" t="s">
        <v>12</v>
      </c>
      <c r="D412" s="25">
        <v>0</v>
      </c>
      <c r="E412" s="25">
        <v>0</v>
      </c>
      <c r="F412" s="25">
        <v>256</v>
      </c>
      <c r="G412" s="25">
        <v>222</v>
      </c>
      <c r="H412" s="27">
        <v>0</v>
      </c>
      <c r="I412" s="27">
        <v>0</v>
      </c>
      <c r="J412" s="27">
        <v>0</v>
      </c>
      <c r="K412" s="27">
        <v>0</v>
      </c>
      <c r="L412" s="27">
        <v>1</v>
      </c>
      <c r="M412" s="27">
        <v>0</v>
      </c>
      <c r="N412" s="27">
        <v>0</v>
      </c>
      <c r="O412" s="27">
        <v>0</v>
      </c>
      <c r="P412" s="25">
        <v>700</v>
      </c>
      <c r="Q412" s="25">
        <v>560</v>
      </c>
      <c r="R412" s="25" t="s">
        <v>87</v>
      </c>
      <c r="S412" s="25" t="s">
        <v>89</v>
      </c>
      <c r="T412" s="25">
        <v>0</v>
      </c>
      <c r="U412" s="25">
        <v>0</v>
      </c>
      <c r="V412" s="25">
        <v>0</v>
      </c>
      <c r="W412" s="25">
        <v>0</v>
      </c>
      <c r="X412" s="25">
        <v>1</v>
      </c>
      <c r="Y412" s="25">
        <v>0</v>
      </c>
      <c r="Z412" s="25">
        <v>0</v>
      </c>
      <c r="AA412" s="25">
        <v>0</v>
      </c>
      <c r="AB412" s="25">
        <v>0</v>
      </c>
      <c r="AC412" s="25">
        <v>0</v>
      </c>
      <c r="AD412" s="25">
        <v>0</v>
      </c>
      <c r="AE412" s="25">
        <v>1</v>
      </c>
      <c r="AF412" s="25" t="s">
        <v>132</v>
      </c>
    </row>
    <row r="413" spans="1:32" s="25" customFormat="1" x14ac:dyDescent="0.25">
      <c r="A413" s="25" t="s">
        <v>170</v>
      </c>
      <c r="B413" s="25">
        <f t="shared" si="13"/>
        <v>1680</v>
      </c>
      <c r="C413" s="25" t="s">
        <v>12</v>
      </c>
      <c r="D413" s="25">
        <v>0</v>
      </c>
      <c r="E413" s="25">
        <v>0</v>
      </c>
      <c r="F413" s="25">
        <v>256</v>
      </c>
      <c r="G413" s="25">
        <v>222</v>
      </c>
      <c r="H413" s="27">
        <v>0</v>
      </c>
      <c r="I413" s="27">
        <v>0</v>
      </c>
      <c r="J413" s="27">
        <v>0</v>
      </c>
      <c r="K413" s="27">
        <v>0</v>
      </c>
      <c r="L413" s="27">
        <v>1</v>
      </c>
      <c r="M413" s="27">
        <v>0</v>
      </c>
      <c r="N413" s="27">
        <v>0</v>
      </c>
      <c r="O413" s="27">
        <v>0</v>
      </c>
      <c r="P413" s="25">
        <v>700</v>
      </c>
      <c r="Q413" s="25">
        <v>560</v>
      </c>
      <c r="R413" s="25" t="s">
        <v>87</v>
      </c>
      <c r="S413" s="25" t="s">
        <v>89</v>
      </c>
      <c r="T413" s="25">
        <v>0</v>
      </c>
      <c r="U413" s="25">
        <v>0</v>
      </c>
      <c r="V413" s="25">
        <v>0</v>
      </c>
      <c r="W413" s="25">
        <v>0</v>
      </c>
      <c r="X413" s="25">
        <v>1</v>
      </c>
      <c r="Y413" s="25">
        <v>0</v>
      </c>
      <c r="Z413" s="25">
        <v>0</v>
      </c>
      <c r="AA413" s="25">
        <v>0</v>
      </c>
      <c r="AB413" s="25">
        <v>0</v>
      </c>
      <c r="AC413" s="25">
        <v>0</v>
      </c>
      <c r="AD413" s="25">
        <v>0</v>
      </c>
      <c r="AE413" s="25">
        <v>1</v>
      </c>
      <c r="AF413" s="25" t="s">
        <v>132</v>
      </c>
    </row>
    <row r="414" spans="1:32" s="25" customFormat="1" x14ac:dyDescent="0.25">
      <c r="A414" s="25" t="s">
        <v>170</v>
      </c>
      <c r="B414" s="25">
        <f t="shared" si="13"/>
        <v>1690</v>
      </c>
      <c r="C414" s="25" t="s">
        <v>12</v>
      </c>
      <c r="D414" s="25">
        <v>0</v>
      </c>
      <c r="E414" s="25">
        <v>0</v>
      </c>
      <c r="F414" s="25">
        <v>256</v>
      </c>
      <c r="G414" s="25">
        <v>222</v>
      </c>
      <c r="H414" s="27">
        <v>0</v>
      </c>
      <c r="I414" s="27">
        <v>0</v>
      </c>
      <c r="J414" s="27">
        <v>0</v>
      </c>
      <c r="K414" s="27">
        <v>0</v>
      </c>
      <c r="L414" s="27">
        <v>1</v>
      </c>
      <c r="M414" s="27">
        <v>0</v>
      </c>
      <c r="N414" s="27">
        <v>0</v>
      </c>
      <c r="O414" s="27">
        <v>0</v>
      </c>
      <c r="P414" s="25">
        <v>700</v>
      </c>
      <c r="Q414" s="25">
        <v>560</v>
      </c>
      <c r="R414" s="25" t="s">
        <v>87</v>
      </c>
      <c r="S414" s="25" t="s">
        <v>89</v>
      </c>
      <c r="T414" s="25">
        <v>0</v>
      </c>
      <c r="U414" s="25">
        <v>0</v>
      </c>
      <c r="V414" s="25">
        <v>0</v>
      </c>
      <c r="W414" s="25">
        <v>0</v>
      </c>
      <c r="X414" s="25">
        <v>1</v>
      </c>
      <c r="Y414" s="25">
        <v>0</v>
      </c>
      <c r="Z414" s="25">
        <v>0</v>
      </c>
      <c r="AA414" s="25">
        <v>0</v>
      </c>
      <c r="AB414" s="25">
        <v>0</v>
      </c>
      <c r="AC414" s="25">
        <v>0</v>
      </c>
      <c r="AD414" s="25">
        <v>0</v>
      </c>
      <c r="AE414" s="25">
        <v>1</v>
      </c>
      <c r="AF414" s="25" t="s">
        <v>132</v>
      </c>
    </row>
    <row r="415" spans="1:32" s="25" customFormat="1" x14ac:dyDescent="0.25">
      <c r="A415" s="25" t="s">
        <v>170</v>
      </c>
      <c r="B415" s="25">
        <f t="shared" si="13"/>
        <v>1700</v>
      </c>
      <c r="C415" s="25" t="s">
        <v>12</v>
      </c>
      <c r="D415" s="25">
        <v>0</v>
      </c>
      <c r="E415" s="25">
        <v>0</v>
      </c>
      <c r="F415" s="25">
        <v>256</v>
      </c>
      <c r="G415" s="25">
        <v>222</v>
      </c>
      <c r="H415" s="27">
        <v>0</v>
      </c>
      <c r="I415" s="27">
        <v>0</v>
      </c>
      <c r="J415" s="27">
        <v>0</v>
      </c>
      <c r="K415" s="27">
        <v>0</v>
      </c>
      <c r="L415" s="27">
        <v>1</v>
      </c>
      <c r="M415" s="27">
        <v>0</v>
      </c>
      <c r="N415" s="27">
        <v>0</v>
      </c>
      <c r="O415" s="27">
        <v>0</v>
      </c>
      <c r="P415" s="25">
        <v>700</v>
      </c>
      <c r="Q415" s="25">
        <v>560</v>
      </c>
      <c r="R415" s="25" t="s">
        <v>87</v>
      </c>
      <c r="S415" s="25" t="s">
        <v>89</v>
      </c>
      <c r="T415" s="25">
        <v>0</v>
      </c>
      <c r="U415" s="25">
        <v>0</v>
      </c>
      <c r="V415" s="25">
        <v>0</v>
      </c>
      <c r="W415" s="25">
        <v>0</v>
      </c>
      <c r="X415" s="25">
        <v>1</v>
      </c>
      <c r="Y415" s="25">
        <v>0</v>
      </c>
      <c r="Z415" s="25">
        <v>0</v>
      </c>
      <c r="AA415" s="25">
        <v>0</v>
      </c>
      <c r="AB415" s="25">
        <v>0</v>
      </c>
      <c r="AC415" s="25">
        <v>0</v>
      </c>
      <c r="AD415" s="25">
        <v>0</v>
      </c>
      <c r="AE415" s="25">
        <v>1</v>
      </c>
      <c r="AF415" s="25" t="s">
        <v>132</v>
      </c>
    </row>
    <row r="416" spans="1:32" s="25" customFormat="1" x14ac:dyDescent="0.25">
      <c r="A416" s="25" t="s">
        <v>170</v>
      </c>
      <c r="B416" s="25">
        <f t="shared" si="13"/>
        <v>1710</v>
      </c>
      <c r="C416" s="25" t="s">
        <v>12</v>
      </c>
      <c r="D416" s="25">
        <v>0</v>
      </c>
      <c r="E416" s="25">
        <v>0</v>
      </c>
      <c r="F416" s="25">
        <v>256</v>
      </c>
      <c r="G416" s="25">
        <v>222</v>
      </c>
      <c r="H416" s="27">
        <v>0</v>
      </c>
      <c r="I416" s="27">
        <v>0</v>
      </c>
      <c r="J416" s="27">
        <v>0</v>
      </c>
      <c r="K416" s="27">
        <v>0</v>
      </c>
      <c r="L416" s="27">
        <v>1</v>
      </c>
      <c r="M416" s="27">
        <v>0</v>
      </c>
      <c r="N416" s="27">
        <v>0</v>
      </c>
      <c r="O416" s="27">
        <v>0</v>
      </c>
      <c r="P416" s="25">
        <v>700</v>
      </c>
      <c r="Q416" s="25">
        <v>560</v>
      </c>
      <c r="R416" s="25" t="s">
        <v>87</v>
      </c>
      <c r="S416" s="25" t="s">
        <v>89</v>
      </c>
      <c r="T416" s="25">
        <v>0</v>
      </c>
      <c r="U416" s="25">
        <v>0</v>
      </c>
      <c r="V416" s="25">
        <v>0</v>
      </c>
      <c r="W416" s="25">
        <v>0</v>
      </c>
      <c r="X416" s="25">
        <v>1</v>
      </c>
      <c r="Y416" s="25">
        <v>0</v>
      </c>
      <c r="Z416" s="25">
        <v>0</v>
      </c>
      <c r="AA416" s="25">
        <v>0</v>
      </c>
      <c r="AB416" s="25">
        <v>0</v>
      </c>
      <c r="AC416" s="25">
        <v>0</v>
      </c>
      <c r="AD416" s="25">
        <v>0</v>
      </c>
      <c r="AE416" s="25">
        <v>1</v>
      </c>
      <c r="AF416" s="25" t="s">
        <v>132</v>
      </c>
    </row>
    <row r="417" spans="1:32" s="25" customFormat="1" x14ac:dyDescent="0.25">
      <c r="A417" s="25" t="s">
        <v>170</v>
      </c>
      <c r="B417" s="25">
        <f t="shared" si="13"/>
        <v>1720</v>
      </c>
      <c r="C417" s="25" t="s">
        <v>12</v>
      </c>
      <c r="D417" s="25">
        <v>0</v>
      </c>
      <c r="E417" s="25">
        <v>0</v>
      </c>
      <c r="F417" s="25">
        <v>256</v>
      </c>
      <c r="G417" s="25">
        <v>222</v>
      </c>
      <c r="H417" s="27">
        <v>0</v>
      </c>
      <c r="I417" s="27">
        <v>0</v>
      </c>
      <c r="J417" s="27">
        <v>0</v>
      </c>
      <c r="K417" s="27">
        <v>0</v>
      </c>
      <c r="L417" s="27">
        <v>1</v>
      </c>
      <c r="M417" s="27">
        <v>0</v>
      </c>
      <c r="N417" s="27">
        <v>0</v>
      </c>
      <c r="O417" s="27">
        <v>0</v>
      </c>
      <c r="P417" s="25">
        <v>700</v>
      </c>
      <c r="Q417" s="25">
        <v>560</v>
      </c>
      <c r="R417" s="25" t="s">
        <v>87</v>
      </c>
      <c r="S417" s="25" t="s">
        <v>89</v>
      </c>
      <c r="T417" s="25">
        <v>0</v>
      </c>
      <c r="U417" s="25">
        <v>0</v>
      </c>
      <c r="V417" s="25">
        <v>0</v>
      </c>
      <c r="W417" s="25">
        <v>0</v>
      </c>
      <c r="X417" s="25">
        <v>1</v>
      </c>
      <c r="Y417" s="25">
        <v>0</v>
      </c>
      <c r="Z417" s="25">
        <v>0</v>
      </c>
      <c r="AA417" s="25">
        <v>0</v>
      </c>
      <c r="AB417" s="25">
        <v>0</v>
      </c>
      <c r="AC417" s="25">
        <v>0</v>
      </c>
      <c r="AD417" s="25">
        <v>0</v>
      </c>
      <c r="AE417" s="25">
        <v>1</v>
      </c>
      <c r="AF417" s="25" t="s">
        <v>132</v>
      </c>
    </row>
    <row r="418" spans="1:32" s="25" customFormat="1" x14ac:dyDescent="0.25">
      <c r="A418" s="25" t="s">
        <v>170</v>
      </c>
      <c r="B418" s="25">
        <f t="shared" si="13"/>
        <v>1730</v>
      </c>
      <c r="C418" s="25" t="s">
        <v>12</v>
      </c>
      <c r="D418" s="25">
        <v>0</v>
      </c>
      <c r="E418" s="25">
        <v>0</v>
      </c>
      <c r="F418" s="25">
        <v>256</v>
      </c>
      <c r="G418" s="25">
        <v>222</v>
      </c>
      <c r="H418" s="27">
        <v>0</v>
      </c>
      <c r="I418" s="27">
        <v>0</v>
      </c>
      <c r="J418" s="27">
        <v>0</v>
      </c>
      <c r="K418" s="27">
        <v>0</v>
      </c>
      <c r="L418" s="27">
        <v>1</v>
      </c>
      <c r="M418" s="27">
        <v>0</v>
      </c>
      <c r="N418" s="27">
        <v>0</v>
      </c>
      <c r="O418" s="27">
        <v>0</v>
      </c>
      <c r="P418" s="25">
        <v>700</v>
      </c>
      <c r="Q418" s="25">
        <v>560</v>
      </c>
      <c r="R418" s="25" t="s">
        <v>87</v>
      </c>
      <c r="S418" s="25" t="s">
        <v>89</v>
      </c>
      <c r="T418" s="25">
        <v>0</v>
      </c>
      <c r="U418" s="25">
        <v>0</v>
      </c>
      <c r="V418" s="25">
        <v>0</v>
      </c>
      <c r="W418" s="25">
        <v>0</v>
      </c>
      <c r="X418" s="25">
        <v>1</v>
      </c>
      <c r="Y418" s="25">
        <v>0</v>
      </c>
      <c r="Z418" s="25">
        <v>0</v>
      </c>
      <c r="AA418" s="25">
        <v>0</v>
      </c>
      <c r="AB418" s="25">
        <v>0</v>
      </c>
      <c r="AC418" s="25">
        <v>0</v>
      </c>
      <c r="AD418" s="25">
        <v>0</v>
      </c>
      <c r="AE418" s="25">
        <v>1</v>
      </c>
      <c r="AF418" s="25" t="s">
        <v>132</v>
      </c>
    </row>
    <row r="419" spans="1:32" s="25" customFormat="1" x14ac:dyDescent="0.25">
      <c r="A419" s="25" t="s">
        <v>170</v>
      </c>
      <c r="B419" s="25">
        <f t="shared" si="13"/>
        <v>1740</v>
      </c>
      <c r="C419" s="25" t="s">
        <v>12</v>
      </c>
      <c r="D419" s="25">
        <v>0</v>
      </c>
      <c r="E419" s="25">
        <v>0</v>
      </c>
      <c r="F419" s="25">
        <v>256</v>
      </c>
      <c r="G419" s="25">
        <v>222</v>
      </c>
      <c r="H419" s="27">
        <v>0</v>
      </c>
      <c r="I419" s="27">
        <v>0</v>
      </c>
      <c r="J419" s="27">
        <v>0</v>
      </c>
      <c r="K419" s="27">
        <v>0</v>
      </c>
      <c r="L419" s="27">
        <v>1</v>
      </c>
      <c r="M419" s="27">
        <v>0</v>
      </c>
      <c r="N419" s="27">
        <v>0</v>
      </c>
      <c r="O419" s="27">
        <v>0</v>
      </c>
      <c r="P419" s="25">
        <v>700</v>
      </c>
      <c r="Q419" s="25">
        <v>560</v>
      </c>
      <c r="R419" s="25" t="s">
        <v>87</v>
      </c>
      <c r="S419" s="25" t="s">
        <v>89</v>
      </c>
      <c r="T419" s="25">
        <v>0</v>
      </c>
      <c r="U419" s="25">
        <v>0</v>
      </c>
      <c r="V419" s="25">
        <v>0</v>
      </c>
      <c r="W419" s="25">
        <v>0</v>
      </c>
      <c r="X419" s="25">
        <v>1</v>
      </c>
      <c r="Y419" s="25">
        <v>0</v>
      </c>
      <c r="Z419" s="25">
        <v>0</v>
      </c>
      <c r="AA419" s="25">
        <v>0</v>
      </c>
      <c r="AB419" s="25">
        <v>0</v>
      </c>
      <c r="AC419" s="25">
        <v>0</v>
      </c>
      <c r="AD419" s="25">
        <v>0</v>
      </c>
      <c r="AE419" s="25">
        <v>1</v>
      </c>
      <c r="AF419" s="25" t="s">
        <v>132</v>
      </c>
    </row>
    <row r="420" spans="1:32" s="25" customFormat="1" x14ac:dyDescent="0.25">
      <c r="A420" s="25" t="s">
        <v>170</v>
      </c>
      <c r="B420" s="25">
        <f t="shared" ref="B420:B432" si="14">B419+10</f>
        <v>1750</v>
      </c>
      <c r="C420" s="25" t="s">
        <v>12</v>
      </c>
      <c r="D420" s="25">
        <v>0</v>
      </c>
      <c r="E420" s="25">
        <v>0</v>
      </c>
      <c r="F420" s="25">
        <v>256</v>
      </c>
      <c r="G420" s="25">
        <v>222</v>
      </c>
      <c r="H420" s="27">
        <v>0</v>
      </c>
      <c r="I420" s="27">
        <v>0</v>
      </c>
      <c r="J420" s="27">
        <v>0</v>
      </c>
      <c r="K420" s="27">
        <v>0</v>
      </c>
      <c r="L420" s="27">
        <v>1</v>
      </c>
      <c r="M420" s="27">
        <v>0</v>
      </c>
      <c r="N420" s="27">
        <v>0</v>
      </c>
      <c r="O420" s="27">
        <v>0</v>
      </c>
      <c r="P420" s="25">
        <v>700</v>
      </c>
      <c r="Q420" s="25">
        <v>560</v>
      </c>
      <c r="R420" s="25" t="s">
        <v>87</v>
      </c>
      <c r="S420" s="25" t="s">
        <v>89</v>
      </c>
      <c r="T420" s="25">
        <v>0</v>
      </c>
      <c r="U420" s="25">
        <v>0</v>
      </c>
      <c r="V420" s="25">
        <v>0</v>
      </c>
      <c r="W420" s="25">
        <v>0</v>
      </c>
      <c r="X420" s="25">
        <v>1</v>
      </c>
      <c r="Y420" s="25">
        <v>0</v>
      </c>
      <c r="Z420" s="25">
        <v>0</v>
      </c>
      <c r="AA420" s="25">
        <v>0</v>
      </c>
      <c r="AB420" s="25">
        <v>0</v>
      </c>
      <c r="AC420" s="25">
        <v>0</v>
      </c>
      <c r="AD420" s="25">
        <v>0</v>
      </c>
      <c r="AE420" s="25">
        <v>1</v>
      </c>
      <c r="AF420" s="25" t="s">
        <v>132</v>
      </c>
    </row>
    <row r="421" spans="1:32" s="25" customFormat="1" x14ac:dyDescent="0.25">
      <c r="A421" s="25" t="s">
        <v>170</v>
      </c>
      <c r="B421" s="25">
        <f t="shared" si="14"/>
        <v>1760</v>
      </c>
      <c r="C421" s="25" t="s">
        <v>12</v>
      </c>
      <c r="D421" s="25">
        <v>0</v>
      </c>
      <c r="E421" s="25">
        <v>0</v>
      </c>
      <c r="F421" s="25">
        <v>256</v>
      </c>
      <c r="G421" s="25">
        <v>222</v>
      </c>
      <c r="H421" s="27">
        <v>0</v>
      </c>
      <c r="I421" s="27">
        <v>0</v>
      </c>
      <c r="J421" s="27">
        <v>0</v>
      </c>
      <c r="K421" s="27">
        <v>0</v>
      </c>
      <c r="L421" s="27">
        <v>1</v>
      </c>
      <c r="M421" s="27">
        <v>0</v>
      </c>
      <c r="N421" s="27">
        <v>0</v>
      </c>
      <c r="O421" s="27">
        <v>0</v>
      </c>
      <c r="P421" s="25">
        <v>700</v>
      </c>
      <c r="Q421" s="25">
        <v>560</v>
      </c>
      <c r="R421" s="25" t="s">
        <v>87</v>
      </c>
      <c r="S421" s="25" t="s">
        <v>89</v>
      </c>
      <c r="T421" s="25">
        <v>0</v>
      </c>
      <c r="U421" s="25">
        <v>0</v>
      </c>
      <c r="V421" s="25">
        <v>0</v>
      </c>
      <c r="W421" s="25">
        <v>0</v>
      </c>
      <c r="X421" s="25">
        <v>1</v>
      </c>
      <c r="Y421" s="25">
        <v>0</v>
      </c>
      <c r="Z421" s="25">
        <v>0</v>
      </c>
      <c r="AA421" s="25">
        <v>0</v>
      </c>
      <c r="AB421" s="25">
        <v>0</v>
      </c>
      <c r="AC421" s="25">
        <v>0</v>
      </c>
      <c r="AD421" s="25">
        <v>0</v>
      </c>
      <c r="AE421" s="25">
        <v>1</v>
      </c>
      <c r="AF421" s="25" t="s">
        <v>132</v>
      </c>
    </row>
    <row r="422" spans="1:32" s="25" customFormat="1" x14ac:dyDescent="0.25">
      <c r="A422" s="25" t="s">
        <v>170</v>
      </c>
      <c r="B422" s="25">
        <f t="shared" si="14"/>
        <v>1770</v>
      </c>
      <c r="C422" s="25" t="s">
        <v>12</v>
      </c>
      <c r="D422" s="25">
        <v>0</v>
      </c>
      <c r="E422" s="25">
        <v>0</v>
      </c>
      <c r="F422" s="25">
        <v>256</v>
      </c>
      <c r="G422" s="25">
        <v>222</v>
      </c>
      <c r="H422" s="27">
        <v>0</v>
      </c>
      <c r="I422" s="27">
        <v>0</v>
      </c>
      <c r="J422" s="27">
        <v>0</v>
      </c>
      <c r="K422" s="27">
        <v>0</v>
      </c>
      <c r="L422" s="27">
        <v>1</v>
      </c>
      <c r="M422" s="27">
        <v>0</v>
      </c>
      <c r="N422" s="27">
        <v>0</v>
      </c>
      <c r="O422" s="27">
        <v>0</v>
      </c>
      <c r="P422" s="25">
        <v>700</v>
      </c>
      <c r="Q422" s="25">
        <v>560</v>
      </c>
      <c r="R422" s="25" t="s">
        <v>87</v>
      </c>
      <c r="S422" s="25" t="s">
        <v>89</v>
      </c>
      <c r="T422" s="25">
        <v>0</v>
      </c>
      <c r="U422" s="25">
        <v>0</v>
      </c>
      <c r="V422" s="25">
        <v>0</v>
      </c>
      <c r="W422" s="25">
        <v>0</v>
      </c>
      <c r="X422" s="25">
        <v>1</v>
      </c>
      <c r="Y422" s="25">
        <v>0</v>
      </c>
      <c r="Z422" s="25">
        <v>0</v>
      </c>
      <c r="AA422" s="25">
        <v>0</v>
      </c>
      <c r="AB422" s="25">
        <v>0</v>
      </c>
      <c r="AC422" s="25">
        <v>0</v>
      </c>
      <c r="AD422" s="25">
        <v>0</v>
      </c>
      <c r="AE422" s="25">
        <v>1</v>
      </c>
      <c r="AF422" s="25" t="s">
        <v>132</v>
      </c>
    </row>
    <row r="423" spans="1:32" s="25" customFormat="1" x14ac:dyDescent="0.25">
      <c r="A423" s="25" t="s">
        <v>170</v>
      </c>
      <c r="B423" s="25">
        <f t="shared" si="14"/>
        <v>1780</v>
      </c>
      <c r="C423" s="25" t="s">
        <v>12</v>
      </c>
      <c r="D423" s="25">
        <v>0</v>
      </c>
      <c r="E423" s="25">
        <v>0</v>
      </c>
      <c r="F423" s="25">
        <v>256</v>
      </c>
      <c r="G423" s="25">
        <v>222</v>
      </c>
      <c r="H423" s="27">
        <v>0</v>
      </c>
      <c r="I423" s="27">
        <v>0</v>
      </c>
      <c r="J423" s="27">
        <v>0</v>
      </c>
      <c r="K423" s="27">
        <v>0</v>
      </c>
      <c r="L423" s="27">
        <v>1</v>
      </c>
      <c r="M423" s="27">
        <v>0</v>
      </c>
      <c r="N423" s="27">
        <v>0</v>
      </c>
      <c r="O423" s="27">
        <v>0</v>
      </c>
      <c r="P423" s="25">
        <v>700</v>
      </c>
      <c r="Q423" s="25">
        <v>560</v>
      </c>
      <c r="R423" s="25" t="s">
        <v>87</v>
      </c>
      <c r="S423" s="25" t="s">
        <v>89</v>
      </c>
      <c r="T423" s="25">
        <v>0</v>
      </c>
      <c r="U423" s="25">
        <v>0</v>
      </c>
      <c r="V423" s="25">
        <v>0</v>
      </c>
      <c r="W423" s="25">
        <v>0</v>
      </c>
      <c r="X423" s="25">
        <v>1</v>
      </c>
      <c r="Y423" s="25">
        <v>0</v>
      </c>
      <c r="Z423" s="25">
        <v>0</v>
      </c>
      <c r="AA423" s="25">
        <v>0</v>
      </c>
      <c r="AB423" s="25">
        <v>0</v>
      </c>
      <c r="AC423" s="25">
        <v>0</v>
      </c>
      <c r="AD423" s="25">
        <v>0</v>
      </c>
      <c r="AE423" s="25">
        <v>1</v>
      </c>
      <c r="AF423" s="25" t="s">
        <v>132</v>
      </c>
    </row>
    <row r="424" spans="1:32" s="25" customFormat="1" x14ac:dyDescent="0.25">
      <c r="A424" s="25" t="s">
        <v>170</v>
      </c>
      <c r="B424" s="25">
        <f t="shared" si="14"/>
        <v>1790</v>
      </c>
      <c r="C424" s="25" t="s">
        <v>12</v>
      </c>
      <c r="D424" s="25">
        <v>0</v>
      </c>
      <c r="E424" s="25">
        <v>0</v>
      </c>
      <c r="F424" s="25">
        <v>256</v>
      </c>
      <c r="G424" s="25">
        <v>222</v>
      </c>
      <c r="H424" s="27">
        <v>0</v>
      </c>
      <c r="I424" s="27">
        <v>0</v>
      </c>
      <c r="J424" s="27">
        <v>0</v>
      </c>
      <c r="K424" s="27">
        <v>0</v>
      </c>
      <c r="L424" s="27">
        <v>1</v>
      </c>
      <c r="M424" s="27">
        <v>0</v>
      </c>
      <c r="N424" s="27">
        <v>0</v>
      </c>
      <c r="O424" s="27">
        <v>0</v>
      </c>
      <c r="P424" s="25">
        <v>700</v>
      </c>
      <c r="Q424" s="25">
        <v>560</v>
      </c>
      <c r="R424" s="25" t="s">
        <v>87</v>
      </c>
      <c r="S424" s="25" t="s">
        <v>89</v>
      </c>
      <c r="T424" s="25">
        <v>0</v>
      </c>
      <c r="U424" s="25">
        <v>0</v>
      </c>
      <c r="V424" s="25">
        <v>0</v>
      </c>
      <c r="W424" s="25">
        <v>0</v>
      </c>
      <c r="X424" s="25">
        <v>1</v>
      </c>
      <c r="Y424" s="25">
        <v>0</v>
      </c>
      <c r="Z424" s="25">
        <v>0</v>
      </c>
      <c r="AA424" s="25">
        <v>0</v>
      </c>
      <c r="AB424" s="25">
        <v>0</v>
      </c>
      <c r="AC424" s="25">
        <v>0</v>
      </c>
      <c r="AD424" s="25">
        <v>0</v>
      </c>
      <c r="AE424" s="25">
        <v>1</v>
      </c>
      <c r="AF424" s="25" t="s">
        <v>132</v>
      </c>
    </row>
    <row r="425" spans="1:32" s="25" customFormat="1" x14ac:dyDescent="0.25">
      <c r="A425" s="25" t="s">
        <v>170</v>
      </c>
      <c r="B425" s="25">
        <f t="shared" si="14"/>
        <v>1800</v>
      </c>
      <c r="C425" s="25" t="s">
        <v>12</v>
      </c>
      <c r="D425" s="25">
        <v>0</v>
      </c>
      <c r="E425" s="25">
        <v>0</v>
      </c>
      <c r="F425" s="25">
        <v>256</v>
      </c>
      <c r="G425" s="25">
        <v>222</v>
      </c>
      <c r="H425" s="27">
        <v>0</v>
      </c>
      <c r="I425" s="27">
        <v>0</v>
      </c>
      <c r="J425" s="27">
        <v>0</v>
      </c>
      <c r="K425" s="27">
        <v>0</v>
      </c>
      <c r="L425" s="27">
        <v>1</v>
      </c>
      <c r="M425" s="27">
        <v>0</v>
      </c>
      <c r="N425" s="27">
        <v>0</v>
      </c>
      <c r="O425" s="27">
        <v>0</v>
      </c>
      <c r="P425" s="25">
        <v>700</v>
      </c>
      <c r="Q425" s="25">
        <v>560</v>
      </c>
      <c r="R425" s="25" t="s">
        <v>87</v>
      </c>
      <c r="S425" s="25" t="s">
        <v>89</v>
      </c>
      <c r="T425" s="25">
        <v>0</v>
      </c>
      <c r="U425" s="25">
        <v>0</v>
      </c>
      <c r="V425" s="25">
        <v>0</v>
      </c>
      <c r="W425" s="25">
        <v>0</v>
      </c>
      <c r="X425" s="25">
        <v>1</v>
      </c>
      <c r="Y425" s="25">
        <v>0</v>
      </c>
      <c r="Z425" s="25">
        <v>0</v>
      </c>
      <c r="AA425" s="25">
        <v>0</v>
      </c>
      <c r="AB425" s="25">
        <v>0</v>
      </c>
      <c r="AC425" s="25">
        <v>0</v>
      </c>
      <c r="AD425" s="25">
        <v>0</v>
      </c>
      <c r="AE425" s="25">
        <v>1</v>
      </c>
      <c r="AF425" s="25" t="s">
        <v>132</v>
      </c>
    </row>
    <row r="426" spans="1:32" s="25" customFormat="1" x14ac:dyDescent="0.25">
      <c r="A426" s="25" t="s">
        <v>170</v>
      </c>
      <c r="B426" s="25">
        <f t="shared" si="14"/>
        <v>1810</v>
      </c>
      <c r="C426" s="25" t="s">
        <v>12</v>
      </c>
      <c r="D426" s="25">
        <v>0</v>
      </c>
      <c r="E426" s="25">
        <v>0</v>
      </c>
      <c r="F426" s="25">
        <v>256</v>
      </c>
      <c r="G426" s="25">
        <v>222</v>
      </c>
      <c r="H426" s="27">
        <v>0</v>
      </c>
      <c r="I426" s="27">
        <v>0</v>
      </c>
      <c r="J426" s="27">
        <v>0</v>
      </c>
      <c r="K426" s="27">
        <v>0</v>
      </c>
      <c r="L426" s="27">
        <v>1</v>
      </c>
      <c r="M426" s="27">
        <v>0</v>
      </c>
      <c r="N426" s="27">
        <v>0</v>
      </c>
      <c r="O426" s="27">
        <v>0</v>
      </c>
      <c r="P426" s="25">
        <v>700</v>
      </c>
      <c r="Q426" s="25">
        <v>560</v>
      </c>
      <c r="R426" s="25" t="s">
        <v>87</v>
      </c>
      <c r="S426" s="25" t="s">
        <v>89</v>
      </c>
      <c r="T426" s="25">
        <v>0</v>
      </c>
      <c r="U426" s="25">
        <v>0</v>
      </c>
      <c r="V426" s="25">
        <v>0</v>
      </c>
      <c r="W426" s="25">
        <v>0</v>
      </c>
      <c r="X426" s="25">
        <v>1</v>
      </c>
      <c r="Y426" s="25">
        <v>0</v>
      </c>
      <c r="Z426" s="25">
        <v>0</v>
      </c>
      <c r="AA426" s="25">
        <v>0</v>
      </c>
      <c r="AB426" s="25">
        <v>0</v>
      </c>
      <c r="AC426" s="25">
        <v>0</v>
      </c>
      <c r="AD426" s="25">
        <v>0</v>
      </c>
      <c r="AE426" s="25">
        <v>1</v>
      </c>
      <c r="AF426" s="25" t="s">
        <v>132</v>
      </c>
    </row>
    <row r="427" spans="1:32" s="25" customFormat="1" x14ac:dyDescent="0.25">
      <c r="A427" s="25" t="s">
        <v>170</v>
      </c>
      <c r="B427" s="25">
        <f t="shared" si="14"/>
        <v>1820</v>
      </c>
      <c r="C427" s="25" t="s">
        <v>12</v>
      </c>
      <c r="D427" s="25">
        <v>0</v>
      </c>
      <c r="E427" s="25">
        <v>0</v>
      </c>
      <c r="F427" s="25">
        <v>256</v>
      </c>
      <c r="G427" s="25">
        <v>222</v>
      </c>
      <c r="H427" s="27">
        <v>0</v>
      </c>
      <c r="I427" s="27">
        <v>0</v>
      </c>
      <c r="J427" s="27">
        <v>0</v>
      </c>
      <c r="K427" s="27">
        <v>0</v>
      </c>
      <c r="L427" s="27">
        <v>1</v>
      </c>
      <c r="M427" s="27">
        <v>0</v>
      </c>
      <c r="N427" s="27">
        <v>0</v>
      </c>
      <c r="O427" s="27">
        <v>0</v>
      </c>
      <c r="P427" s="25">
        <v>700</v>
      </c>
      <c r="Q427" s="25">
        <v>560</v>
      </c>
      <c r="R427" s="25" t="s">
        <v>87</v>
      </c>
      <c r="S427" s="25" t="s">
        <v>89</v>
      </c>
      <c r="T427" s="25">
        <v>0</v>
      </c>
      <c r="U427" s="25">
        <v>0</v>
      </c>
      <c r="V427" s="25">
        <v>0</v>
      </c>
      <c r="W427" s="25">
        <v>0</v>
      </c>
      <c r="X427" s="25">
        <v>1</v>
      </c>
      <c r="Y427" s="25">
        <v>0</v>
      </c>
      <c r="Z427" s="25">
        <v>0</v>
      </c>
      <c r="AA427" s="25">
        <v>0</v>
      </c>
      <c r="AB427" s="25">
        <v>0</v>
      </c>
      <c r="AC427" s="25">
        <v>0</v>
      </c>
      <c r="AD427" s="25">
        <v>0</v>
      </c>
      <c r="AE427" s="25">
        <v>1</v>
      </c>
      <c r="AF427" s="25" t="s">
        <v>132</v>
      </c>
    </row>
    <row r="428" spans="1:32" s="25" customFormat="1" x14ac:dyDescent="0.25">
      <c r="A428" s="25" t="s">
        <v>170</v>
      </c>
      <c r="B428" s="25">
        <f t="shared" si="14"/>
        <v>1830</v>
      </c>
      <c r="C428" s="25" t="s">
        <v>12</v>
      </c>
      <c r="D428" s="25">
        <v>0</v>
      </c>
      <c r="E428" s="25">
        <v>0</v>
      </c>
      <c r="F428" s="25">
        <v>256</v>
      </c>
      <c r="G428" s="25">
        <v>222</v>
      </c>
      <c r="H428" s="27">
        <v>0</v>
      </c>
      <c r="I428" s="27">
        <v>0</v>
      </c>
      <c r="J428" s="27">
        <v>0</v>
      </c>
      <c r="K428" s="27">
        <v>0</v>
      </c>
      <c r="L428" s="27">
        <v>1</v>
      </c>
      <c r="M428" s="27">
        <v>0</v>
      </c>
      <c r="N428" s="27">
        <v>0</v>
      </c>
      <c r="O428" s="27">
        <v>0</v>
      </c>
      <c r="P428" s="25">
        <v>700</v>
      </c>
      <c r="Q428" s="25">
        <v>560</v>
      </c>
      <c r="R428" s="25" t="s">
        <v>87</v>
      </c>
      <c r="S428" s="25" t="s">
        <v>89</v>
      </c>
      <c r="T428" s="25">
        <v>0</v>
      </c>
      <c r="U428" s="25">
        <v>0</v>
      </c>
      <c r="V428" s="25">
        <v>0</v>
      </c>
      <c r="W428" s="25">
        <v>0</v>
      </c>
      <c r="X428" s="25">
        <v>1</v>
      </c>
      <c r="Y428" s="25">
        <v>0</v>
      </c>
      <c r="Z428" s="25">
        <v>0</v>
      </c>
      <c r="AA428" s="25">
        <v>0</v>
      </c>
      <c r="AB428" s="25">
        <v>0</v>
      </c>
      <c r="AC428" s="25">
        <v>0</v>
      </c>
      <c r="AD428" s="25">
        <v>0</v>
      </c>
      <c r="AE428" s="25">
        <v>1</v>
      </c>
      <c r="AF428" s="25" t="s">
        <v>132</v>
      </c>
    </row>
    <row r="429" spans="1:32" s="25" customFormat="1" x14ac:dyDescent="0.25">
      <c r="A429" s="25" t="s">
        <v>170</v>
      </c>
      <c r="B429" s="25">
        <f t="shared" si="14"/>
        <v>1840</v>
      </c>
      <c r="C429" s="25" t="s">
        <v>12</v>
      </c>
      <c r="D429" s="25">
        <v>0</v>
      </c>
      <c r="E429" s="25">
        <v>0</v>
      </c>
      <c r="F429" s="25">
        <v>256</v>
      </c>
      <c r="G429" s="25">
        <v>222</v>
      </c>
      <c r="H429" s="27">
        <v>0</v>
      </c>
      <c r="I429" s="27">
        <v>0</v>
      </c>
      <c r="J429" s="27">
        <v>0</v>
      </c>
      <c r="K429" s="27">
        <v>0</v>
      </c>
      <c r="L429" s="27">
        <v>1</v>
      </c>
      <c r="M429" s="27">
        <v>0</v>
      </c>
      <c r="N429" s="27">
        <v>0</v>
      </c>
      <c r="O429" s="27">
        <v>0</v>
      </c>
      <c r="P429" s="25">
        <v>700</v>
      </c>
      <c r="Q429" s="25">
        <v>560</v>
      </c>
      <c r="R429" s="25" t="s">
        <v>87</v>
      </c>
      <c r="S429" s="25" t="s">
        <v>89</v>
      </c>
      <c r="T429" s="25">
        <v>0</v>
      </c>
      <c r="U429" s="25">
        <v>0</v>
      </c>
      <c r="V429" s="25">
        <v>0</v>
      </c>
      <c r="W429" s="25">
        <v>0</v>
      </c>
      <c r="X429" s="25">
        <v>1</v>
      </c>
      <c r="Y429" s="25">
        <v>0</v>
      </c>
      <c r="Z429" s="25">
        <v>0</v>
      </c>
      <c r="AA429" s="25">
        <v>0</v>
      </c>
      <c r="AB429" s="25">
        <v>0</v>
      </c>
      <c r="AC429" s="25">
        <v>0</v>
      </c>
      <c r="AD429" s="25">
        <v>0</v>
      </c>
      <c r="AE429" s="25">
        <v>1</v>
      </c>
      <c r="AF429" s="25" t="s">
        <v>132</v>
      </c>
    </row>
    <row r="430" spans="1:32" s="25" customFormat="1" x14ac:dyDescent="0.25">
      <c r="A430" s="25" t="s">
        <v>170</v>
      </c>
      <c r="B430" s="25">
        <f t="shared" si="14"/>
        <v>1850</v>
      </c>
      <c r="C430" s="25" t="s">
        <v>12</v>
      </c>
      <c r="D430" s="25">
        <v>0</v>
      </c>
      <c r="E430" s="25">
        <v>0</v>
      </c>
      <c r="F430" s="25">
        <v>256</v>
      </c>
      <c r="G430" s="25">
        <v>222</v>
      </c>
      <c r="H430" s="27">
        <v>0</v>
      </c>
      <c r="I430" s="27">
        <v>0</v>
      </c>
      <c r="J430" s="27">
        <v>0</v>
      </c>
      <c r="K430" s="27">
        <v>0</v>
      </c>
      <c r="L430" s="27">
        <v>1</v>
      </c>
      <c r="M430" s="27">
        <v>0</v>
      </c>
      <c r="N430" s="27">
        <v>0</v>
      </c>
      <c r="O430" s="27">
        <v>0</v>
      </c>
      <c r="P430" s="25">
        <v>700</v>
      </c>
      <c r="Q430" s="25">
        <v>560</v>
      </c>
      <c r="R430" s="25" t="s">
        <v>87</v>
      </c>
      <c r="S430" s="25" t="s">
        <v>89</v>
      </c>
      <c r="T430" s="25">
        <v>0</v>
      </c>
      <c r="U430" s="25">
        <v>0</v>
      </c>
      <c r="V430" s="25">
        <v>0</v>
      </c>
      <c r="W430" s="25">
        <v>0</v>
      </c>
      <c r="X430" s="25">
        <v>1</v>
      </c>
      <c r="Y430" s="25">
        <v>0</v>
      </c>
      <c r="Z430" s="25">
        <v>0</v>
      </c>
      <c r="AA430" s="25">
        <v>0</v>
      </c>
      <c r="AB430" s="25">
        <v>0</v>
      </c>
      <c r="AC430" s="25">
        <v>0</v>
      </c>
      <c r="AD430" s="25">
        <v>0</v>
      </c>
      <c r="AE430" s="25">
        <v>1</v>
      </c>
      <c r="AF430" s="25" t="s">
        <v>132</v>
      </c>
    </row>
    <row r="431" spans="1:32" s="25" customFormat="1" x14ac:dyDescent="0.25">
      <c r="A431" s="25" t="s">
        <v>170</v>
      </c>
      <c r="B431" s="25">
        <f t="shared" si="14"/>
        <v>1860</v>
      </c>
      <c r="C431" s="25" t="s">
        <v>12</v>
      </c>
      <c r="D431" s="25">
        <v>0</v>
      </c>
      <c r="E431" s="25">
        <v>0</v>
      </c>
      <c r="F431" s="25">
        <v>256</v>
      </c>
      <c r="G431" s="25">
        <v>222</v>
      </c>
      <c r="H431" s="27">
        <v>0</v>
      </c>
      <c r="I431" s="27">
        <v>0</v>
      </c>
      <c r="J431" s="27">
        <v>0</v>
      </c>
      <c r="K431" s="27">
        <v>0</v>
      </c>
      <c r="L431" s="27">
        <v>1</v>
      </c>
      <c r="M431" s="27">
        <v>0</v>
      </c>
      <c r="N431" s="27">
        <v>0</v>
      </c>
      <c r="O431" s="27">
        <v>0</v>
      </c>
      <c r="P431" s="25">
        <v>700</v>
      </c>
      <c r="Q431" s="25">
        <v>560</v>
      </c>
      <c r="R431" s="25" t="s">
        <v>87</v>
      </c>
      <c r="S431" s="25" t="s">
        <v>89</v>
      </c>
      <c r="T431" s="25">
        <v>0</v>
      </c>
      <c r="U431" s="25">
        <v>0</v>
      </c>
      <c r="V431" s="25">
        <v>0</v>
      </c>
      <c r="W431" s="25">
        <v>0</v>
      </c>
      <c r="X431" s="25">
        <v>1</v>
      </c>
      <c r="Y431" s="25">
        <v>0</v>
      </c>
      <c r="Z431" s="25">
        <v>0</v>
      </c>
      <c r="AA431" s="25">
        <v>0</v>
      </c>
      <c r="AB431" s="25">
        <v>0</v>
      </c>
      <c r="AC431" s="25">
        <v>0</v>
      </c>
      <c r="AD431" s="25">
        <v>0</v>
      </c>
      <c r="AE431" s="25">
        <v>1</v>
      </c>
      <c r="AF431" s="25" t="s">
        <v>132</v>
      </c>
    </row>
    <row r="432" spans="1:32" s="25" customFormat="1" x14ac:dyDescent="0.25">
      <c r="A432" s="25" t="s">
        <v>170</v>
      </c>
      <c r="B432" s="25">
        <f t="shared" si="14"/>
        <v>1870</v>
      </c>
      <c r="C432" s="25" t="s">
        <v>12</v>
      </c>
      <c r="D432" s="25">
        <v>0</v>
      </c>
      <c r="E432" s="25">
        <v>0</v>
      </c>
      <c r="F432" s="25">
        <v>256</v>
      </c>
      <c r="G432" s="25">
        <v>222</v>
      </c>
      <c r="H432" s="27">
        <v>0</v>
      </c>
      <c r="I432" s="27">
        <v>0</v>
      </c>
      <c r="J432" s="27">
        <v>0</v>
      </c>
      <c r="K432" s="27">
        <v>0</v>
      </c>
      <c r="L432" s="27">
        <v>1</v>
      </c>
      <c r="M432" s="27">
        <v>0</v>
      </c>
      <c r="N432" s="27">
        <v>0</v>
      </c>
      <c r="O432" s="27">
        <v>0</v>
      </c>
      <c r="P432" s="25">
        <v>700</v>
      </c>
      <c r="Q432" s="25">
        <v>560</v>
      </c>
      <c r="R432" s="25" t="s">
        <v>87</v>
      </c>
      <c r="S432" s="25" t="s">
        <v>89</v>
      </c>
      <c r="T432" s="25">
        <v>0</v>
      </c>
      <c r="U432" s="25">
        <v>0</v>
      </c>
      <c r="V432" s="25">
        <v>0</v>
      </c>
      <c r="W432" s="25">
        <v>0</v>
      </c>
      <c r="X432" s="25">
        <v>1</v>
      </c>
      <c r="Y432" s="25">
        <v>0</v>
      </c>
      <c r="Z432" s="25">
        <v>0</v>
      </c>
      <c r="AA432" s="25">
        <v>0</v>
      </c>
      <c r="AB432" s="25">
        <v>0</v>
      </c>
      <c r="AC432" s="25">
        <v>0</v>
      </c>
      <c r="AD432" s="25">
        <v>0</v>
      </c>
      <c r="AE432" s="25">
        <v>1</v>
      </c>
      <c r="AF432" s="25" t="s">
        <v>132</v>
      </c>
    </row>
    <row r="433" spans="1:32" s="25" customFormat="1" x14ac:dyDescent="0.25">
      <c r="A433" s="25" t="s">
        <v>170</v>
      </c>
      <c r="B433" s="25">
        <f t="shared" ref="B433:B440" si="15">B432+10</f>
        <v>1880</v>
      </c>
      <c r="C433" s="25" t="s">
        <v>12</v>
      </c>
      <c r="D433" s="25">
        <v>0</v>
      </c>
      <c r="E433" s="25">
        <v>0</v>
      </c>
      <c r="F433" s="25">
        <v>256</v>
      </c>
      <c r="G433" s="25">
        <v>222</v>
      </c>
      <c r="H433" s="27">
        <v>0</v>
      </c>
      <c r="I433" s="27">
        <v>0</v>
      </c>
      <c r="J433" s="27">
        <v>0</v>
      </c>
      <c r="K433" s="27">
        <v>0</v>
      </c>
      <c r="L433" s="27">
        <v>1</v>
      </c>
      <c r="M433" s="27">
        <v>0</v>
      </c>
      <c r="N433" s="27">
        <v>0</v>
      </c>
      <c r="O433" s="27">
        <v>0</v>
      </c>
      <c r="P433" s="25">
        <v>700</v>
      </c>
      <c r="Q433" s="25">
        <v>560</v>
      </c>
      <c r="R433" s="25" t="s">
        <v>87</v>
      </c>
      <c r="S433" s="25" t="s">
        <v>89</v>
      </c>
      <c r="T433" s="25">
        <v>0</v>
      </c>
      <c r="U433" s="25">
        <v>0</v>
      </c>
      <c r="V433" s="25">
        <v>0</v>
      </c>
      <c r="W433" s="25">
        <v>0</v>
      </c>
      <c r="X433" s="25">
        <v>1</v>
      </c>
      <c r="Y433" s="25">
        <v>0</v>
      </c>
      <c r="Z433" s="25">
        <v>0</v>
      </c>
      <c r="AA433" s="25">
        <v>0</v>
      </c>
      <c r="AB433" s="25">
        <v>0</v>
      </c>
      <c r="AC433" s="25">
        <v>0</v>
      </c>
      <c r="AD433" s="25">
        <v>0</v>
      </c>
      <c r="AE433" s="25">
        <v>1</v>
      </c>
      <c r="AF433" s="25" t="s">
        <v>132</v>
      </c>
    </row>
    <row r="434" spans="1:32" s="25" customFormat="1" x14ac:dyDescent="0.25">
      <c r="A434" s="25" t="s">
        <v>170</v>
      </c>
      <c r="B434" s="25">
        <f t="shared" si="15"/>
        <v>1890</v>
      </c>
      <c r="C434" s="25" t="s">
        <v>12</v>
      </c>
      <c r="D434" s="25">
        <v>0</v>
      </c>
      <c r="E434" s="25">
        <v>0</v>
      </c>
      <c r="F434" s="25">
        <v>256</v>
      </c>
      <c r="G434" s="25">
        <v>222</v>
      </c>
      <c r="H434" s="27">
        <v>0</v>
      </c>
      <c r="I434" s="27">
        <v>0</v>
      </c>
      <c r="J434" s="27">
        <v>0</v>
      </c>
      <c r="K434" s="27">
        <v>0</v>
      </c>
      <c r="L434" s="27">
        <v>1</v>
      </c>
      <c r="M434" s="27">
        <v>0</v>
      </c>
      <c r="N434" s="27">
        <v>0</v>
      </c>
      <c r="O434" s="27">
        <v>0</v>
      </c>
      <c r="P434" s="25">
        <v>700</v>
      </c>
      <c r="Q434" s="25">
        <v>560</v>
      </c>
      <c r="R434" s="25" t="s">
        <v>87</v>
      </c>
      <c r="S434" s="25" t="s">
        <v>89</v>
      </c>
      <c r="T434" s="25">
        <v>0</v>
      </c>
      <c r="U434" s="25">
        <v>0</v>
      </c>
      <c r="V434" s="25">
        <v>0</v>
      </c>
      <c r="W434" s="25">
        <v>0</v>
      </c>
      <c r="X434" s="25">
        <v>1</v>
      </c>
      <c r="Y434" s="25">
        <v>0</v>
      </c>
      <c r="Z434" s="25">
        <v>0</v>
      </c>
      <c r="AA434" s="25">
        <v>0</v>
      </c>
      <c r="AB434" s="25">
        <v>0</v>
      </c>
      <c r="AC434" s="25">
        <v>0</v>
      </c>
      <c r="AD434" s="25">
        <v>0</v>
      </c>
      <c r="AE434" s="25">
        <v>1</v>
      </c>
      <c r="AF434" s="25" t="s">
        <v>132</v>
      </c>
    </row>
    <row r="435" spans="1:32" s="25" customFormat="1" x14ac:dyDescent="0.25">
      <c r="A435" s="25" t="s">
        <v>170</v>
      </c>
      <c r="B435" s="25">
        <f t="shared" si="15"/>
        <v>1900</v>
      </c>
      <c r="C435" s="25" t="s">
        <v>12</v>
      </c>
      <c r="D435" s="25">
        <v>0</v>
      </c>
      <c r="E435" s="25">
        <v>0</v>
      </c>
      <c r="F435" s="25">
        <v>256</v>
      </c>
      <c r="G435" s="25">
        <v>222</v>
      </c>
      <c r="H435" s="27">
        <v>0</v>
      </c>
      <c r="I435" s="27">
        <v>0</v>
      </c>
      <c r="J435" s="27">
        <v>0</v>
      </c>
      <c r="K435" s="27">
        <v>0</v>
      </c>
      <c r="L435" s="27">
        <v>1</v>
      </c>
      <c r="M435" s="27">
        <v>0</v>
      </c>
      <c r="N435" s="27">
        <v>0</v>
      </c>
      <c r="O435" s="27">
        <v>0</v>
      </c>
      <c r="P435" s="25">
        <v>700</v>
      </c>
      <c r="Q435" s="25">
        <v>560</v>
      </c>
      <c r="R435" s="25" t="s">
        <v>87</v>
      </c>
      <c r="S435" s="25" t="s">
        <v>89</v>
      </c>
      <c r="T435" s="25">
        <v>0</v>
      </c>
      <c r="U435" s="25">
        <v>0</v>
      </c>
      <c r="V435" s="25">
        <v>0</v>
      </c>
      <c r="W435" s="25">
        <v>0</v>
      </c>
      <c r="X435" s="25">
        <v>1</v>
      </c>
      <c r="Y435" s="25">
        <v>0</v>
      </c>
      <c r="Z435" s="25">
        <v>0</v>
      </c>
      <c r="AA435" s="25">
        <v>0</v>
      </c>
      <c r="AB435" s="25">
        <v>0</v>
      </c>
      <c r="AC435" s="25">
        <v>0</v>
      </c>
      <c r="AD435" s="25">
        <v>0</v>
      </c>
      <c r="AE435" s="25">
        <v>1</v>
      </c>
      <c r="AF435" s="25" t="s">
        <v>132</v>
      </c>
    </row>
    <row r="436" spans="1:32" x14ac:dyDescent="0.25">
      <c r="A436" t="s">
        <v>170</v>
      </c>
      <c r="B436" s="25">
        <f t="shared" si="15"/>
        <v>1910</v>
      </c>
      <c r="C436" t="s">
        <v>12</v>
      </c>
      <c r="D436">
        <v>0</v>
      </c>
      <c r="E436">
        <v>0</v>
      </c>
      <c r="F436">
        <v>256</v>
      </c>
      <c r="G436">
        <v>222</v>
      </c>
      <c r="H436" s="27">
        <v>0</v>
      </c>
      <c r="I436" s="27">
        <v>0</v>
      </c>
      <c r="J436" s="27">
        <v>0</v>
      </c>
      <c r="K436" s="27">
        <v>0</v>
      </c>
      <c r="L436" s="27">
        <v>1</v>
      </c>
      <c r="M436" s="27">
        <v>0</v>
      </c>
      <c r="N436" s="27">
        <v>0</v>
      </c>
      <c r="O436" s="27">
        <v>0</v>
      </c>
      <c r="P436">
        <v>700</v>
      </c>
      <c r="Q436">
        <v>560</v>
      </c>
      <c r="R436" t="s">
        <v>87</v>
      </c>
      <c r="S436" t="s">
        <v>89</v>
      </c>
      <c r="T436">
        <v>0</v>
      </c>
      <c r="U436">
        <v>0</v>
      </c>
      <c r="V436">
        <v>0</v>
      </c>
      <c r="W436">
        <v>0</v>
      </c>
      <c r="X436">
        <v>1</v>
      </c>
      <c r="Y436">
        <v>0</v>
      </c>
      <c r="Z436">
        <v>0</v>
      </c>
      <c r="AA436">
        <v>0</v>
      </c>
      <c r="AB436">
        <v>0</v>
      </c>
      <c r="AC436">
        <v>0</v>
      </c>
      <c r="AD436">
        <v>0</v>
      </c>
      <c r="AE436">
        <v>1</v>
      </c>
      <c r="AF436" t="s">
        <v>132</v>
      </c>
    </row>
    <row r="437" spans="1:32" x14ac:dyDescent="0.25">
      <c r="A437" t="s">
        <v>170</v>
      </c>
      <c r="B437" s="25">
        <f t="shared" si="15"/>
        <v>1920</v>
      </c>
      <c r="C437" t="s">
        <v>12</v>
      </c>
      <c r="D437" t="s">
        <v>13</v>
      </c>
      <c r="E437" t="s">
        <v>13</v>
      </c>
      <c r="F437" t="s">
        <v>13</v>
      </c>
      <c r="G437" t="s">
        <v>13</v>
      </c>
      <c r="H437" s="27" t="s">
        <v>13</v>
      </c>
      <c r="I437" s="27" t="s">
        <v>13</v>
      </c>
      <c r="J437" s="27" t="s">
        <v>13</v>
      </c>
      <c r="K437" s="27" t="s">
        <v>13</v>
      </c>
      <c r="L437" s="27" t="s">
        <v>13</v>
      </c>
      <c r="M437" s="27" t="s">
        <v>13</v>
      </c>
      <c r="N437" s="27" t="s">
        <v>13</v>
      </c>
      <c r="O437" s="27" t="s">
        <v>13</v>
      </c>
      <c r="P437">
        <v>700</v>
      </c>
      <c r="Q437">
        <v>560</v>
      </c>
      <c r="R437" t="s">
        <v>87</v>
      </c>
      <c r="S437" t="s">
        <v>89</v>
      </c>
      <c r="T437">
        <v>0</v>
      </c>
      <c r="U437">
        <v>0</v>
      </c>
      <c r="V437">
        <v>0</v>
      </c>
      <c r="W437">
        <v>0</v>
      </c>
      <c r="X437">
        <v>1</v>
      </c>
      <c r="Y437">
        <v>0</v>
      </c>
      <c r="Z437">
        <v>0</v>
      </c>
      <c r="AA437">
        <v>0</v>
      </c>
      <c r="AB437">
        <v>0</v>
      </c>
      <c r="AC437">
        <v>0</v>
      </c>
      <c r="AD437">
        <v>0</v>
      </c>
      <c r="AE437">
        <v>1</v>
      </c>
      <c r="AF437" t="s">
        <v>128</v>
      </c>
    </row>
    <row r="438" spans="1:32" x14ac:dyDescent="0.25">
      <c r="A438" t="s">
        <v>170</v>
      </c>
      <c r="B438" s="25">
        <f t="shared" si="15"/>
        <v>1930</v>
      </c>
      <c r="C438" t="s">
        <v>12</v>
      </c>
      <c r="D438" t="s">
        <v>13</v>
      </c>
      <c r="E438" t="s">
        <v>13</v>
      </c>
      <c r="F438" t="s">
        <v>13</v>
      </c>
      <c r="G438" t="s">
        <v>13</v>
      </c>
      <c r="H438" s="27" t="s">
        <v>13</v>
      </c>
      <c r="I438" s="27" t="s">
        <v>13</v>
      </c>
      <c r="J438" s="27" t="s">
        <v>13</v>
      </c>
      <c r="K438" s="27" t="s">
        <v>13</v>
      </c>
      <c r="L438" s="27" t="s">
        <v>13</v>
      </c>
      <c r="M438" s="27" t="s">
        <v>13</v>
      </c>
      <c r="N438" s="27" t="s">
        <v>13</v>
      </c>
      <c r="O438" s="27" t="s">
        <v>13</v>
      </c>
      <c r="P438">
        <v>700</v>
      </c>
      <c r="Q438">
        <v>560</v>
      </c>
      <c r="R438" t="s">
        <v>87</v>
      </c>
      <c r="S438" t="s">
        <v>89</v>
      </c>
      <c r="T438">
        <v>0</v>
      </c>
      <c r="U438">
        <v>0</v>
      </c>
      <c r="V438">
        <v>0</v>
      </c>
      <c r="W438">
        <v>0</v>
      </c>
      <c r="X438">
        <v>1</v>
      </c>
      <c r="Y438">
        <v>0</v>
      </c>
      <c r="Z438">
        <v>0</v>
      </c>
      <c r="AA438">
        <v>0</v>
      </c>
      <c r="AB438">
        <v>0</v>
      </c>
      <c r="AC438">
        <v>0</v>
      </c>
      <c r="AD438">
        <v>0</v>
      </c>
      <c r="AE438">
        <v>1</v>
      </c>
      <c r="AF438" t="s">
        <v>129</v>
      </c>
    </row>
    <row r="439" spans="1:32" x14ac:dyDescent="0.25">
      <c r="A439" t="s">
        <v>170</v>
      </c>
      <c r="B439" s="25">
        <f t="shared" si="15"/>
        <v>1940</v>
      </c>
      <c r="C439" t="s">
        <v>12</v>
      </c>
      <c r="D439" t="s">
        <v>13</v>
      </c>
      <c r="E439" t="s">
        <v>13</v>
      </c>
      <c r="F439" t="s">
        <v>13</v>
      </c>
      <c r="G439" t="s">
        <v>13</v>
      </c>
      <c r="H439" s="27" t="s">
        <v>13</v>
      </c>
      <c r="I439" s="27" t="s">
        <v>13</v>
      </c>
      <c r="J439" s="27" t="s">
        <v>13</v>
      </c>
      <c r="K439" s="27" t="s">
        <v>13</v>
      </c>
      <c r="L439" s="27" t="s">
        <v>13</v>
      </c>
      <c r="M439" s="27" t="s">
        <v>13</v>
      </c>
      <c r="N439" s="27" t="s">
        <v>13</v>
      </c>
      <c r="O439" s="27" t="s">
        <v>13</v>
      </c>
      <c r="P439">
        <v>700</v>
      </c>
      <c r="Q439">
        <v>560</v>
      </c>
      <c r="R439" t="s">
        <v>87</v>
      </c>
      <c r="S439" t="s">
        <v>89</v>
      </c>
      <c r="T439">
        <v>0</v>
      </c>
      <c r="U439">
        <v>0</v>
      </c>
      <c r="V439">
        <v>0</v>
      </c>
      <c r="W439">
        <v>0</v>
      </c>
      <c r="X439">
        <v>1</v>
      </c>
      <c r="Y439">
        <v>0</v>
      </c>
      <c r="Z439">
        <v>0</v>
      </c>
      <c r="AA439">
        <v>0</v>
      </c>
      <c r="AB439">
        <v>0</v>
      </c>
      <c r="AC439">
        <v>0</v>
      </c>
      <c r="AD439">
        <v>0</v>
      </c>
      <c r="AE439">
        <v>1</v>
      </c>
      <c r="AF439" t="s">
        <v>130</v>
      </c>
    </row>
    <row r="440" spans="1:32" x14ac:dyDescent="0.25">
      <c r="A440" t="s">
        <v>170</v>
      </c>
      <c r="B440" s="25">
        <f t="shared" si="15"/>
        <v>1950</v>
      </c>
      <c r="C440" t="s">
        <v>12</v>
      </c>
      <c r="D440">
        <v>0</v>
      </c>
      <c r="E440">
        <v>0</v>
      </c>
      <c r="F440">
        <v>256</v>
      </c>
      <c r="G440">
        <v>222</v>
      </c>
      <c r="H440" s="27">
        <v>0</v>
      </c>
      <c r="I440" s="27">
        <v>0</v>
      </c>
      <c r="J440" s="27">
        <v>0</v>
      </c>
      <c r="K440" s="27">
        <v>0</v>
      </c>
      <c r="L440" s="27">
        <v>1</v>
      </c>
      <c r="M440" s="27">
        <v>0</v>
      </c>
      <c r="N440" s="27">
        <v>0</v>
      </c>
      <c r="O440" s="27">
        <v>0</v>
      </c>
      <c r="P440">
        <v>700</v>
      </c>
      <c r="Q440">
        <v>560</v>
      </c>
      <c r="R440" t="s">
        <v>87</v>
      </c>
      <c r="S440" t="s">
        <v>89</v>
      </c>
      <c r="T440">
        <v>0</v>
      </c>
      <c r="U440">
        <v>0</v>
      </c>
      <c r="V440">
        <v>0</v>
      </c>
      <c r="W440">
        <v>0</v>
      </c>
      <c r="X440">
        <v>1</v>
      </c>
      <c r="Y440">
        <v>0</v>
      </c>
      <c r="Z440">
        <v>0</v>
      </c>
      <c r="AA440">
        <v>0</v>
      </c>
      <c r="AB440">
        <v>0</v>
      </c>
      <c r="AC440">
        <v>0</v>
      </c>
      <c r="AD440">
        <v>0</v>
      </c>
      <c r="AE440">
        <v>1</v>
      </c>
      <c r="AF440" t="s">
        <v>131</v>
      </c>
    </row>
    <row r="441" spans="1:32" s="25" customFormat="1" x14ac:dyDescent="0.25">
      <c r="A441" s="25" t="s">
        <v>170</v>
      </c>
      <c r="B441" s="25">
        <f t="shared" ref="B441:B442" si="16">B440+10</f>
        <v>1960</v>
      </c>
      <c r="C441" s="25" t="s">
        <v>12</v>
      </c>
      <c r="D441" s="25">
        <v>0</v>
      </c>
      <c r="E441" s="25">
        <v>0</v>
      </c>
      <c r="F441" s="25">
        <v>256</v>
      </c>
      <c r="G441" s="25">
        <v>222</v>
      </c>
      <c r="H441" s="27">
        <v>0</v>
      </c>
      <c r="I441" s="27">
        <v>0</v>
      </c>
      <c r="J441" s="27">
        <v>0</v>
      </c>
      <c r="K441" s="27">
        <v>0</v>
      </c>
      <c r="L441" s="27">
        <v>1</v>
      </c>
      <c r="M441" s="27">
        <v>0</v>
      </c>
      <c r="N441" s="27">
        <v>0</v>
      </c>
      <c r="O441" s="27">
        <v>0</v>
      </c>
      <c r="P441" s="25">
        <v>700</v>
      </c>
      <c r="Q441" s="25">
        <v>560</v>
      </c>
      <c r="R441" s="25" t="s">
        <v>87</v>
      </c>
      <c r="S441" s="25" t="s">
        <v>89</v>
      </c>
      <c r="T441" s="25">
        <v>0</v>
      </c>
      <c r="U441" s="25">
        <v>0</v>
      </c>
      <c r="V441" s="25">
        <v>0</v>
      </c>
      <c r="W441" s="25">
        <v>0</v>
      </c>
      <c r="X441" s="25">
        <v>1</v>
      </c>
      <c r="Y441" s="25">
        <v>0</v>
      </c>
      <c r="Z441" s="25">
        <v>0</v>
      </c>
      <c r="AA441" s="25">
        <v>0</v>
      </c>
      <c r="AB441" s="25">
        <v>0</v>
      </c>
      <c r="AC441" s="25">
        <v>0</v>
      </c>
      <c r="AD441" s="25">
        <v>0</v>
      </c>
      <c r="AE441" s="25">
        <v>1</v>
      </c>
      <c r="AF441" s="25" t="s">
        <v>131</v>
      </c>
    </row>
    <row r="442" spans="1:32" s="25" customFormat="1" x14ac:dyDescent="0.25">
      <c r="A442" s="25" t="s">
        <v>170</v>
      </c>
      <c r="B442" s="25">
        <f t="shared" si="16"/>
        <v>1970</v>
      </c>
      <c r="C442" s="25" t="s">
        <v>12</v>
      </c>
      <c r="D442" s="25">
        <v>0</v>
      </c>
      <c r="E442" s="25">
        <v>0</v>
      </c>
      <c r="F442" s="25">
        <v>256</v>
      </c>
      <c r="G442" s="25">
        <v>222</v>
      </c>
      <c r="H442" s="27">
        <v>0</v>
      </c>
      <c r="I442" s="27">
        <v>0</v>
      </c>
      <c r="J442" s="27">
        <v>0</v>
      </c>
      <c r="K442" s="27">
        <v>0</v>
      </c>
      <c r="L442" s="27">
        <v>1</v>
      </c>
      <c r="M442" s="27">
        <v>0</v>
      </c>
      <c r="N442" s="27">
        <v>0</v>
      </c>
      <c r="O442" s="27">
        <v>0</v>
      </c>
      <c r="P442" s="25">
        <v>700</v>
      </c>
      <c r="Q442" s="25">
        <v>560</v>
      </c>
      <c r="R442" s="25" t="s">
        <v>87</v>
      </c>
      <c r="S442" s="25" t="s">
        <v>89</v>
      </c>
      <c r="T442" s="25">
        <v>0</v>
      </c>
      <c r="U442" s="25">
        <v>0</v>
      </c>
      <c r="V442" s="25">
        <v>0</v>
      </c>
      <c r="W442" s="25">
        <v>0</v>
      </c>
      <c r="X442" s="25">
        <v>1</v>
      </c>
      <c r="Y442" s="25">
        <v>0</v>
      </c>
      <c r="Z442" s="25">
        <v>0</v>
      </c>
      <c r="AA442" s="25">
        <v>0</v>
      </c>
      <c r="AB442" s="25">
        <v>0</v>
      </c>
      <c r="AC442" s="25">
        <v>0</v>
      </c>
      <c r="AD442" s="25">
        <v>0</v>
      </c>
      <c r="AE442" s="25">
        <v>1</v>
      </c>
      <c r="AF442" s="25" t="s">
        <v>131</v>
      </c>
    </row>
    <row r="443" spans="1:32" s="25" customFormat="1" x14ac:dyDescent="0.25">
      <c r="A443" s="25" t="s">
        <v>170</v>
      </c>
      <c r="B443" s="25">
        <f t="shared" ref="B443:B483" si="17">B442+10</f>
        <v>1980</v>
      </c>
      <c r="C443" s="25" t="s">
        <v>12</v>
      </c>
      <c r="D443" s="25">
        <v>0</v>
      </c>
      <c r="E443" s="25">
        <v>0</v>
      </c>
      <c r="F443" s="25">
        <v>256</v>
      </c>
      <c r="G443" s="25">
        <v>222</v>
      </c>
      <c r="H443" s="27">
        <v>0</v>
      </c>
      <c r="I443" s="27">
        <v>0</v>
      </c>
      <c r="J443" s="27">
        <v>0</v>
      </c>
      <c r="K443" s="27">
        <v>0</v>
      </c>
      <c r="L443" s="27">
        <v>1</v>
      </c>
      <c r="M443" s="27">
        <v>0</v>
      </c>
      <c r="N443" s="27">
        <v>0</v>
      </c>
      <c r="O443" s="27">
        <v>0</v>
      </c>
      <c r="P443" s="25">
        <v>700</v>
      </c>
      <c r="Q443" s="25">
        <v>560</v>
      </c>
      <c r="R443" s="25" t="s">
        <v>87</v>
      </c>
      <c r="S443" s="25" t="s">
        <v>89</v>
      </c>
      <c r="T443" s="25">
        <v>0</v>
      </c>
      <c r="U443" s="25">
        <v>0</v>
      </c>
      <c r="V443" s="25">
        <v>0</v>
      </c>
      <c r="W443" s="25">
        <v>0</v>
      </c>
      <c r="X443" s="25">
        <v>1</v>
      </c>
      <c r="Y443" s="25">
        <v>0</v>
      </c>
      <c r="Z443" s="25">
        <v>0</v>
      </c>
      <c r="AA443" s="25">
        <v>0</v>
      </c>
      <c r="AB443" s="25">
        <v>0</v>
      </c>
      <c r="AC443" s="25">
        <v>0</v>
      </c>
      <c r="AD443" s="25">
        <v>0</v>
      </c>
      <c r="AE443" s="25">
        <v>1</v>
      </c>
      <c r="AF443" s="25" t="s">
        <v>131</v>
      </c>
    </row>
    <row r="444" spans="1:32" s="25" customFormat="1" x14ac:dyDescent="0.25">
      <c r="A444" s="25" t="s">
        <v>170</v>
      </c>
      <c r="B444" s="25">
        <f t="shared" si="17"/>
        <v>1990</v>
      </c>
      <c r="C444" s="25" t="s">
        <v>12</v>
      </c>
      <c r="D444" s="25">
        <v>0</v>
      </c>
      <c r="E444" s="25">
        <v>0</v>
      </c>
      <c r="F444" s="25">
        <v>256</v>
      </c>
      <c r="G444" s="25">
        <v>222</v>
      </c>
      <c r="H444" s="27">
        <v>0</v>
      </c>
      <c r="I444" s="27">
        <v>0</v>
      </c>
      <c r="J444" s="27">
        <v>0</v>
      </c>
      <c r="K444" s="27">
        <v>0</v>
      </c>
      <c r="L444" s="27">
        <v>1</v>
      </c>
      <c r="M444" s="27">
        <v>0</v>
      </c>
      <c r="N444" s="27">
        <v>0</v>
      </c>
      <c r="O444" s="27">
        <v>0</v>
      </c>
      <c r="P444" s="25">
        <v>700</v>
      </c>
      <c r="Q444" s="25">
        <v>560</v>
      </c>
      <c r="R444" s="25" t="s">
        <v>87</v>
      </c>
      <c r="S444" s="25" t="s">
        <v>89</v>
      </c>
      <c r="T444" s="25">
        <v>0</v>
      </c>
      <c r="U444" s="25">
        <v>0</v>
      </c>
      <c r="V444" s="25">
        <v>0</v>
      </c>
      <c r="W444" s="25">
        <v>0</v>
      </c>
      <c r="X444" s="25">
        <v>1</v>
      </c>
      <c r="Y444" s="25">
        <v>0</v>
      </c>
      <c r="Z444" s="25">
        <v>0</v>
      </c>
      <c r="AA444" s="25">
        <v>0</v>
      </c>
      <c r="AB444" s="25">
        <v>0</v>
      </c>
      <c r="AC444" s="25">
        <v>0</v>
      </c>
      <c r="AD444" s="25">
        <v>0</v>
      </c>
      <c r="AE444" s="25">
        <v>1</v>
      </c>
      <c r="AF444" s="25" t="s">
        <v>131</v>
      </c>
    </row>
    <row r="445" spans="1:32" s="25" customFormat="1" x14ac:dyDescent="0.25">
      <c r="A445" s="25" t="s">
        <v>170</v>
      </c>
      <c r="B445" s="25">
        <f t="shared" si="17"/>
        <v>2000</v>
      </c>
      <c r="C445" s="25" t="s">
        <v>12</v>
      </c>
      <c r="D445" s="25">
        <v>0</v>
      </c>
      <c r="E445" s="25">
        <v>0</v>
      </c>
      <c r="F445" s="25">
        <v>256</v>
      </c>
      <c r="G445" s="25">
        <v>222</v>
      </c>
      <c r="H445" s="27">
        <v>0</v>
      </c>
      <c r="I445" s="27">
        <v>0</v>
      </c>
      <c r="J445" s="27">
        <v>0</v>
      </c>
      <c r="K445" s="27">
        <v>0</v>
      </c>
      <c r="L445" s="27">
        <v>1</v>
      </c>
      <c r="M445" s="27">
        <v>0</v>
      </c>
      <c r="N445" s="27">
        <v>0</v>
      </c>
      <c r="O445" s="27">
        <v>0</v>
      </c>
      <c r="P445" s="25">
        <v>700</v>
      </c>
      <c r="Q445" s="25">
        <v>560</v>
      </c>
      <c r="R445" s="25" t="s">
        <v>87</v>
      </c>
      <c r="S445" s="25" t="s">
        <v>89</v>
      </c>
      <c r="T445" s="25">
        <v>0</v>
      </c>
      <c r="U445" s="25">
        <v>0</v>
      </c>
      <c r="V445" s="25">
        <v>0</v>
      </c>
      <c r="W445" s="25">
        <v>0</v>
      </c>
      <c r="X445" s="25">
        <v>1</v>
      </c>
      <c r="Y445" s="25">
        <v>0</v>
      </c>
      <c r="Z445" s="25">
        <v>0</v>
      </c>
      <c r="AA445" s="25">
        <v>0</v>
      </c>
      <c r="AB445" s="25">
        <v>0</v>
      </c>
      <c r="AC445" s="25">
        <v>0</v>
      </c>
      <c r="AD445" s="25">
        <v>0</v>
      </c>
      <c r="AE445" s="25">
        <v>1</v>
      </c>
      <c r="AF445" s="25" t="s">
        <v>131</v>
      </c>
    </row>
    <row r="446" spans="1:32" s="25" customFormat="1" x14ac:dyDescent="0.25">
      <c r="A446" s="25" t="s">
        <v>170</v>
      </c>
      <c r="B446" s="25">
        <f t="shared" si="17"/>
        <v>2010</v>
      </c>
      <c r="C446" s="25" t="s">
        <v>12</v>
      </c>
      <c r="D446" s="25">
        <v>0</v>
      </c>
      <c r="E446" s="25">
        <v>0</v>
      </c>
      <c r="F446" s="25">
        <v>256</v>
      </c>
      <c r="G446" s="25">
        <v>222</v>
      </c>
      <c r="H446" s="27">
        <v>0</v>
      </c>
      <c r="I446" s="27">
        <v>0</v>
      </c>
      <c r="J446" s="27">
        <v>0</v>
      </c>
      <c r="K446" s="27">
        <v>0</v>
      </c>
      <c r="L446" s="27">
        <v>1</v>
      </c>
      <c r="M446" s="27">
        <v>0</v>
      </c>
      <c r="N446" s="27">
        <v>0</v>
      </c>
      <c r="O446" s="27">
        <v>0</v>
      </c>
      <c r="P446" s="25">
        <v>700</v>
      </c>
      <c r="Q446" s="25">
        <v>560</v>
      </c>
      <c r="R446" s="25" t="s">
        <v>87</v>
      </c>
      <c r="S446" s="25" t="s">
        <v>89</v>
      </c>
      <c r="T446" s="25">
        <v>0</v>
      </c>
      <c r="U446" s="25">
        <v>0</v>
      </c>
      <c r="V446" s="25">
        <v>0</v>
      </c>
      <c r="W446" s="25">
        <v>0</v>
      </c>
      <c r="X446" s="25">
        <v>1</v>
      </c>
      <c r="Y446" s="25">
        <v>0</v>
      </c>
      <c r="Z446" s="25">
        <v>0</v>
      </c>
      <c r="AA446" s="25">
        <v>0</v>
      </c>
      <c r="AB446" s="25">
        <v>0</v>
      </c>
      <c r="AC446" s="25">
        <v>0</v>
      </c>
      <c r="AD446" s="25">
        <v>0</v>
      </c>
      <c r="AE446" s="25">
        <v>1</v>
      </c>
      <c r="AF446" s="25" t="s">
        <v>131</v>
      </c>
    </row>
    <row r="447" spans="1:32" s="25" customFormat="1" x14ac:dyDescent="0.25">
      <c r="A447" s="25" t="s">
        <v>170</v>
      </c>
      <c r="B447" s="25">
        <f t="shared" si="17"/>
        <v>2020</v>
      </c>
      <c r="C447" s="25" t="s">
        <v>12</v>
      </c>
      <c r="D447" s="25">
        <v>0</v>
      </c>
      <c r="E447" s="25">
        <v>0</v>
      </c>
      <c r="F447" s="25">
        <v>256</v>
      </c>
      <c r="G447" s="25">
        <v>222</v>
      </c>
      <c r="H447" s="27">
        <v>0</v>
      </c>
      <c r="I447" s="27">
        <v>0</v>
      </c>
      <c r="J447" s="27">
        <v>0</v>
      </c>
      <c r="K447" s="27">
        <v>0</v>
      </c>
      <c r="L447" s="27">
        <v>1</v>
      </c>
      <c r="M447" s="27">
        <v>0</v>
      </c>
      <c r="N447" s="27">
        <v>0</v>
      </c>
      <c r="O447" s="27">
        <v>0</v>
      </c>
      <c r="P447" s="25">
        <v>700</v>
      </c>
      <c r="Q447" s="25">
        <v>560</v>
      </c>
      <c r="R447" s="25" t="s">
        <v>87</v>
      </c>
      <c r="S447" s="25" t="s">
        <v>89</v>
      </c>
      <c r="T447" s="25">
        <v>0</v>
      </c>
      <c r="U447" s="25">
        <v>0</v>
      </c>
      <c r="V447" s="25">
        <v>0</v>
      </c>
      <c r="W447" s="25">
        <v>0</v>
      </c>
      <c r="X447" s="25">
        <v>1</v>
      </c>
      <c r="Y447" s="25">
        <v>0</v>
      </c>
      <c r="Z447" s="25">
        <v>0</v>
      </c>
      <c r="AA447" s="25">
        <v>0</v>
      </c>
      <c r="AB447" s="25">
        <v>0</v>
      </c>
      <c r="AC447" s="25">
        <v>0</v>
      </c>
      <c r="AD447" s="25">
        <v>0</v>
      </c>
      <c r="AE447" s="25">
        <v>1</v>
      </c>
      <c r="AF447" s="25" t="s">
        <v>131</v>
      </c>
    </row>
    <row r="448" spans="1:32" s="25" customFormat="1" x14ac:dyDescent="0.25">
      <c r="A448" s="25" t="s">
        <v>170</v>
      </c>
      <c r="B448" s="25">
        <f t="shared" si="17"/>
        <v>2030</v>
      </c>
      <c r="C448" s="25" t="s">
        <v>12</v>
      </c>
      <c r="D448" s="25">
        <v>0</v>
      </c>
      <c r="E448" s="25">
        <v>0</v>
      </c>
      <c r="F448" s="25">
        <v>256</v>
      </c>
      <c r="G448" s="25">
        <v>222</v>
      </c>
      <c r="H448" s="27">
        <v>0</v>
      </c>
      <c r="I448" s="27">
        <v>0</v>
      </c>
      <c r="J448" s="27">
        <v>0</v>
      </c>
      <c r="K448" s="27">
        <v>0</v>
      </c>
      <c r="L448" s="27">
        <v>1</v>
      </c>
      <c r="M448" s="27">
        <v>0</v>
      </c>
      <c r="N448" s="27">
        <v>0</v>
      </c>
      <c r="O448" s="27">
        <v>0</v>
      </c>
      <c r="P448" s="25">
        <v>700</v>
      </c>
      <c r="Q448" s="25">
        <v>560</v>
      </c>
      <c r="R448" s="25" t="s">
        <v>87</v>
      </c>
      <c r="S448" s="25" t="s">
        <v>89</v>
      </c>
      <c r="T448" s="25">
        <v>0</v>
      </c>
      <c r="U448" s="25">
        <v>0</v>
      </c>
      <c r="V448" s="25">
        <v>0</v>
      </c>
      <c r="W448" s="25">
        <v>0</v>
      </c>
      <c r="X448" s="25">
        <v>1</v>
      </c>
      <c r="Y448" s="25">
        <v>0</v>
      </c>
      <c r="Z448" s="25">
        <v>0</v>
      </c>
      <c r="AA448" s="25">
        <v>0</v>
      </c>
      <c r="AB448" s="25">
        <v>0</v>
      </c>
      <c r="AC448" s="25">
        <v>0</v>
      </c>
      <c r="AD448" s="25">
        <v>0</v>
      </c>
      <c r="AE448" s="25">
        <v>1</v>
      </c>
      <c r="AF448" s="25" t="s">
        <v>131</v>
      </c>
    </row>
    <row r="449" spans="1:32" s="25" customFormat="1" x14ac:dyDescent="0.25">
      <c r="A449" s="25" t="s">
        <v>170</v>
      </c>
      <c r="B449" s="25">
        <f t="shared" si="17"/>
        <v>2040</v>
      </c>
      <c r="C449" s="25" t="s">
        <v>12</v>
      </c>
      <c r="D449" s="25">
        <v>0</v>
      </c>
      <c r="E449" s="25">
        <v>0</v>
      </c>
      <c r="F449" s="25">
        <v>256</v>
      </c>
      <c r="G449" s="25">
        <v>222</v>
      </c>
      <c r="H449" s="27">
        <v>0</v>
      </c>
      <c r="I449" s="27">
        <v>0</v>
      </c>
      <c r="J449" s="27">
        <v>0</v>
      </c>
      <c r="K449" s="27">
        <v>0</v>
      </c>
      <c r="L449" s="27">
        <v>1</v>
      </c>
      <c r="M449" s="27">
        <v>0</v>
      </c>
      <c r="N449" s="27">
        <v>0</v>
      </c>
      <c r="O449" s="27">
        <v>0</v>
      </c>
      <c r="P449" s="25">
        <v>700</v>
      </c>
      <c r="Q449" s="25">
        <v>560</v>
      </c>
      <c r="R449" s="25" t="s">
        <v>87</v>
      </c>
      <c r="S449" s="25" t="s">
        <v>89</v>
      </c>
      <c r="T449" s="25">
        <v>0</v>
      </c>
      <c r="U449" s="25">
        <v>0</v>
      </c>
      <c r="V449" s="25">
        <v>0</v>
      </c>
      <c r="W449" s="25">
        <v>0</v>
      </c>
      <c r="X449" s="25">
        <v>1</v>
      </c>
      <c r="Y449" s="25">
        <v>0</v>
      </c>
      <c r="Z449" s="25">
        <v>0</v>
      </c>
      <c r="AA449" s="25">
        <v>0</v>
      </c>
      <c r="AB449" s="25">
        <v>0</v>
      </c>
      <c r="AC449" s="25">
        <v>0</v>
      </c>
      <c r="AD449" s="25">
        <v>0</v>
      </c>
      <c r="AE449" s="25">
        <v>1</v>
      </c>
      <c r="AF449" s="25" t="s">
        <v>131</v>
      </c>
    </row>
    <row r="450" spans="1:32" s="25" customFormat="1" x14ac:dyDescent="0.25">
      <c r="A450" s="25" t="s">
        <v>170</v>
      </c>
      <c r="B450" s="25">
        <f t="shared" si="17"/>
        <v>2050</v>
      </c>
      <c r="C450" s="25" t="s">
        <v>12</v>
      </c>
      <c r="D450" s="25">
        <v>0</v>
      </c>
      <c r="E450" s="25">
        <v>0</v>
      </c>
      <c r="F450" s="25">
        <v>256</v>
      </c>
      <c r="G450" s="25">
        <v>222</v>
      </c>
      <c r="H450" s="27">
        <v>0</v>
      </c>
      <c r="I450" s="27">
        <v>0</v>
      </c>
      <c r="J450" s="27">
        <v>0</v>
      </c>
      <c r="K450" s="27">
        <v>0</v>
      </c>
      <c r="L450" s="27">
        <v>1</v>
      </c>
      <c r="M450" s="27">
        <v>0</v>
      </c>
      <c r="N450" s="27">
        <v>0</v>
      </c>
      <c r="O450" s="27">
        <v>0</v>
      </c>
      <c r="P450" s="25">
        <v>700</v>
      </c>
      <c r="Q450" s="25">
        <v>560</v>
      </c>
      <c r="R450" s="25" t="s">
        <v>87</v>
      </c>
      <c r="S450" s="25" t="s">
        <v>89</v>
      </c>
      <c r="T450" s="25">
        <v>0</v>
      </c>
      <c r="U450" s="25">
        <v>0</v>
      </c>
      <c r="V450" s="25">
        <v>0</v>
      </c>
      <c r="W450" s="25">
        <v>0</v>
      </c>
      <c r="X450" s="25">
        <v>1</v>
      </c>
      <c r="Y450" s="25">
        <v>0</v>
      </c>
      <c r="Z450" s="25">
        <v>0</v>
      </c>
      <c r="AA450" s="25">
        <v>0</v>
      </c>
      <c r="AB450" s="25">
        <v>0</v>
      </c>
      <c r="AC450" s="25">
        <v>0</v>
      </c>
      <c r="AD450" s="25">
        <v>0</v>
      </c>
      <c r="AE450" s="25">
        <v>1</v>
      </c>
      <c r="AF450" s="25" t="s">
        <v>131</v>
      </c>
    </row>
    <row r="451" spans="1:32" s="25" customFormat="1" x14ac:dyDescent="0.25">
      <c r="A451" s="25" t="s">
        <v>170</v>
      </c>
      <c r="B451" s="25">
        <f t="shared" si="17"/>
        <v>2060</v>
      </c>
      <c r="C451" s="25" t="s">
        <v>12</v>
      </c>
      <c r="D451" s="25">
        <v>0</v>
      </c>
      <c r="E451" s="25">
        <v>0</v>
      </c>
      <c r="F451" s="25">
        <v>256</v>
      </c>
      <c r="G451" s="25">
        <v>222</v>
      </c>
      <c r="H451" s="27">
        <v>0</v>
      </c>
      <c r="I451" s="27">
        <v>0</v>
      </c>
      <c r="J451" s="27">
        <v>0</v>
      </c>
      <c r="K451" s="27">
        <v>0</v>
      </c>
      <c r="L451" s="27">
        <v>1</v>
      </c>
      <c r="M451" s="27">
        <v>0</v>
      </c>
      <c r="N451" s="27">
        <v>0</v>
      </c>
      <c r="O451" s="27">
        <v>0</v>
      </c>
      <c r="P451" s="25">
        <v>700</v>
      </c>
      <c r="Q451" s="25">
        <v>560</v>
      </c>
      <c r="R451" s="25" t="s">
        <v>87</v>
      </c>
      <c r="S451" s="25" t="s">
        <v>89</v>
      </c>
      <c r="T451" s="25">
        <v>0</v>
      </c>
      <c r="U451" s="25">
        <v>0</v>
      </c>
      <c r="V451" s="25">
        <v>0</v>
      </c>
      <c r="W451" s="25">
        <v>0</v>
      </c>
      <c r="X451" s="25">
        <v>1</v>
      </c>
      <c r="Y451" s="25">
        <v>0</v>
      </c>
      <c r="Z451" s="25">
        <v>0</v>
      </c>
      <c r="AA451" s="25">
        <v>0</v>
      </c>
      <c r="AB451" s="25">
        <v>0</v>
      </c>
      <c r="AC451" s="25">
        <v>0</v>
      </c>
      <c r="AD451" s="25">
        <v>0</v>
      </c>
      <c r="AE451" s="25">
        <v>1</v>
      </c>
      <c r="AF451" s="25" t="s">
        <v>131</v>
      </c>
    </row>
    <row r="452" spans="1:32" s="25" customFormat="1" x14ac:dyDescent="0.25">
      <c r="A452" s="25" t="s">
        <v>170</v>
      </c>
      <c r="B452" s="25">
        <f t="shared" si="17"/>
        <v>2070</v>
      </c>
      <c r="C452" s="25" t="s">
        <v>12</v>
      </c>
      <c r="D452" s="25">
        <v>0</v>
      </c>
      <c r="E452" s="25">
        <v>0</v>
      </c>
      <c r="F452" s="25">
        <v>256</v>
      </c>
      <c r="G452" s="25">
        <v>222</v>
      </c>
      <c r="H452" s="27">
        <v>0</v>
      </c>
      <c r="I452" s="27">
        <v>0</v>
      </c>
      <c r="J452" s="27">
        <v>0</v>
      </c>
      <c r="K452" s="27">
        <v>0</v>
      </c>
      <c r="L452" s="27">
        <v>1</v>
      </c>
      <c r="M452" s="27">
        <v>0</v>
      </c>
      <c r="N452" s="27">
        <v>0</v>
      </c>
      <c r="O452" s="27">
        <v>0</v>
      </c>
      <c r="P452" s="25">
        <v>700</v>
      </c>
      <c r="Q452" s="25">
        <v>560</v>
      </c>
      <c r="R452" s="25" t="s">
        <v>87</v>
      </c>
      <c r="S452" s="25" t="s">
        <v>89</v>
      </c>
      <c r="T452" s="25">
        <v>0</v>
      </c>
      <c r="U452" s="25">
        <v>0</v>
      </c>
      <c r="V452" s="25">
        <v>0</v>
      </c>
      <c r="W452" s="25">
        <v>0</v>
      </c>
      <c r="X452" s="25">
        <v>1</v>
      </c>
      <c r="Y452" s="25">
        <v>0</v>
      </c>
      <c r="Z452" s="25">
        <v>0</v>
      </c>
      <c r="AA452" s="25">
        <v>0</v>
      </c>
      <c r="AB452" s="25">
        <v>0</v>
      </c>
      <c r="AC452" s="25">
        <v>0</v>
      </c>
      <c r="AD452" s="25">
        <v>0</v>
      </c>
      <c r="AE452" s="25">
        <v>1</v>
      </c>
      <c r="AF452" s="25" t="s">
        <v>131</v>
      </c>
    </row>
    <row r="453" spans="1:32" s="25" customFormat="1" x14ac:dyDescent="0.25">
      <c r="A453" s="25" t="s">
        <v>170</v>
      </c>
      <c r="B453" s="25">
        <f t="shared" si="17"/>
        <v>2080</v>
      </c>
      <c r="C453" s="25" t="s">
        <v>12</v>
      </c>
      <c r="D453" s="25">
        <v>0</v>
      </c>
      <c r="E453" s="25">
        <v>0</v>
      </c>
      <c r="F453" s="25">
        <v>256</v>
      </c>
      <c r="G453" s="25">
        <v>222</v>
      </c>
      <c r="H453" s="27">
        <v>0</v>
      </c>
      <c r="I453" s="27">
        <v>0</v>
      </c>
      <c r="J453" s="27">
        <v>0</v>
      </c>
      <c r="K453" s="27">
        <v>0</v>
      </c>
      <c r="L453" s="27">
        <v>1</v>
      </c>
      <c r="M453" s="27">
        <v>0</v>
      </c>
      <c r="N453" s="27">
        <v>0</v>
      </c>
      <c r="O453" s="27">
        <v>0</v>
      </c>
      <c r="P453" s="25">
        <v>700</v>
      </c>
      <c r="Q453" s="25">
        <v>560</v>
      </c>
      <c r="R453" s="25" t="s">
        <v>87</v>
      </c>
      <c r="S453" s="25" t="s">
        <v>89</v>
      </c>
      <c r="T453" s="25">
        <v>0</v>
      </c>
      <c r="U453" s="25">
        <v>0</v>
      </c>
      <c r="V453" s="25">
        <v>0</v>
      </c>
      <c r="W453" s="25">
        <v>0</v>
      </c>
      <c r="X453" s="25">
        <v>1</v>
      </c>
      <c r="Y453" s="25">
        <v>0</v>
      </c>
      <c r="Z453" s="25">
        <v>0</v>
      </c>
      <c r="AA453" s="25">
        <v>0</v>
      </c>
      <c r="AB453" s="25">
        <v>0</v>
      </c>
      <c r="AC453" s="25">
        <v>0</v>
      </c>
      <c r="AD453" s="25">
        <v>0</v>
      </c>
      <c r="AE453" s="25">
        <v>1</v>
      </c>
      <c r="AF453" s="25" t="s">
        <v>131</v>
      </c>
    </row>
    <row r="454" spans="1:32" s="25" customFormat="1" x14ac:dyDescent="0.25">
      <c r="A454" s="25" t="s">
        <v>170</v>
      </c>
      <c r="B454" s="25">
        <f t="shared" si="17"/>
        <v>2090</v>
      </c>
      <c r="C454" s="25" t="s">
        <v>12</v>
      </c>
      <c r="D454" s="25">
        <v>0</v>
      </c>
      <c r="E454" s="25">
        <v>0</v>
      </c>
      <c r="F454" s="25">
        <v>256</v>
      </c>
      <c r="G454" s="25">
        <v>222</v>
      </c>
      <c r="H454" s="27">
        <v>0</v>
      </c>
      <c r="I454" s="27">
        <v>0</v>
      </c>
      <c r="J454" s="27">
        <v>0</v>
      </c>
      <c r="K454" s="27">
        <v>0</v>
      </c>
      <c r="L454" s="27">
        <v>1</v>
      </c>
      <c r="M454" s="27">
        <v>0</v>
      </c>
      <c r="N454" s="27">
        <v>0</v>
      </c>
      <c r="O454" s="27">
        <v>0</v>
      </c>
      <c r="P454" s="25">
        <v>700</v>
      </c>
      <c r="Q454" s="25">
        <v>560</v>
      </c>
      <c r="R454" s="25" t="s">
        <v>87</v>
      </c>
      <c r="S454" s="25" t="s">
        <v>89</v>
      </c>
      <c r="T454" s="25">
        <v>0</v>
      </c>
      <c r="U454" s="25">
        <v>0</v>
      </c>
      <c r="V454" s="25">
        <v>0</v>
      </c>
      <c r="W454" s="25">
        <v>0</v>
      </c>
      <c r="X454" s="25">
        <v>1</v>
      </c>
      <c r="Y454" s="25">
        <v>0</v>
      </c>
      <c r="Z454" s="25">
        <v>0</v>
      </c>
      <c r="AA454" s="25">
        <v>0</v>
      </c>
      <c r="AB454" s="25">
        <v>0</v>
      </c>
      <c r="AC454" s="25">
        <v>0</v>
      </c>
      <c r="AD454" s="25">
        <v>0</v>
      </c>
      <c r="AE454" s="25">
        <v>1</v>
      </c>
      <c r="AF454" s="25" t="s">
        <v>131</v>
      </c>
    </row>
    <row r="455" spans="1:32" s="25" customFormat="1" x14ac:dyDescent="0.25">
      <c r="A455" s="25" t="s">
        <v>170</v>
      </c>
      <c r="B455" s="25">
        <f t="shared" si="17"/>
        <v>2100</v>
      </c>
      <c r="C455" s="25" t="s">
        <v>12</v>
      </c>
      <c r="D455" s="25">
        <v>0</v>
      </c>
      <c r="E455" s="25">
        <v>0</v>
      </c>
      <c r="F455" s="25">
        <v>256</v>
      </c>
      <c r="G455" s="25">
        <v>222</v>
      </c>
      <c r="H455" s="27">
        <v>0</v>
      </c>
      <c r="I455" s="27">
        <v>0</v>
      </c>
      <c r="J455" s="27">
        <v>0</v>
      </c>
      <c r="K455" s="27">
        <v>0</v>
      </c>
      <c r="L455" s="27">
        <v>1</v>
      </c>
      <c r="M455" s="27">
        <v>0</v>
      </c>
      <c r="N455" s="27">
        <v>0</v>
      </c>
      <c r="O455" s="27">
        <v>0</v>
      </c>
      <c r="P455" s="25">
        <v>700</v>
      </c>
      <c r="Q455" s="25">
        <v>560</v>
      </c>
      <c r="R455" s="25" t="s">
        <v>87</v>
      </c>
      <c r="S455" s="25" t="s">
        <v>89</v>
      </c>
      <c r="T455" s="25">
        <v>0</v>
      </c>
      <c r="U455" s="25">
        <v>0</v>
      </c>
      <c r="V455" s="25">
        <v>0</v>
      </c>
      <c r="W455" s="25">
        <v>0</v>
      </c>
      <c r="X455" s="25">
        <v>1</v>
      </c>
      <c r="Y455" s="25">
        <v>0</v>
      </c>
      <c r="Z455" s="25">
        <v>0</v>
      </c>
      <c r="AA455" s="25">
        <v>0</v>
      </c>
      <c r="AB455" s="25">
        <v>0</v>
      </c>
      <c r="AC455" s="25">
        <v>0</v>
      </c>
      <c r="AD455" s="25">
        <v>0</v>
      </c>
      <c r="AE455" s="25">
        <v>1</v>
      </c>
      <c r="AF455" s="25" t="s">
        <v>131</v>
      </c>
    </row>
    <row r="456" spans="1:32" s="25" customFormat="1" x14ac:dyDescent="0.25">
      <c r="A456" s="25" t="s">
        <v>170</v>
      </c>
      <c r="B456" s="25">
        <f t="shared" si="17"/>
        <v>2110</v>
      </c>
      <c r="C456" s="25" t="s">
        <v>12</v>
      </c>
      <c r="D456" s="25">
        <v>0</v>
      </c>
      <c r="E456" s="25">
        <v>0</v>
      </c>
      <c r="F456" s="25">
        <v>256</v>
      </c>
      <c r="G456" s="25">
        <v>222</v>
      </c>
      <c r="H456" s="27">
        <v>0</v>
      </c>
      <c r="I456" s="27">
        <v>0</v>
      </c>
      <c r="J456" s="27">
        <v>0</v>
      </c>
      <c r="K456" s="27">
        <v>0</v>
      </c>
      <c r="L456" s="27">
        <v>1</v>
      </c>
      <c r="M456" s="27">
        <v>0</v>
      </c>
      <c r="N456" s="27">
        <v>0</v>
      </c>
      <c r="O456" s="27">
        <v>0</v>
      </c>
      <c r="P456" s="25">
        <v>700</v>
      </c>
      <c r="Q456" s="25">
        <v>560</v>
      </c>
      <c r="R456" s="25" t="s">
        <v>87</v>
      </c>
      <c r="S456" s="25" t="s">
        <v>89</v>
      </c>
      <c r="T456" s="25">
        <v>0</v>
      </c>
      <c r="U456" s="25">
        <v>0</v>
      </c>
      <c r="V456" s="25">
        <v>0</v>
      </c>
      <c r="W456" s="25">
        <v>0</v>
      </c>
      <c r="X456" s="25">
        <v>1</v>
      </c>
      <c r="Y456" s="25">
        <v>0</v>
      </c>
      <c r="Z456" s="25">
        <v>0</v>
      </c>
      <c r="AA456" s="25">
        <v>0</v>
      </c>
      <c r="AB456" s="25">
        <v>0</v>
      </c>
      <c r="AC456" s="25">
        <v>0</v>
      </c>
      <c r="AD456" s="25">
        <v>0</v>
      </c>
      <c r="AE456" s="25">
        <v>1</v>
      </c>
      <c r="AF456" s="25" t="s">
        <v>131</v>
      </c>
    </row>
    <row r="457" spans="1:32" s="25" customFormat="1" x14ac:dyDescent="0.25">
      <c r="A457" s="25" t="s">
        <v>170</v>
      </c>
      <c r="B457" s="25">
        <f t="shared" si="17"/>
        <v>2120</v>
      </c>
      <c r="C457" s="25" t="s">
        <v>12</v>
      </c>
      <c r="D457" s="25">
        <v>0</v>
      </c>
      <c r="E457" s="25">
        <v>0</v>
      </c>
      <c r="F457" s="25">
        <v>256</v>
      </c>
      <c r="G457" s="25">
        <v>222</v>
      </c>
      <c r="H457" s="27">
        <v>0</v>
      </c>
      <c r="I457" s="27">
        <v>0</v>
      </c>
      <c r="J457" s="27">
        <v>0</v>
      </c>
      <c r="K457" s="27">
        <v>0</v>
      </c>
      <c r="L457" s="27">
        <v>1</v>
      </c>
      <c r="M457" s="27">
        <v>0</v>
      </c>
      <c r="N457" s="27">
        <v>0</v>
      </c>
      <c r="O457" s="27">
        <v>0</v>
      </c>
      <c r="P457" s="25">
        <v>700</v>
      </c>
      <c r="Q457" s="25">
        <v>560</v>
      </c>
      <c r="R457" s="25" t="s">
        <v>87</v>
      </c>
      <c r="S457" s="25" t="s">
        <v>89</v>
      </c>
      <c r="T457" s="25">
        <v>0</v>
      </c>
      <c r="U457" s="25">
        <v>0</v>
      </c>
      <c r="V457" s="25">
        <v>0</v>
      </c>
      <c r="W457" s="25">
        <v>0</v>
      </c>
      <c r="X457" s="25">
        <v>1</v>
      </c>
      <c r="Y457" s="25">
        <v>0</v>
      </c>
      <c r="Z457" s="25">
        <v>0</v>
      </c>
      <c r="AA457" s="25">
        <v>0</v>
      </c>
      <c r="AB457" s="25">
        <v>0</v>
      </c>
      <c r="AC457" s="25">
        <v>0</v>
      </c>
      <c r="AD457" s="25">
        <v>0</v>
      </c>
      <c r="AE457" s="25">
        <v>1</v>
      </c>
      <c r="AF457" s="25" t="s">
        <v>131</v>
      </c>
    </row>
    <row r="458" spans="1:32" s="25" customFormat="1" x14ac:dyDescent="0.25">
      <c r="A458" s="25" t="s">
        <v>170</v>
      </c>
      <c r="B458" s="25">
        <f t="shared" si="17"/>
        <v>2130</v>
      </c>
      <c r="C458" s="25" t="s">
        <v>12</v>
      </c>
      <c r="D458" s="25">
        <v>0</v>
      </c>
      <c r="E458" s="25">
        <v>0</v>
      </c>
      <c r="F458" s="25">
        <v>256</v>
      </c>
      <c r="G458" s="25">
        <v>222</v>
      </c>
      <c r="H458" s="27">
        <v>0</v>
      </c>
      <c r="I458" s="27">
        <v>0</v>
      </c>
      <c r="J458" s="27">
        <v>0</v>
      </c>
      <c r="K458" s="27">
        <v>0</v>
      </c>
      <c r="L458" s="27">
        <v>1</v>
      </c>
      <c r="M458" s="27">
        <v>0</v>
      </c>
      <c r="N458" s="27">
        <v>0</v>
      </c>
      <c r="O458" s="27">
        <v>0</v>
      </c>
      <c r="P458" s="25">
        <v>700</v>
      </c>
      <c r="Q458" s="25">
        <v>560</v>
      </c>
      <c r="R458" s="25" t="s">
        <v>87</v>
      </c>
      <c r="S458" s="25" t="s">
        <v>89</v>
      </c>
      <c r="T458" s="25">
        <v>0</v>
      </c>
      <c r="U458" s="25">
        <v>0</v>
      </c>
      <c r="V458" s="25">
        <v>0</v>
      </c>
      <c r="W458" s="25">
        <v>0</v>
      </c>
      <c r="X458" s="25">
        <v>1</v>
      </c>
      <c r="Y458" s="25">
        <v>0</v>
      </c>
      <c r="Z458" s="25">
        <v>0</v>
      </c>
      <c r="AA458" s="25">
        <v>0</v>
      </c>
      <c r="AB458" s="25">
        <v>0</v>
      </c>
      <c r="AC458" s="25">
        <v>0</v>
      </c>
      <c r="AD458" s="25">
        <v>0</v>
      </c>
      <c r="AE458" s="25">
        <v>1</v>
      </c>
      <c r="AF458" s="25" t="s">
        <v>131</v>
      </c>
    </row>
    <row r="459" spans="1:32" s="25" customFormat="1" x14ac:dyDescent="0.25">
      <c r="A459" s="25" t="s">
        <v>170</v>
      </c>
      <c r="B459" s="25">
        <f t="shared" si="17"/>
        <v>2140</v>
      </c>
      <c r="C459" s="25" t="s">
        <v>12</v>
      </c>
      <c r="D459" s="25">
        <v>0</v>
      </c>
      <c r="E459" s="25">
        <v>0</v>
      </c>
      <c r="F459" s="25">
        <v>256</v>
      </c>
      <c r="G459" s="25">
        <v>222</v>
      </c>
      <c r="H459" s="27">
        <v>0</v>
      </c>
      <c r="I459" s="27">
        <v>0</v>
      </c>
      <c r="J459" s="27">
        <v>0</v>
      </c>
      <c r="K459" s="27">
        <v>0</v>
      </c>
      <c r="L459" s="27">
        <v>1</v>
      </c>
      <c r="M459" s="27">
        <v>0</v>
      </c>
      <c r="N459" s="27">
        <v>0</v>
      </c>
      <c r="O459" s="27">
        <v>0</v>
      </c>
      <c r="P459" s="25">
        <v>700</v>
      </c>
      <c r="Q459" s="25">
        <v>560</v>
      </c>
      <c r="R459" s="25" t="s">
        <v>87</v>
      </c>
      <c r="S459" s="25" t="s">
        <v>89</v>
      </c>
      <c r="T459" s="25">
        <v>0</v>
      </c>
      <c r="U459" s="25">
        <v>0</v>
      </c>
      <c r="V459" s="25">
        <v>0</v>
      </c>
      <c r="W459" s="25">
        <v>0</v>
      </c>
      <c r="X459" s="25">
        <v>1</v>
      </c>
      <c r="Y459" s="25">
        <v>0</v>
      </c>
      <c r="Z459" s="25">
        <v>0</v>
      </c>
      <c r="AA459" s="25">
        <v>0</v>
      </c>
      <c r="AB459" s="25">
        <v>0</v>
      </c>
      <c r="AC459" s="25">
        <v>0</v>
      </c>
      <c r="AD459" s="25">
        <v>0</v>
      </c>
      <c r="AE459" s="25">
        <v>1</v>
      </c>
      <c r="AF459" s="25" t="s">
        <v>131</v>
      </c>
    </row>
    <row r="460" spans="1:32" s="25" customFormat="1" x14ac:dyDescent="0.25">
      <c r="A460" s="25" t="s">
        <v>170</v>
      </c>
      <c r="B460" s="25">
        <f t="shared" si="17"/>
        <v>2150</v>
      </c>
      <c r="C460" s="25" t="s">
        <v>12</v>
      </c>
      <c r="D460" s="25">
        <v>0</v>
      </c>
      <c r="E460" s="25">
        <v>0</v>
      </c>
      <c r="F460" s="25">
        <v>256</v>
      </c>
      <c r="G460" s="25">
        <v>222</v>
      </c>
      <c r="H460" s="27">
        <v>0</v>
      </c>
      <c r="I460" s="27">
        <v>0</v>
      </c>
      <c r="J460" s="27">
        <v>0</v>
      </c>
      <c r="K460" s="27">
        <v>0</v>
      </c>
      <c r="L460" s="27">
        <v>1</v>
      </c>
      <c r="M460" s="27">
        <v>0</v>
      </c>
      <c r="N460" s="27">
        <v>0</v>
      </c>
      <c r="O460" s="27">
        <v>0</v>
      </c>
      <c r="P460" s="25">
        <v>700</v>
      </c>
      <c r="Q460" s="25">
        <v>560</v>
      </c>
      <c r="R460" s="25" t="s">
        <v>87</v>
      </c>
      <c r="S460" s="25" t="s">
        <v>89</v>
      </c>
      <c r="T460" s="25">
        <v>0</v>
      </c>
      <c r="U460" s="25">
        <v>0</v>
      </c>
      <c r="V460" s="25">
        <v>0</v>
      </c>
      <c r="W460" s="25">
        <v>0</v>
      </c>
      <c r="X460" s="25">
        <v>1</v>
      </c>
      <c r="Y460" s="25">
        <v>0</v>
      </c>
      <c r="Z460" s="25">
        <v>0</v>
      </c>
      <c r="AA460" s="25">
        <v>0</v>
      </c>
      <c r="AB460" s="25">
        <v>0</v>
      </c>
      <c r="AC460" s="25">
        <v>0</v>
      </c>
      <c r="AD460" s="25">
        <v>0</v>
      </c>
      <c r="AE460" s="25">
        <v>1</v>
      </c>
      <c r="AF460" s="25" t="s">
        <v>131</v>
      </c>
    </row>
    <row r="461" spans="1:32" s="25" customFormat="1" x14ac:dyDescent="0.25">
      <c r="A461" s="25" t="s">
        <v>170</v>
      </c>
      <c r="B461" s="25">
        <f t="shared" si="17"/>
        <v>2160</v>
      </c>
      <c r="C461" s="25" t="s">
        <v>12</v>
      </c>
      <c r="D461" s="25">
        <v>0</v>
      </c>
      <c r="E461" s="25">
        <v>0</v>
      </c>
      <c r="F461" s="25">
        <v>256</v>
      </c>
      <c r="G461" s="25">
        <v>222</v>
      </c>
      <c r="H461" s="27">
        <v>0</v>
      </c>
      <c r="I461" s="27">
        <v>0</v>
      </c>
      <c r="J461" s="27">
        <v>0</v>
      </c>
      <c r="K461" s="27">
        <v>0</v>
      </c>
      <c r="L461" s="27">
        <v>1</v>
      </c>
      <c r="M461" s="27">
        <v>0</v>
      </c>
      <c r="N461" s="27">
        <v>0</v>
      </c>
      <c r="O461" s="27">
        <v>0</v>
      </c>
      <c r="P461" s="25">
        <v>700</v>
      </c>
      <c r="Q461" s="25">
        <v>560</v>
      </c>
      <c r="R461" s="25" t="s">
        <v>87</v>
      </c>
      <c r="S461" s="25" t="s">
        <v>89</v>
      </c>
      <c r="T461" s="25">
        <v>0</v>
      </c>
      <c r="U461" s="25">
        <v>0</v>
      </c>
      <c r="V461" s="25">
        <v>0</v>
      </c>
      <c r="W461" s="25">
        <v>0</v>
      </c>
      <c r="X461" s="25">
        <v>1</v>
      </c>
      <c r="Y461" s="25">
        <v>0</v>
      </c>
      <c r="Z461" s="25">
        <v>0</v>
      </c>
      <c r="AA461" s="25">
        <v>0</v>
      </c>
      <c r="AB461" s="25">
        <v>0</v>
      </c>
      <c r="AC461" s="25">
        <v>0</v>
      </c>
      <c r="AD461" s="25">
        <v>0</v>
      </c>
      <c r="AE461" s="25">
        <v>1</v>
      </c>
      <c r="AF461" s="25" t="s">
        <v>131</v>
      </c>
    </row>
    <row r="462" spans="1:32" s="25" customFormat="1" x14ac:dyDescent="0.25">
      <c r="A462" s="25" t="s">
        <v>170</v>
      </c>
      <c r="B462" s="25">
        <f t="shared" si="17"/>
        <v>2170</v>
      </c>
      <c r="C462" s="25" t="s">
        <v>12</v>
      </c>
      <c r="D462" s="25">
        <v>0</v>
      </c>
      <c r="E462" s="25">
        <v>0</v>
      </c>
      <c r="F462" s="25">
        <v>256</v>
      </c>
      <c r="G462" s="25">
        <v>222</v>
      </c>
      <c r="H462" s="27">
        <v>0</v>
      </c>
      <c r="I462" s="27">
        <v>0</v>
      </c>
      <c r="J462" s="27">
        <v>0</v>
      </c>
      <c r="K462" s="27">
        <v>0</v>
      </c>
      <c r="L462" s="27">
        <v>1</v>
      </c>
      <c r="M462" s="27">
        <v>0</v>
      </c>
      <c r="N462" s="27">
        <v>0</v>
      </c>
      <c r="O462" s="27">
        <v>0</v>
      </c>
      <c r="P462" s="25">
        <v>700</v>
      </c>
      <c r="Q462" s="25">
        <v>560</v>
      </c>
      <c r="R462" s="25" t="s">
        <v>87</v>
      </c>
      <c r="S462" s="25" t="s">
        <v>89</v>
      </c>
      <c r="T462" s="25">
        <v>0</v>
      </c>
      <c r="U462" s="25">
        <v>0</v>
      </c>
      <c r="V462" s="25">
        <v>0</v>
      </c>
      <c r="W462" s="25">
        <v>0</v>
      </c>
      <c r="X462" s="25">
        <v>1</v>
      </c>
      <c r="Y462" s="25">
        <v>0</v>
      </c>
      <c r="Z462" s="25">
        <v>0</v>
      </c>
      <c r="AA462" s="25">
        <v>0</v>
      </c>
      <c r="AB462" s="25">
        <v>0</v>
      </c>
      <c r="AC462" s="25">
        <v>0</v>
      </c>
      <c r="AD462" s="25">
        <v>0</v>
      </c>
      <c r="AE462" s="25">
        <v>1</v>
      </c>
      <c r="AF462" s="25" t="s">
        <v>131</v>
      </c>
    </row>
    <row r="463" spans="1:32" s="25" customFormat="1" x14ac:dyDescent="0.25">
      <c r="A463" s="25" t="s">
        <v>170</v>
      </c>
      <c r="B463" s="25">
        <f t="shared" si="17"/>
        <v>2180</v>
      </c>
      <c r="C463" s="25" t="s">
        <v>12</v>
      </c>
      <c r="D463" s="25">
        <v>0</v>
      </c>
      <c r="E463" s="25">
        <v>0</v>
      </c>
      <c r="F463" s="25">
        <v>256</v>
      </c>
      <c r="G463" s="25">
        <v>222</v>
      </c>
      <c r="H463" s="27">
        <v>0</v>
      </c>
      <c r="I463" s="27">
        <v>0</v>
      </c>
      <c r="J463" s="27">
        <v>0</v>
      </c>
      <c r="K463" s="27">
        <v>0</v>
      </c>
      <c r="L463" s="27">
        <v>1</v>
      </c>
      <c r="M463" s="27">
        <v>0</v>
      </c>
      <c r="N463" s="27">
        <v>0</v>
      </c>
      <c r="O463" s="27">
        <v>0</v>
      </c>
      <c r="P463" s="25">
        <v>700</v>
      </c>
      <c r="Q463" s="25">
        <v>560</v>
      </c>
      <c r="R463" s="25" t="s">
        <v>87</v>
      </c>
      <c r="S463" s="25" t="s">
        <v>89</v>
      </c>
      <c r="T463" s="25">
        <v>0</v>
      </c>
      <c r="U463" s="25">
        <v>0</v>
      </c>
      <c r="V463" s="25">
        <v>0</v>
      </c>
      <c r="W463" s="25">
        <v>0</v>
      </c>
      <c r="X463" s="25">
        <v>1</v>
      </c>
      <c r="Y463" s="25">
        <v>0</v>
      </c>
      <c r="Z463" s="25">
        <v>0</v>
      </c>
      <c r="AA463" s="25">
        <v>0</v>
      </c>
      <c r="AB463" s="25">
        <v>0</v>
      </c>
      <c r="AC463" s="25">
        <v>0</v>
      </c>
      <c r="AD463" s="25">
        <v>0</v>
      </c>
      <c r="AE463" s="25">
        <v>1</v>
      </c>
      <c r="AF463" s="25" t="s">
        <v>131</v>
      </c>
    </row>
    <row r="464" spans="1:32" s="25" customFormat="1" x14ac:dyDescent="0.25">
      <c r="A464" s="25" t="s">
        <v>170</v>
      </c>
      <c r="B464" s="25">
        <f t="shared" si="17"/>
        <v>2190</v>
      </c>
      <c r="C464" s="25" t="s">
        <v>12</v>
      </c>
      <c r="D464" s="25">
        <v>0</v>
      </c>
      <c r="E464" s="25">
        <v>0</v>
      </c>
      <c r="F464" s="25">
        <v>256</v>
      </c>
      <c r="G464" s="25">
        <v>222</v>
      </c>
      <c r="H464" s="27">
        <v>0</v>
      </c>
      <c r="I464" s="27">
        <v>0</v>
      </c>
      <c r="J464" s="27">
        <v>0</v>
      </c>
      <c r="K464" s="27">
        <v>0</v>
      </c>
      <c r="L464" s="27">
        <v>1</v>
      </c>
      <c r="M464" s="27">
        <v>0</v>
      </c>
      <c r="N464" s="27">
        <v>0</v>
      </c>
      <c r="O464" s="27">
        <v>0</v>
      </c>
      <c r="P464" s="25">
        <v>700</v>
      </c>
      <c r="Q464" s="25">
        <v>560</v>
      </c>
      <c r="R464" s="25" t="s">
        <v>87</v>
      </c>
      <c r="S464" s="25" t="s">
        <v>89</v>
      </c>
      <c r="T464" s="25">
        <v>0</v>
      </c>
      <c r="U464" s="25">
        <v>0</v>
      </c>
      <c r="V464" s="25">
        <v>0</v>
      </c>
      <c r="W464" s="25">
        <v>0</v>
      </c>
      <c r="X464" s="25">
        <v>1</v>
      </c>
      <c r="Y464" s="25">
        <v>0</v>
      </c>
      <c r="Z464" s="25">
        <v>0</v>
      </c>
      <c r="AA464" s="25">
        <v>0</v>
      </c>
      <c r="AB464" s="25">
        <v>0</v>
      </c>
      <c r="AC464" s="25">
        <v>0</v>
      </c>
      <c r="AD464" s="25">
        <v>0</v>
      </c>
      <c r="AE464" s="25">
        <v>1</v>
      </c>
      <c r="AF464" s="25" t="s">
        <v>131</v>
      </c>
    </row>
    <row r="465" spans="1:32" s="25" customFormat="1" x14ac:dyDescent="0.25">
      <c r="A465" s="25" t="s">
        <v>170</v>
      </c>
      <c r="B465" s="25">
        <f t="shared" si="17"/>
        <v>2200</v>
      </c>
      <c r="C465" s="25" t="s">
        <v>12</v>
      </c>
      <c r="D465" s="25">
        <v>0</v>
      </c>
      <c r="E465" s="25">
        <v>0</v>
      </c>
      <c r="F465" s="25">
        <v>256</v>
      </c>
      <c r="G465" s="25">
        <v>222</v>
      </c>
      <c r="H465" s="27">
        <v>0</v>
      </c>
      <c r="I465" s="27">
        <v>0</v>
      </c>
      <c r="J465" s="27">
        <v>0</v>
      </c>
      <c r="K465" s="27">
        <v>0</v>
      </c>
      <c r="L465" s="27">
        <v>1</v>
      </c>
      <c r="M465" s="27">
        <v>0</v>
      </c>
      <c r="N465" s="27">
        <v>0</v>
      </c>
      <c r="O465" s="27">
        <v>0</v>
      </c>
      <c r="P465" s="25">
        <v>700</v>
      </c>
      <c r="Q465" s="25">
        <v>560</v>
      </c>
      <c r="R465" s="25" t="s">
        <v>87</v>
      </c>
      <c r="S465" s="25" t="s">
        <v>89</v>
      </c>
      <c r="T465" s="25">
        <v>0</v>
      </c>
      <c r="U465" s="25">
        <v>0</v>
      </c>
      <c r="V465" s="25">
        <v>0</v>
      </c>
      <c r="W465" s="25">
        <v>0</v>
      </c>
      <c r="X465" s="25">
        <v>1</v>
      </c>
      <c r="Y465" s="25">
        <v>0</v>
      </c>
      <c r="Z465" s="25">
        <v>0</v>
      </c>
      <c r="AA465" s="25">
        <v>0</v>
      </c>
      <c r="AB465" s="25">
        <v>0</v>
      </c>
      <c r="AC465" s="25">
        <v>0</v>
      </c>
      <c r="AD465" s="25">
        <v>0</v>
      </c>
      <c r="AE465" s="25">
        <v>1</v>
      </c>
      <c r="AF465" s="25" t="s">
        <v>131</v>
      </c>
    </row>
    <row r="466" spans="1:32" s="25" customFormat="1" x14ac:dyDescent="0.25">
      <c r="A466" s="25" t="s">
        <v>170</v>
      </c>
      <c r="B466" s="25">
        <f t="shared" si="17"/>
        <v>2210</v>
      </c>
      <c r="C466" s="25" t="s">
        <v>12</v>
      </c>
      <c r="D466" s="25">
        <v>0</v>
      </c>
      <c r="E466" s="25">
        <v>0</v>
      </c>
      <c r="F466" s="25">
        <v>256</v>
      </c>
      <c r="G466" s="25">
        <v>222</v>
      </c>
      <c r="H466" s="27">
        <v>0</v>
      </c>
      <c r="I466" s="27">
        <v>0</v>
      </c>
      <c r="J466" s="27">
        <v>0</v>
      </c>
      <c r="K466" s="27">
        <v>0</v>
      </c>
      <c r="L466" s="27">
        <v>1</v>
      </c>
      <c r="M466" s="27">
        <v>0</v>
      </c>
      <c r="N466" s="27">
        <v>0</v>
      </c>
      <c r="O466" s="27">
        <v>0</v>
      </c>
      <c r="P466" s="25">
        <v>700</v>
      </c>
      <c r="Q466" s="25">
        <v>560</v>
      </c>
      <c r="R466" s="25" t="s">
        <v>87</v>
      </c>
      <c r="S466" s="25" t="s">
        <v>89</v>
      </c>
      <c r="T466" s="25">
        <v>0</v>
      </c>
      <c r="U466" s="25">
        <v>0</v>
      </c>
      <c r="V466" s="25">
        <v>0</v>
      </c>
      <c r="W466" s="25">
        <v>0</v>
      </c>
      <c r="X466" s="25">
        <v>1</v>
      </c>
      <c r="Y466" s="25">
        <v>0</v>
      </c>
      <c r="Z466" s="25">
        <v>0</v>
      </c>
      <c r="AA466" s="25">
        <v>0</v>
      </c>
      <c r="AB466" s="25">
        <v>0</v>
      </c>
      <c r="AC466" s="25">
        <v>0</v>
      </c>
      <c r="AD466" s="25">
        <v>0</v>
      </c>
      <c r="AE466" s="25">
        <v>1</v>
      </c>
      <c r="AF466" s="25" t="s">
        <v>131</v>
      </c>
    </row>
    <row r="467" spans="1:32" s="25" customFormat="1" x14ac:dyDescent="0.25">
      <c r="A467" s="25" t="s">
        <v>170</v>
      </c>
      <c r="B467" s="25">
        <f t="shared" si="17"/>
        <v>2220</v>
      </c>
      <c r="C467" s="25" t="s">
        <v>12</v>
      </c>
      <c r="D467" s="25">
        <v>0</v>
      </c>
      <c r="E467" s="25">
        <v>0</v>
      </c>
      <c r="F467" s="25">
        <v>256</v>
      </c>
      <c r="G467" s="25">
        <v>222</v>
      </c>
      <c r="H467" s="27">
        <v>0</v>
      </c>
      <c r="I467" s="27">
        <v>0</v>
      </c>
      <c r="J467" s="27">
        <v>0</v>
      </c>
      <c r="K467" s="27">
        <v>0</v>
      </c>
      <c r="L467" s="27">
        <v>1</v>
      </c>
      <c r="M467" s="27">
        <v>0</v>
      </c>
      <c r="N467" s="27">
        <v>0</v>
      </c>
      <c r="O467" s="27">
        <v>0</v>
      </c>
      <c r="P467" s="25">
        <v>700</v>
      </c>
      <c r="Q467" s="25">
        <v>560</v>
      </c>
      <c r="R467" s="25" t="s">
        <v>87</v>
      </c>
      <c r="S467" s="25" t="s">
        <v>89</v>
      </c>
      <c r="T467" s="25">
        <v>0</v>
      </c>
      <c r="U467" s="25">
        <v>0</v>
      </c>
      <c r="V467" s="25">
        <v>0</v>
      </c>
      <c r="W467" s="25">
        <v>0</v>
      </c>
      <c r="X467" s="25">
        <v>1</v>
      </c>
      <c r="Y467" s="25">
        <v>0</v>
      </c>
      <c r="Z467" s="25">
        <v>0</v>
      </c>
      <c r="AA467" s="25">
        <v>0</v>
      </c>
      <c r="AB467" s="25">
        <v>0</v>
      </c>
      <c r="AC467" s="25">
        <v>0</v>
      </c>
      <c r="AD467" s="25">
        <v>0</v>
      </c>
      <c r="AE467" s="25">
        <v>1</v>
      </c>
      <c r="AF467" s="25" t="s">
        <v>131</v>
      </c>
    </row>
    <row r="468" spans="1:32" s="25" customFormat="1" x14ac:dyDescent="0.25">
      <c r="A468" s="25" t="s">
        <v>170</v>
      </c>
      <c r="B468" s="25">
        <f t="shared" si="17"/>
        <v>2230</v>
      </c>
      <c r="C468" s="25" t="s">
        <v>12</v>
      </c>
      <c r="D468" s="25">
        <v>0</v>
      </c>
      <c r="E468" s="25">
        <v>0</v>
      </c>
      <c r="F468" s="25">
        <v>256</v>
      </c>
      <c r="G468" s="25">
        <v>222</v>
      </c>
      <c r="H468" s="27">
        <v>0</v>
      </c>
      <c r="I468" s="27">
        <v>0</v>
      </c>
      <c r="J468" s="27">
        <v>0</v>
      </c>
      <c r="K468" s="27">
        <v>0</v>
      </c>
      <c r="L468" s="27">
        <v>1</v>
      </c>
      <c r="M468" s="27">
        <v>0</v>
      </c>
      <c r="N468" s="27">
        <v>0</v>
      </c>
      <c r="O468" s="27">
        <v>0</v>
      </c>
      <c r="P468" s="25">
        <v>700</v>
      </c>
      <c r="Q468" s="25">
        <v>560</v>
      </c>
      <c r="R468" s="25" t="s">
        <v>87</v>
      </c>
      <c r="S468" s="25" t="s">
        <v>89</v>
      </c>
      <c r="T468" s="25">
        <v>0</v>
      </c>
      <c r="U468" s="25">
        <v>0</v>
      </c>
      <c r="V468" s="25">
        <v>0</v>
      </c>
      <c r="W468" s="25">
        <v>0</v>
      </c>
      <c r="X468" s="25">
        <v>1</v>
      </c>
      <c r="Y468" s="25">
        <v>0</v>
      </c>
      <c r="Z468" s="25">
        <v>0</v>
      </c>
      <c r="AA468" s="25">
        <v>0</v>
      </c>
      <c r="AB468" s="25">
        <v>0</v>
      </c>
      <c r="AC468" s="25">
        <v>0</v>
      </c>
      <c r="AD468" s="25">
        <v>0</v>
      </c>
      <c r="AE468" s="25">
        <v>1</v>
      </c>
      <c r="AF468" s="25" t="s">
        <v>131</v>
      </c>
    </row>
    <row r="469" spans="1:32" s="25" customFormat="1" x14ac:dyDescent="0.25">
      <c r="A469" s="25" t="s">
        <v>170</v>
      </c>
      <c r="B469" s="25">
        <f t="shared" si="17"/>
        <v>2240</v>
      </c>
      <c r="C469" s="25" t="s">
        <v>12</v>
      </c>
      <c r="D469" s="25">
        <v>0</v>
      </c>
      <c r="E469" s="25">
        <v>0</v>
      </c>
      <c r="F469" s="25">
        <v>256</v>
      </c>
      <c r="G469" s="25">
        <v>222</v>
      </c>
      <c r="H469" s="27">
        <v>0</v>
      </c>
      <c r="I469" s="27">
        <v>0</v>
      </c>
      <c r="J469" s="27">
        <v>0</v>
      </c>
      <c r="K469" s="27">
        <v>0</v>
      </c>
      <c r="L469" s="27">
        <v>1</v>
      </c>
      <c r="M469" s="27">
        <v>0</v>
      </c>
      <c r="N469" s="27">
        <v>0</v>
      </c>
      <c r="O469" s="27">
        <v>0</v>
      </c>
      <c r="P469" s="25">
        <v>700</v>
      </c>
      <c r="Q469" s="25">
        <v>560</v>
      </c>
      <c r="R469" s="25" t="s">
        <v>87</v>
      </c>
      <c r="S469" s="25" t="s">
        <v>89</v>
      </c>
      <c r="T469" s="25">
        <v>0</v>
      </c>
      <c r="U469" s="25">
        <v>0</v>
      </c>
      <c r="V469" s="25">
        <v>0</v>
      </c>
      <c r="W469" s="25">
        <v>0</v>
      </c>
      <c r="X469" s="25">
        <v>1</v>
      </c>
      <c r="Y469" s="25">
        <v>0</v>
      </c>
      <c r="Z469" s="25">
        <v>0</v>
      </c>
      <c r="AA469" s="25">
        <v>0</v>
      </c>
      <c r="AB469" s="25">
        <v>0</v>
      </c>
      <c r="AC469" s="25">
        <v>0</v>
      </c>
      <c r="AD469" s="25">
        <v>0</v>
      </c>
      <c r="AE469" s="25">
        <v>1</v>
      </c>
      <c r="AF469" s="25" t="s">
        <v>131</v>
      </c>
    </row>
    <row r="470" spans="1:32" s="25" customFormat="1" x14ac:dyDescent="0.25">
      <c r="A470" s="25" t="s">
        <v>170</v>
      </c>
      <c r="B470" s="25">
        <f t="shared" si="17"/>
        <v>2250</v>
      </c>
      <c r="C470" s="25" t="s">
        <v>12</v>
      </c>
      <c r="D470" s="25">
        <v>0</v>
      </c>
      <c r="E470" s="25">
        <v>0</v>
      </c>
      <c r="F470" s="25">
        <v>256</v>
      </c>
      <c r="G470" s="25">
        <v>222</v>
      </c>
      <c r="H470" s="27">
        <v>0</v>
      </c>
      <c r="I470" s="27">
        <v>0</v>
      </c>
      <c r="J470" s="27">
        <v>0</v>
      </c>
      <c r="K470" s="27">
        <v>0</v>
      </c>
      <c r="L470" s="27">
        <v>1</v>
      </c>
      <c r="M470" s="27">
        <v>0</v>
      </c>
      <c r="N470" s="27">
        <v>0</v>
      </c>
      <c r="O470" s="27">
        <v>0</v>
      </c>
      <c r="P470" s="25">
        <v>700</v>
      </c>
      <c r="Q470" s="25">
        <v>560</v>
      </c>
      <c r="R470" s="25" t="s">
        <v>87</v>
      </c>
      <c r="S470" s="25" t="s">
        <v>89</v>
      </c>
      <c r="T470" s="25">
        <v>0</v>
      </c>
      <c r="U470" s="25">
        <v>0</v>
      </c>
      <c r="V470" s="25">
        <v>0</v>
      </c>
      <c r="W470" s="25">
        <v>0</v>
      </c>
      <c r="X470" s="25">
        <v>1</v>
      </c>
      <c r="Y470" s="25">
        <v>0</v>
      </c>
      <c r="Z470" s="25">
        <v>0</v>
      </c>
      <c r="AA470" s="25">
        <v>0</v>
      </c>
      <c r="AB470" s="25">
        <v>0</v>
      </c>
      <c r="AC470" s="25">
        <v>0</v>
      </c>
      <c r="AD470" s="25">
        <v>0</v>
      </c>
      <c r="AE470" s="25">
        <v>1</v>
      </c>
      <c r="AF470" s="25" t="s">
        <v>131</v>
      </c>
    </row>
    <row r="471" spans="1:32" s="25" customFormat="1" x14ac:dyDescent="0.25">
      <c r="A471" s="25" t="s">
        <v>170</v>
      </c>
      <c r="B471" s="25">
        <f t="shared" si="17"/>
        <v>2260</v>
      </c>
      <c r="C471" s="25" t="s">
        <v>12</v>
      </c>
      <c r="D471" s="25">
        <v>0</v>
      </c>
      <c r="E471" s="25">
        <v>0</v>
      </c>
      <c r="F471" s="25">
        <v>256</v>
      </c>
      <c r="G471" s="25">
        <v>222</v>
      </c>
      <c r="H471" s="27">
        <v>0</v>
      </c>
      <c r="I471" s="27">
        <v>0</v>
      </c>
      <c r="J471" s="27">
        <v>0</v>
      </c>
      <c r="K471" s="27">
        <v>0</v>
      </c>
      <c r="L471" s="27">
        <v>1</v>
      </c>
      <c r="M471" s="27">
        <v>0</v>
      </c>
      <c r="N471" s="27">
        <v>0</v>
      </c>
      <c r="O471" s="27">
        <v>0</v>
      </c>
      <c r="P471" s="25">
        <v>700</v>
      </c>
      <c r="Q471" s="25">
        <v>560</v>
      </c>
      <c r="R471" s="25" t="s">
        <v>87</v>
      </c>
      <c r="S471" s="25" t="s">
        <v>89</v>
      </c>
      <c r="T471" s="25">
        <v>0</v>
      </c>
      <c r="U471" s="25">
        <v>0</v>
      </c>
      <c r="V471" s="25">
        <v>0</v>
      </c>
      <c r="W471" s="25">
        <v>0</v>
      </c>
      <c r="X471" s="25">
        <v>1</v>
      </c>
      <c r="Y471" s="25">
        <v>0</v>
      </c>
      <c r="Z471" s="25">
        <v>0</v>
      </c>
      <c r="AA471" s="25">
        <v>0</v>
      </c>
      <c r="AB471" s="25">
        <v>0</v>
      </c>
      <c r="AC471" s="25">
        <v>0</v>
      </c>
      <c r="AD471" s="25">
        <v>0</v>
      </c>
      <c r="AE471" s="25">
        <v>1</v>
      </c>
      <c r="AF471" s="25" t="s">
        <v>131</v>
      </c>
    </row>
    <row r="472" spans="1:32" s="25" customFormat="1" x14ac:dyDescent="0.25">
      <c r="A472" s="25" t="s">
        <v>170</v>
      </c>
      <c r="B472" s="25">
        <f t="shared" si="17"/>
        <v>2270</v>
      </c>
      <c r="C472" s="25" t="s">
        <v>12</v>
      </c>
      <c r="D472" s="25">
        <v>0</v>
      </c>
      <c r="E472" s="25">
        <v>0</v>
      </c>
      <c r="F472" s="25">
        <v>256</v>
      </c>
      <c r="G472" s="25">
        <v>222</v>
      </c>
      <c r="H472" s="27">
        <v>0</v>
      </c>
      <c r="I472" s="27">
        <v>0</v>
      </c>
      <c r="J472" s="27">
        <v>0</v>
      </c>
      <c r="K472" s="27">
        <v>0</v>
      </c>
      <c r="L472" s="27">
        <v>1</v>
      </c>
      <c r="M472" s="27">
        <v>0</v>
      </c>
      <c r="N472" s="27">
        <v>0</v>
      </c>
      <c r="O472" s="27">
        <v>0</v>
      </c>
      <c r="P472" s="25">
        <v>700</v>
      </c>
      <c r="Q472" s="25">
        <v>560</v>
      </c>
      <c r="R472" s="25" t="s">
        <v>87</v>
      </c>
      <c r="S472" s="25" t="s">
        <v>89</v>
      </c>
      <c r="T472" s="25">
        <v>0</v>
      </c>
      <c r="U472" s="25">
        <v>0</v>
      </c>
      <c r="V472" s="25">
        <v>0</v>
      </c>
      <c r="W472" s="25">
        <v>0</v>
      </c>
      <c r="X472" s="25">
        <v>1</v>
      </c>
      <c r="Y472" s="25">
        <v>0</v>
      </c>
      <c r="Z472" s="25">
        <v>0</v>
      </c>
      <c r="AA472" s="25">
        <v>0</v>
      </c>
      <c r="AB472" s="25">
        <v>0</v>
      </c>
      <c r="AC472" s="25">
        <v>0</v>
      </c>
      <c r="AD472" s="25">
        <v>0</v>
      </c>
      <c r="AE472" s="25">
        <v>1</v>
      </c>
      <c r="AF472" s="25" t="s">
        <v>131</v>
      </c>
    </row>
    <row r="473" spans="1:32" s="25" customFormat="1" x14ac:dyDescent="0.25">
      <c r="A473" s="25" t="s">
        <v>170</v>
      </c>
      <c r="B473" s="25">
        <f t="shared" si="17"/>
        <v>2280</v>
      </c>
      <c r="C473" s="25" t="s">
        <v>12</v>
      </c>
      <c r="D473" s="25">
        <v>0</v>
      </c>
      <c r="E473" s="25">
        <v>0</v>
      </c>
      <c r="F473" s="25">
        <v>256</v>
      </c>
      <c r="G473" s="25">
        <v>222</v>
      </c>
      <c r="H473" s="27">
        <v>0</v>
      </c>
      <c r="I473" s="27">
        <v>0</v>
      </c>
      <c r="J473" s="27">
        <v>0</v>
      </c>
      <c r="K473" s="27">
        <v>0</v>
      </c>
      <c r="L473" s="27">
        <v>1</v>
      </c>
      <c r="M473" s="27">
        <v>0</v>
      </c>
      <c r="N473" s="27">
        <v>0</v>
      </c>
      <c r="O473" s="27">
        <v>0</v>
      </c>
      <c r="P473" s="25">
        <v>700</v>
      </c>
      <c r="Q473" s="25">
        <v>560</v>
      </c>
      <c r="R473" s="25" t="s">
        <v>87</v>
      </c>
      <c r="S473" s="25" t="s">
        <v>89</v>
      </c>
      <c r="T473" s="25">
        <v>0</v>
      </c>
      <c r="U473" s="25">
        <v>0</v>
      </c>
      <c r="V473" s="25">
        <v>0</v>
      </c>
      <c r="W473" s="25">
        <v>0</v>
      </c>
      <c r="X473" s="25">
        <v>1</v>
      </c>
      <c r="Y473" s="25">
        <v>0</v>
      </c>
      <c r="Z473" s="25">
        <v>0</v>
      </c>
      <c r="AA473" s="25">
        <v>0</v>
      </c>
      <c r="AB473" s="25">
        <v>0</v>
      </c>
      <c r="AC473" s="25">
        <v>0</v>
      </c>
      <c r="AD473" s="25">
        <v>0</v>
      </c>
      <c r="AE473" s="25">
        <v>1</v>
      </c>
      <c r="AF473" s="25" t="s">
        <v>131</v>
      </c>
    </row>
    <row r="474" spans="1:32" s="25" customFormat="1" x14ac:dyDescent="0.25">
      <c r="A474" s="25" t="s">
        <v>170</v>
      </c>
      <c r="B474" s="25">
        <f t="shared" si="17"/>
        <v>2290</v>
      </c>
      <c r="C474" s="25" t="s">
        <v>12</v>
      </c>
      <c r="D474" s="25">
        <v>0</v>
      </c>
      <c r="E474" s="25">
        <v>0</v>
      </c>
      <c r="F474" s="25">
        <v>256</v>
      </c>
      <c r="G474" s="25">
        <v>222</v>
      </c>
      <c r="H474" s="27">
        <v>0</v>
      </c>
      <c r="I474" s="27">
        <v>0</v>
      </c>
      <c r="J474" s="27">
        <v>0</v>
      </c>
      <c r="K474" s="27">
        <v>0</v>
      </c>
      <c r="L474" s="27">
        <v>1</v>
      </c>
      <c r="M474" s="27">
        <v>0</v>
      </c>
      <c r="N474" s="27">
        <v>0</v>
      </c>
      <c r="O474" s="27">
        <v>0</v>
      </c>
      <c r="P474" s="25">
        <v>700</v>
      </c>
      <c r="Q474" s="25">
        <v>560</v>
      </c>
      <c r="R474" s="25" t="s">
        <v>87</v>
      </c>
      <c r="S474" s="25" t="s">
        <v>89</v>
      </c>
      <c r="T474" s="25">
        <v>0</v>
      </c>
      <c r="U474" s="25">
        <v>0</v>
      </c>
      <c r="V474" s="25">
        <v>0</v>
      </c>
      <c r="W474" s="25">
        <v>0</v>
      </c>
      <c r="X474" s="25">
        <v>1</v>
      </c>
      <c r="Y474" s="25">
        <v>0</v>
      </c>
      <c r="Z474" s="25">
        <v>0</v>
      </c>
      <c r="AA474" s="25">
        <v>0</v>
      </c>
      <c r="AB474" s="25">
        <v>0</v>
      </c>
      <c r="AC474" s="25">
        <v>0</v>
      </c>
      <c r="AD474" s="25">
        <v>0</v>
      </c>
      <c r="AE474" s="25">
        <v>1</v>
      </c>
      <c r="AF474" s="25" t="s">
        <v>131</v>
      </c>
    </row>
    <row r="475" spans="1:32" s="25" customFormat="1" x14ac:dyDescent="0.25">
      <c r="A475" s="25" t="s">
        <v>170</v>
      </c>
      <c r="B475" s="25">
        <f t="shared" si="17"/>
        <v>2300</v>
      </c>
      <c r="C475" s="25" t="s">
        <v>12</v>
      </c>
      <c r="D475" s="25">
        <v>0</v>
      </c>
      <c r="E475" s="25">
        <v>0</v>
      </c>
      <c r="F475" s="25">
        <v>256</v>
      </c>
      <c r="G475" s="25">
        <v>222</v>
      </c>
      <c r="H475" s="27">
        <v>0</v>
      </c>
      <c r="I475" s="27">
        <v>0</v>
      </c>
      <c r="J475" s="27">
        <v>0</v>
      </c>
      <c r="K475" s="27">
        <v>0</v>
      </c>
      <c r="L475" s="27">
        <v>1</v>
      </c>
      <c r="M475" s="27">
        <v>0</v>
      </c>
      <c r="N475" s="27">
        <v>0</v>
      </c>
      <c r="O475" s="27">
        <v>0</v>
      </c>
      <c r="P475" s="25">
        <v>700</v>
      </c>
      <c r="Q475" s="25">
        <v>560</v>
      </c>
      <c r="R475" s="25" t="s">
        <v>87</v>
      </c>
      <c r="S475" s="25" t="s">
        <v>89</v>
      </c>
      <c r="T475" s="25">
        <v>0</v>
      </c>
      <c r="U475" s="25">
        <v>0</v>
      </c>
      <c r="V475" s="25">
        <v>0</v>
      </c>
      <c r="W475" s="25">
        <v>0</v>
      </c>
      <c r="X475" s="25">
        <v>1</v>
      </c>
      <c r="Y475" s="25">
        <v>0</v>
      </c>
      <c r="Z475" s="25">
        <v>0</v>
      </c>
      <c r="AA475" s="25">
        <v>0</v>
      </c>
      <c r="AB475" s="25">
        <v>0</v>
      </c>
      <c r="AC475" s="25">
        <v>0</v>
      </c>
      <c r="AD475" s="25">
        <v>0</v>
      </c>
      <c r="AE475" s="25">
        <v>1</v>
      </c>
      <c r="AF475" s="25" t="s">
        <v>131</v>
      </c>
    </row>
    <row r="476" spans="1:32" s="25" customFormat="1" x14ac:dyDescent="0.25">
      <c r="A476" s="25" t="s">
        <v>170</v>
      </c>
      <c r="B476" s="25">
        <f t="shared" si="17"/>
        <v>2310</v>
      </c>
      <c r="C476" s="25" t="s">
        <v>12</v>
      </c>
      <c r="D476" s="25">
        <v>0</v>
      </c>
      <c r="E476" s="25">
        <v>0</v>
      </c>
      <c r="F476" s="25">
        <v>256</v>
      </c>
      <c r="G476" s="25">
        <v>222</v>
      </c>
      <c r="H476" s="27">
        <v>0</v>
      </c>
      <c r="I476" s="27">
        <v>0</v>
      </c>
      <c r="J476" s="27">
        <v>0</v>
      </c>
      <c r="K476" s="27">
        <v>0</v>
      </c>
      <c r="L476" s="27">
        <v>1</v>
      </c>
      <c r="M476" s="27">
        <v>0</v>
      </c>
      <c r="N476" s="27">
        <v>0</v>
      </c>
      <c r="O476" s="27">
        <v>0</v>
      </c>
      <c r="P476" s="25">
        <v>700</v>
      </c>
      <c r="Q476" s="25">
        <v>560</v>
      </c>
      <c r="R476" s="25" t="s">
        <v>87</v>
      </c>
      <c r="S476" s="25" t="s">
        <v>89</v>
      </c>
      <c r="T476" s="25">
        <v>0</v>
      </c>
      <c r="U476" s="25">
        <v>0</v>
      </c>
      <c r="V476" s="25">
        <v>0</v>
      </c>
      <c r="W476" s="25">
        <v>0</v>
      </c>
      <c r="X476" s="25">
        <v>1</v>
      </c>
      <c r="Y476" s="25">
        <v>0</v>
      </c>
      <c r="Z476" s="25">
        <v>0</v>
      </c>
      <c r="AA476" s="25">
        <v>0</v>
      </c>
      <c r="AB476" s="25">
        <v>0</v>
      </c>
      <c r="AC476" s="25">
        <v>0</v>
      </c>
      <c r="AD476" s="25">
        <v>0</v>
      </c>
      <c r="AE476" s="25">
        <v>1</v>
      </c>
      <c r="AF476" s="25" t="s">
        <v>131</v>
      </c>
    </row>
    <row r="477" spans="1:32" s="25" customFormat="1" x14ac:dyDescent="0.25">
      <c r="A477" s="25" t="s">
        <v>170</v>
      </c>
      <c r="B477" s="25">
        <f t="shared" si="17"/>
        <v>2320</v>
      </c>
      <c r="C477" s="25" t="s">
        <v>12</v>
      </c>
      <c r="D477" s="25">
        <v>0</v>
      </c>
      <c r="E477" s="25">
        <v>0</v>
      </c>
      <c r="F477" s="25">
        <v>256</v>
      </c>
      <c r="G477" s="25">
        <v>222</v>
      </c>
      <c r="H477" s="27">
        <v>0</v>
      </c>
      <c r="I477" s="27">
        <v>0</v>
      </c>
      <c r="J477" s="27">
        <v>0</v>
      </c>
      <c r="K477" s="27">
        <v>0</v>
      </c>
      <c r="L477" s="27">
        <v>1</v>
      </c>
      <c r="M477" s="27">
        <v>0</v>
      </c>
      <c r="N477" s="27">
        <v>0</v>
      </c>
      <c r="O477" s="27">
        <v>0</v>
      </c>
      <c r="P477" s="25">
        <v>700</v>
      </c>
      <c r="Q477" s="25">
        <v>560</v>
      </c>
      <c r="R477" s="25" t="s">
        <v>87</v>
      </c>
      <c r="S477" s="25" t="s">
        <v>89</v>
      </c>
      <c r="T477" s="25">
        <v>0</v>
      </c>
      <c r="U477" s="25">
        <v>0</v>
      </c>
      <c r="V477" s="25">
        <v>0</v>
      </c>
      <c r="W477" s="25">
        <v>0</v>
      </c>
      <c r="X477" s="25">
        <v>1</v>
      </c>
      <c r="Y477" s="25">
        <v>0</v>
      </c>
      <c r="Z477" s="25">
        <v>0</v>
      </c>
      <c r="AA477" s="25">
        <v>0</v>
      </c>
      <c r="AB477" s="25">
        <v>0</v>
      </c>
      <c r="AC477" s="25">
        <v>0</v>
      </c>
      <c r="AD477" s="25">
        <v>0</v>
      </c>
      <c r="AE477" s="25">
        <v>1</v>
      </c>
      <c r="AF477" s="25" t="s">
        <v>131</v>
      </c>
    </row>
    <row r="478" spans="1:32" s="25" customFormat="1" x14ac:dyDescent="0.25">
      <c r="A478" s="25" t="s">
        <v>170</v>
      </c>
      <c r="B478" s="25">
        <f t="shared" si="17"/>
        <v>2330</v>
      </c>
      <c r="C478" s="25" t="s">
        <v>12</v>
      </c>
      <c r="D478" s="25">
        <v>0</v>
      </c>
      <c r="E478" s="25">
        <v>0</v>
      </c>
      <c r="F478" s="25">
        <v>256</v>
      </c>
      <c r="G478" s="25">
        <v>222</v>
      </c>
      <c r="H478" s="27">
        <v>0</v>
      </c>
      <c r="I478" s="27">
        <v>0</v>
      </c>
      <c r="J478" s="27">
        <v>0</v>
      </c>
      <c r="K478" s="27">
        <v>0</v>
      </c>
      <c r="L478" s="27">
        <v>1</v>
      </c>
      <c r="M478" s="27">
        <v>0</v>
      </c>
      <c r="N478" s="27">
        <v>0</v>
      </c>
      <c r="O478" s="27">
        <v>0</v>
      </c>
      <c r="P478" s="25">
        <v>700</v>
      </c>
      <c r="Q478" s="25">
        <v>560</v>
      </c>
      <c r="R478" s="25" t="s">
        <v>87</v>
      </c>
      <c r="S478" s="25" t="s">
        <v>89</v>
      </c>
      <c r="T478" s="25">
        <v>0</v>
      </c>
      <c r="U478" s="25">
        <v>0</v>
      </c>
      <c r="V478" s="25">
        <v>0</v>
      </c>
      <c r="W478" s="25">
        <v>0</v>
      </c>
      <c r="X478" s="25">
        <v>1</v>
      </c>
      <c r="Y478" s="25">
        <v>0</v>
      </c>
      <c r="Z478" s="25">
        <v>0</v>
      </c>
      <c r="AA478" s="25">
        <v>0</v>
      </c>
      <c r="AB478" s="25">
        <v>0</v>
      </c>
      <c r="AC478" s="25">
        <v>0</v>
      </c>
      <c r="AD478" s="25">
        <v>0</v>
      </c>
      <c r="AE478" s="25">
        <v>1</v>
      </c>
      <c r="AF478" s="25" t="s">
        <v>131</v>
      </c>
    </row>
    <row r="479" spans="1:32" s="25" customFormat="1" x14ac:dyDescent="0.25">
      <c r="A479" s="25" t="s">
        <v>170</v>
      </c>
      <c r="B479" s="25">
        <f t="shared" si="17"/>
        <v>2340</v>
      </c>
      <c r="C479" s="25" t="s">
        <v>12</v>
      </c>
      <c r="D479" s="25">
        <v>0</v>
      </c>
      <c r="E479" s="25">
        <v>0</v>
      </c>
      <c r="F479" s="25">
        <v>256</v>
      </c>
      <c r="G479" s="25">
        <v>222</v>
      </c>
      <c r="H479" s="27">
        <v>0</v>
      </c>
      <c r="I479" s="27">
        <v>0</v>
      </c>
      <c r="J479" s="27">
        <v>0</v>
      </c>
      <c r="K479" s="27">
        <v>0</v>
      </c>
      <c r="L479" s="27">
        <v>1</v>
      </c>
      <c r="M479" s="27">
        <v>0</v>
      </c>
      <c r="N479" s="27">
        <v>0</v>
      </c>
      <c r="O479" s="27">
        <v>0</v>
      </c>
      <c r="P479" s="25">
        <v>700</v>
      </c>
      <c r="Q479" s="25">
        <v>560</v>
      </c>
      <c r="R479" s="25" t="s">
        <v>87</v>
      </c>
      <c r="S479" s="25" t="s">
        <v>89</v>
      </c>
      <c r="T479" s="25">
        <v>0</v>
      </c>
      <c r="U479" s="25">
        <v>0</v>
      </c>
      <c r="V479" s="25">
        <v>0</v>
      </c>
      <c r="W479" s="25">
        <v>0</v>
      </c>
      <c r="X479" s="25">
        <v>1</v>
      </c>
      <c r="Y479" s="25">
        <v>0</v>
      </c>
      <c r="Z479" s="25">
        <v>0</v>
      </c>
      <c r="AA479" s="25">
        <v>0</v>
      </c>
      <c r="AB479" s="25">
        <v>0</v>
      </c>
      <c r="AC479" s="25">
        <v>0</v>
      </c>
      <c r="AD479" s="25">
        <v>0</v>
      </c>
      <c r="AE479" s="25">
        <v>1</v>
      </c>
      <c r="AF479" s="25" t="s">
        <v>131</v>
      </c>
    </row>
    <row r="480" spans="1:32" s="25" customFormat="1" x14ac:dyDescent="0.25">
      <c r="A480" s="25" t="s">
        <v>170</v>
      </c>
      <c r="B480" s="25">
        <f t="shared" si="17"/>
        <v>2350</v>
      </c>
      <c r="C480" s="25" t="s">
        <v>12</v>
      </c>
      <c r="D480" s="25">
        <v>0</v>
      </c>
      <c r="E480" s="25">
        <v>0</v>
      </c>
      <c r="F480" s="25">
        <v>256</v>
      </c>
      <c r="G480" s="25">
        <v>222</v>
      </c>
      <c r="H480" s="27">
        <v>0</v>
      </c>
      <c r="I480" s="27">
        <v>0</v>
      </c>
      <c r="J480" s="27">
        <v>0</v>
      </c>
      <c r="K480" s="27">
        <v>0</v>
      </c>
      <c r="L480" s="27">
        <v>1</v>
      </c>
      <c r="M480" s="27">
        <v>0</v>
      </c>
      <c r="N480" s="27">
        <v>0</v>
      </c>
      <c r="O480" s="27">
        <v>0</v>
      </c>
      <c r="P480" s="25">
        <v>700</v>
      </c>
      <c r="Q480" s="25">
        <v>560</v>
      </c>
      <c r="R480" s="25" t="s">
        <v>87</v>
      </c>
      <c r="S480" s="25" t="s">
        <v>89</v>
      </c>
      <c r="T480" s="25">
        <v>0</v>
      </c>
      <c r="U480" s="25">
        <v>0</v>
      </c>
      <c r="V480" s="25">
        <v>0</v>
      </c>
      <c r="W480" s="25">
        <v>0</v>
      </c>
      <c r="X480" s="25">
        <v>1</v>
      </c>
      <c r="Y480" s="25">
        <v>0</v>
      </c>
      <c r="Z480" s="25">
        <v>0</v>
      </c>
      <c r="AA480" s="25">
        <v>0</v>
      </c>
      <c r="AB480" s="25">
        <v>0</v>
      </c>
      <c r="AC480" s="25">
        <v>0</v>
      </c>
      <c r="AD480" s="25">
        <v>0</v>
      </c>
      <c r="AE480" s="25">
        <v>1</v>
      </c>
      <c r="AF480" s="25" t="s">
        <v>131</v>
      </c>
    </row>
    <row r="481" spans="1:32" s="25" customFormat="1" x14ac:dyDescent="0.25">
      <c r="A481" s="25" t="s">
        <v>170</v>
      </c>
      <c r="B481" s="25">
        <f t="shared" si="17"/>
        <v>2360</v>
      </c>
      <c r="C481" s="25" t="s">
        <v>12</v>
      </c>
      <c r="D481" s="25">
        <v>0</v>
      </c>
      <c r="E481" s="25">
        <v>0</v>
      </c>
      <c r="F481" s="25">
        <v>256</v>
      </c>
      <c r="G481" s="25">
        <v>222</v>
      </c>
      <c r="H481" s="27">
        <v>0</v>
      </c>
      <c r="I481" s="27">
        <v>0</v>
      </c>
      <c r="J481" s="27">
        <v>0</v>
      </c>
      <c r="K481" s="27">
        <v>0</v>
      </c>
      <c r="L481" s="27">
        <v>1</v>
      </c>
      <c r="M481" s="27">
        <v>0</v>
      </c>
      <c r="N481" s="27">
        <v>0</v>
      </c>
      <c r="O481" s="27">
        <v>0</v>
      </c>
      <c r="P481" s="25">
        <v>700</v>
      </c>
      <c r="Q481" s="25">
        <v>560</v>
      </c>
      <c r="R481" s="25" t="s">
        <v>87</v>
      </c>
      <c r="S481" s="25" t="s">
        <v>89</v>
      </c>
      <c r="T481" s="25">
        <v>0</v>
      </c>
      <c r="U481" s="25">
        <v>0</v>
      </c>
      <c r="V481" s="25">
        <v>0</v>
      </c>
      <c r="W481" s="25">
        <v>0</v>
      </c>
      <c r="X481" s="25">
        <v>1</v>
      </c>
      <c r="Y481" s="25">
        <v>0</v>
      </c>
      <c r="Z481" s="25">
        <v>0</v>
      </c>
      <c r="AA481" s="25">
        <v>0</v>
      </c>
      <c r="AB481" s="25">
        <v>0</v>
      </c>
      <c r="AC481" s="25">
        <v>0</v>
      </c>
      <c r="AD481" s="25">
        <v>0</v>
      </c>
      <c r="AE481" s="25">
        <v>1</v>
      </c>
      <c r="AF481" s="25" t="s">
        <v>131</v>
      </c>
    </row>
    <row r="482" spans="1:32" s="25" customFormat="1" x14ac:dyDescent="0.25">
      <c r="A482" s="25" t="s">
        <v>170</v>
      </c>
      <c r="B482" s="25">
        <f t="shared" si="17"/>
        <v>2370</v>
      </c>
      <c r="C482" s="25" t="s">
        <v>12</v>
      </c>
      <c r="D482" s="25">
        <v>0</v>
      </c>
      <c r="E482" s="25">
        <v>0</v>
      </c>
      <c r="F482" s="25">
        <v>256</v>
      </c>
      <c r="G482" s="25">
        <v>222</v>
      </c>
      <c r="H482" s="27">
        <v>0</v>
      </c>
      <c r="I482" s="27">
        <v>0</v>
      </c>
      <c r="J482" s="27">
        <v>0</v>
      </c>
      <c r="K482" s="27">
        <v>0</v>
      </c>
      <c r="L482" s="27">
        <v>1</v>
      </c>
      <c r="M482" s="27">
        <v>0</v>
      </c>
      <c r="N482" s="27">
        <v>0</v>
      </c>
      <c r="O482" s="27">
        <v>0</v>
      </c>
      <c r="P482" s="25">
        <v>700</v>
      </c>
      <c r="Q482" s="25">
        <v>560</v>
      </c>
      <c r="R482" s="25" t="s">
        <v>87</v>
      </c>
      <c r="S482" s="25" t="s">
        <v>89</v>
      </c>
      <c r="T482" s="25">
        <v>0</v>
      </c>
      <c r="U482" s="25">
        <v>0</v>
      </c>
      <c r="V482" s="25">
        <v>0</v>
      </c>
      <c r="W482" s="25">
        <v>0</v>
      </c>
      <c r="X482" s="25">
        <v>1</v>
      </c>
      <c r="Y482" s="25">
        <v>0</v>
      </c>
      <c r="Z482" s="25">
        <v>0</v>
      </c>
      <c r="AA482" s="25">
        <v>0</v>
      </c>
      <c r="AB482" s="25">
        <v>0</v>
      </c>
      <c r="AC482" s="25">
        <v>0</v>
      </c>
      <c r="AD482" s="25">
        <v>0</v>
      </c>
      <c r="AE482" s="25">
        <v>1</v>
      </c>
      <c r="AF482" s="25" t="s">
        <v>131</v>
      </c>
    </row>
    <row r="483" spans="1:32" s="25" customFormat="1" x14ac:dyDescent="0.25">
      <c r="A483" s="25" t="s">
        <v>170</v>
      </c>
      <c r="B483" s="25">
        <f t="shared" si="17"/>
        <v>2380</v>
      </c>
      <c r="C483" s="25" t="s">
        <v>12</v>
      </c>
      <c r="D483" s="25">
        <v>0</v>
      </c>
      <c r="E483" s="25">
        <v>0</v>
      </c>
      <c r="F483" s="25">
        <v>256</v>
      </c>
      <c r="G483" s="25">
        <v>222</v>
      </c>
      <c r="H483" s="27">
        <v>0</v>
      </c>
      <c r="I483" s="27">
        <v>0</v>
      </c>
      <c r="J483" s="27">
        <v>0</v>
      </c>
      <c r="K483" s="27">
        <v>0</v>
      </c>
      <c r="L483" s="27">
        <v>1</v>
      </c>
      <c r="M483" s="27">
        <v>0</v>
      </c>
      <c r="N483" s="27">
        <v>0</v>
      </c>
      <c r="O483" s="27">
        <v>0</v>
      </c>
      <c r="P483" s="25">
        <v>700</v>
      </c>
      <c r="Q483" s="25">
        <v>560</v>
      </c>
      <c r="R483" s="25" t="s">
        <v>87</v>
      </c>
      <c r="S483" s="25" t="s">
        <v>89</v>
      </c>
      <c r="T483" s="25">
        <v>0</v>
      </c>
      <c r="U483" s="25">
        <v>0</v>
      </c>
      <c r="V483" s="25">
        <v>0</v>
      </c>
      <c r="W483" s="25">
        <v>0</v>
      </c>
      <c r="X483" s="25">
        <v>1</v>
      </c>
      <c r="Y483" s="25">
        <v>0</v>
      </c>
      <c r="Z483" s="25">
        <v>0</v>
      </c>
      <c r="AA483" s="25">
        <v>0</v>
      </c>
      <c r="AB483" s="25">
        <v>0</v>
      </c>
      <c r="AC483" s="25">
        <v>0</v>
      </c>
      <c r="AD483" s="25">
        <v>0</v>
      </c>
      <c r="AE483" s="25">
        <v>1</v>
      </c>
      <c r="AF483" s="25" t="s">
        <v>131</v>
      </c>
    </row>
    <row r="484" spans="1:32" s="25" customFormat="1" x14ac:dyDescent="0.25">
      <c r="A484" s="25" t="s">
        <v>170</v>
      </c>
      <c r="B484" s="25">
        <f t="shared" ref="B484:B491" si="18">B483+10</f>
        <v>2390</v>
      </c>
      <c r="C484" s="25" t="s">
        <v>12</v>
      </c>
      <c r="D484" s="25">
        <v>0</v>
      </c>
      <c r="E484" s="25">
        <v>0</v>
      </c>
      <c r="F484" s="25">
        <v>256</v>
      </c>
      <c r="G484" s="25">
        <v>222</v>
      </c>
      <c r="H484" s="27">
        <v>0</v>
      </c>
      <c r="I484" s="27">
        <v>0</v>
      </c>
      <c r="J484" s="27">
        <v>0</v>
      </c>
      <c r="K484" s="27">
        <v>0</v>
      </c>
      <c r="L484" s="27">
        <v>1</v>
      </c>
      <c r="M484" s="27">
        <v>0</v>
      </c>
      <c r="N484" s="27">
        <v>0</v>
      </c>
      <c r="O484" s="27">
        <v>0</v>
      </c>
      <c r="P484" s="25">
        <v>700</v>
      </c>
      <c r="Q484" s="25">
        <v>560</v>
      </c>
      <c r="R484" s="25" t="s">
        <v>87</v>
      </c>
      <c r="S484" s="25" t="s">
        <v>89</v>
      </c>
      <c r="T484" s="25">
        <v>0</v>
      </c>
      <c r="U484" s="25">
        <v>0</v>
      </c>
      <c r="V484" s="25">
        <v>0</v>
      </c>
      <c r="W484" s="25">
        <v>0</v>
      </c>
      <c r="X484" s="25">
        <v>1</v>
      </c>
      <c r="Y484" s="25">
        <v>0</v>
      </c>
      <c r="Z484" s="25">
        <v>0</v>
      </c>
      <c r="AA484" s="25">
        <v>0</v>
      </c>
      <c r="AB484" s="25">
        <v>0</v>
      </c>
      <c r="AC484" s="25">
        <v>0</v>
      </c>
      <c r="AD484" s="25">
        <v>0</v>
      </c>
      <c r="AE484" s="25">
        <v>1</v>
      </c>
      <c r="AF484" s="25" t="s">
        <v>131</v>
      </c>
    </row>
    <row r="485" spans="1:32" s="25" customFormat="1" x14ac:dyDescent="0.25">
      <c r="A485" s="25" t="s">
        <v>170</v>
      </c>
      <c r="B485" s="25">
        <f t="shared" si="18"/>
        <v>2400</v>
      </c>
      <c r="C485" s="25" t="s">
        <v>12</v>
      </c>
      <c r="D485" s="25">
        <v>0</v>
      </c>
      <c r="E485" s="25">
        <v>0</v>
      </c>
      <c r="F485" s="25">
        <v>256</v>
      </c>
      <c r="G485" s="25">
        <v>222</v>
      </c>
      <c r="H485" s="27">
        <v>0</v>
      </c>
      <c r="I485" s="27">
        <v>0</v>
      </c>
      <c r="J485" s="27">
        <v>0</v>
      </c>
      <c r="K485" s="27">
        <v>0</v>
      </c>
      <c r="L485" s="27">
        <v>1</v>
      </c>
      <c r="M485" s="27">
        <v>0</v>
      </c>
      <c r="N485" s="27">
        <v>0</v>
      </c>
      <c r="O485" s="27">
        <v>0</v>
      </c>
      <c r="P485" s="25">
        <v>700</v>
      </c>
      <c r="Q485" s="25">
        <v>560</v>
      </c>
      <c r="R485" s="25" t="s">
        <v>87</v>
      </c>
      <c r="S485" s="25" t="s">
        <v>89</v>
      </c>
      <c r="T485" s="25">
        <v>0</v>
      </c>
      <c r="U485" s="25">
        <v>0</v>
      </c>
      <c r="V485" s="25">
        <v>0</v>
      </c>
      <c r="W485" s="25">
        <v>0</v>
      </c>
      <c r="X485" s="25">
        <v>1</v>
      </c>
      <c r="Y485" s="25">
        <v>0</v>
      </c>
      <c r="Z485" s="25">
        <v>0</v>
      </c>
      <c r="AA485" s="25">
        <v>0</v>
      </c>
      <c r="AB485" s="25">
        <v>0</v>
      </c>
      <c r="AC485" s="25">
        <v>0</v>
      </c>
      <c r="AD485" s="25">
        <v>0</v>
      </c>
      <c r="AE485" s="25">
        <v>1</v>
      </c>
      <c r="AF485" s="25" t="s">
        <v>131</v>
      </c>
    </row>
    <row r="486" spans="1:32" s="25" customFormat="1" x14ac:dyDescent="0.25">
      <c r="A486" s="25" t="s">
        <v>170</v>
      </c>
      <c r="B486" s="25">
        <f t="shared" si="18"/>
        <v>2410</v>
      </c>
      <c r="C486" s="25" t="s">
        <v>12</v>
      </c>
      <c r="D486" s="25">
        <v>0</v>
      </c>
      <c r="E486" s="25">
        <v>0</v>
      </c>
      <c r="F486" s="25">
        <v>256</v>
      </c>
      <c r="G486" s="25">
        <v>222</v>
      </c>
      <c r="H486" s="27">
        <v>0</v>
      </c>
      <c r="I486" s="27">
        <v>0</v>
      </c>
      <c r="J486" s="27">
        <v>0</v>
      </c>
      <c r="K486" s="27">
        <v>0</v>
      </c>
      <c r="L486" s="27">
        <v>1</v>
      </c>
      <c r="M486" s="27">
        <v>0</v>
      </c>
      <c r="N486" s="27">
        <v>0</v>
      </c>
      <c r="O486" s="27">
        <v>0</v>
      </c>
      <c r="P486" s="25">
        <v>700</v>
      </c>
      <c r="Q486" s="25">
        <v>560</v>
      </c>
      <c r="R486" s="25" t="s">
        <v>87</v>
      </c>
      <c r="S486" s="25" t="s">
        <v>89</v>
      </c>
      <c r="T486" s="25">
        <v>0</v>
      </c>
      <c r="U486" s="25">
        <v>0</v>
      </c>
      <c r="V486" s="25">
        <v>0</v>
      </c>
      <c r="W486" s="25">
        <v>0</v>
      </c>
      <c r="X486" s="25">
        <v>1</v>
      </c>
      <c r="Y486" s="25">
        <v>0</v>
      </c>
      <c r="Z486" s="25">
        <v>0</v>
      </c>
      <c r="AA486" s="25">
        <v>0</v>
      </c>
      <c r="AB486" s="25">
        <v>0</v>
      </c>
      <c r="AC486" s="25">
        <v>0</v>
      </c>
      <c r="AD486" s="25">
        <v>0</v>
      </c>
      <c r="AE486" s="25">
        <v>1</v>
      </c>
      <c r="AF486" s="25" t="s">
        <v>131</v>
      </c>
    </row>
    <row r="487" spans="1:32" s="25" customFormat="1" x14ac:dyDescent="0.25">
      <c r="A487" s="25" t="s">
        <v>170</v>
      </c>
      <c r="B487" s="25">
        <f t="shared" si="18"/>
        <v>2420</v>
      </c>
      <c r="C487" s="25" t="s">
        <v>12</v>
      </c>
      <c r="D487" s="25">
        <v>0</v>
      </c>
      <c r="E487" s="25">
        <v>0</v>
      </c>
      <c r="F487" s="25">
        <v>256</v>
      </c>
      <c r="G487" s="25">
        <v>222</v>
      </c>
      <c r="H487" s="27">
        <v>0</v>
      </c>
      <c r="I487" s="27">
        <v>0</v>
      </c>
      <c r="J487" s="27">
        <v>0</v>
      </c>
      <c r="K487" s="27">
        <v>0</v>
      </c>
      <c r="L487" s="27">
        <v>1</v>
      </c>
      <c r="M487" s="27">
        <v>0</v>
      </c>
      <c r="N487" s="27">
        <v>0</v>
      </c>
      <c r="O487" s="27">
        <v>0</v>
      </c>
      <c r="P487" s="25">
        <v>700</v>
      </c>
      <c r="Q487" s="25">
        <v>560</v>
      </c>
      <c r="R487" s="25" t="s">
        <v>87</v>
      </c>
      <c r="S487" s="25" t="s">
        <v>89</v>
      </c>
      <c r="T487" s="25">
        <v>0</v>
      </c>
      <c r="U487" s="25">
        <v>0</v>
      </c>
      <c r="V487" s="25">
        <v>0</v>
      </c>
      <c r="W487" s="25">
        <v>0</v>
      </c>
      <c r="X487" s="25">
        <v>1</v>
      </c>
      <c r="Y487" s="25">
        <v>0</v>
      </c>
      <c r="Z487" s="25">
        <v>0</v>
      </c>
      <c r="AA487" s="25">
        <v>0</v>
      </c>
      <c r="AB487" s="25">
        <v>0</v>
      </c>
      <c r="AC487" s="25">
        <v>0</v>
      </c>
      <c r="AD487" s="25">
        <v>0</v>
      </c>
      <c r="AE487" s="25">
        <v>1</v>
      </c>
      <c r="AF487" s="25" t="s">
        <v>131</v>
      </c>
    </row>
    <row r="488" spans="1:32" s="25" customFormat="1" x14ac:dyDescent="0.25">
      <c r="A488" s="25" t="s">
        <v>170</v>
      </c>
      <c r="B488" s="25">
        <f t="shared" si="18"/>
        <v>2430</v>
      </c>
      <c r="C488" s="25" t="s">
        <v>12</v>
      </c>
      <c r="D488" s="25">
        <v>0</v>
      </c>
      <c r="E488" s="25">
        <v>0</v>
      </c>
      <c r="F488" s="25">
        <v>256</v>
      </c>
      <c r="G488" s="25">
        <v>222</v>
      </c>
      <c r="H488" s="27">
        <v>0</v>
      </c>
      <c r="I488" s="27">
        <v>0</v>
      </c>
      <c r="J488" s="27">
        <v>0</v>
      </c>
      <c r="K488" s="27">
        <v>0</v>
      </c>
      <c r="L488" s="27">
        <v>1</v>
      </c>
      <c r="M488" s="27">
        <v>0</v>
      </c>
      <c r="N488" s="27">
        <v>0</v>
      </c>
      <c r="O488" s="27">
        <v>0</v>
      </c>
      <c r="P488" s="25">
        <v>700</v>
      </c>
      <c r="Q488" s="25">
        <v>560</v>
      </c>
      <c r="R488" s="25" t="s">
        <v>87</v>
      </c>
      <c r="S488" s="25" t="s">
        <v>89</v>
      </c>
      <c r="T488" s="25">
        <v>0</v>
      </c>
      <c r="U488" s="25">
        <v>0</v>
      </c>
      <c r="V488" s="25">
        <v>0</v>
      </c>
      <c r="W488" s="25">
        <v>0</v>
      </c>
      <c r="X488" s="25">
        <v>1</v>
      </c>
      <c r="Y488" s="25">
        <v>0</v>
      </c>
      <c r="Z488" s="25">
        <v>0</v>
      </c>
      <c r="AA488" s="25">
        <v>0</v>
      </c>
      <c r="AB488" s="25">
        <v>0</v>
      </c>
      <c r="AC488" s="25">
        <v>0</v>
      </c>
      <c r="AD488" s="25">
        <v>0</v>
      </c>
      <c r="AE488" s="25">
        <v>1</v>
      </c>
      <c r="AF488" s="25" t="s">
        <v>131</v>
      </c>
    </row>
    <row r="489" spans="1:32" x14ac:dyDescent="0.25">
      <c r="A489" t="s">
        <v>170</v>
      </c>
      <c r="B489" s="25">
        <f t="shared" si="18"/>
        <v>2440</v>
      </c>
      <c r="C489" t="s">
        <v>12</v>
      </c>
      <c r="D489">
        <v>0</v>
      </c>
      <c r="E489">
        <v>0</v>
      </c>
      <c r="F489">
        <v>256</v>
      </c>
      <c r="G489">
        <v>222</v>
      </c>
      <c r="H489" s="27">
        <v>0</v>
      </c>
      <c r="I489" s="27">
        <v>0</v>
      </c>
      <c r="J489" s="27">
        <v>0</v>
      </c>
      <c r="K489" s="27">
        <v>0</v>
      </c>
      <c r="L489" s="27">
        <v>1</v>
      </c>
      <c r="M489" s="27">
        <v>0</v>
      </c>
      <c r="N489" s="27">
        <v>0</v>
      </c>
      <c r="O489" s="27">
        <v>0</v>
      </c>
      <c r="P489">
        <v>700</v>
      </c>
      <c r="Q489">
        <v>560</v>
      </c>
      <c r="R489" t="s">
        <v>87</v>
      </c>
      <c r="S489" t="s">
        <v>89</v>
      </c>
      <c r="T489">
        <v>0</v>
      </c>
      <c r="U489">
        <v>0</v>
      </c>
      <c r="V489">
        <v>0</v>
      </c>
      <c r="W489">
        <v>0</v>
      </c>
      <c r="X489">
        <v>1</v>
      </c>
      <c r="Y489">
        <v>0</v>
      </c>
      <c r="Z489">
        <v>0</v>
      </c>
      <c r="AA489">
        <v>0</v>
      </c>
      <c r="AB489">
        <v>0</v>
      </c>
      <c r="AC489">
        <v>0</v>
      </c>
      <c r="AD489">
        <v>0</v>
      </c>
      <c r="AE489">
        <v>1</v>
      </c>
      <c r="AF489" t="s">
        <v>131</v>
      </c>
    </row>
    <row r="490" spans="1:32" x14ac:dyDescent="0.25">
      <c r="A490" t="s">
        <v>170</v>
      </c>
      <c r="B490" s="25">
        <f t="shared" si="18"/>
        <v>2450</v>
      </c>
      <c r="C490" t="s">
        <v>12</v>
      </c>
      <c r="D490" t="s">
        <v>13</v>
      </c>
      <c r="E490" t="s">
        <v>13</v>
      </c>
      <c r="F490" t="s">
        <v>13</v>
      </c>
      <c r="G490" t="s">
        <v>13</v>
      </c>
      <c r="H490" s="27" t="s">
        <v>13</v>
      </c>
      <c r="I490" s="27" t="s">
        <v>13</v>
      </c>
      <c r="J490" s="27" t="s">
        <v>13</v>
      </c>
      <c r="K490" s="27" t="s">
        <v>13</v>
      </c>
      <c r="L490" s="27" t="s">
        <v>13</v>
      </c>
      <c r="M490" s="27" t="s">
        <v>13</v>
      </c>
      <c r="N490" s="27" t="s">
        <v>13</v>
      </c>
      <c r="O490" s="27" t="s">
        <v>13</v>
      </c>
      <c r="P490">
        <v>700</v>
      </c>
      <c r="Q490">
        <v>560</v>
      </c>
      <c r="R490" t="s">
        <v>87</v>
      </c>
      <c r="S490" t="s">
        <v>89</v>
      </c>
      <c r="T490">
        <v>0</v>
      </c>
      <c r="U490">
        <v>0</v>
      </c>
      <c r="V490">
        <v>0</v>
      </c>
      <c r="W490">
        <v>0</v>
      </c>
      <c r="X490">
        <v>1</v>
      </c>
      <c r="Y490">
        <v>0</v>
      </c>
      <c r="Z490">
        <v>0</v>
      </c>
      <c r="AA490">
        <v>0</v>
      </c>
      <c r="AB490">
        <v>0</v>
      </c>
      <c r="AC490">
        <v>0</v>
      </c>
      <c r="AD490">
        <v>0</v>
      </c>
      <c r="AE490">
        <v>1</v>
      </c>
      <c r="AF490" t="s">
        <v>132</v>
      </c>
    </row>
    <row r="491" spans="1:32" x14ac:dyDescent="0.25">
      <c r="A491" t="s">
        <v>170</v>
      </c>
      <c r="B491" s="25">
        <f t="shared" si="18"/>
        <v>2460</v>
      </c>
      <c r="C491" t="s">
        <v>12</v>
      </c>
      <c r="D491">
        <v>0</v>
      </c>
      <c r="E491">
        <v>0</v>
      </c>
      <c r="F491">
        <v>256</v>
      </c>
      <c r="G491">
        <v>222</v>
      </c>
      <c r="H491" s="27">
        <v>0</v>
      </c>
      <c r="I491" s="27">
        <v>0</v>
      </c>
      <c r="J491" s="27">
        <v>0</v>
      </c>
      <c r="K491" s="27">
        <v>0</v>
      </c>
      <c r="L491" s="27">
        <v>1</v>
      </c>
      <c r="M491" s="27">
        <v>0</v>
      </c>
      <c r="N491" s="27">
        <v>0</v>
      </c>
      <c r="O491" s="27">
        <v>0</v>
      </c>
      <c r="P491">
        <v>700</v>
      </c>
      <c r="Q491">
        <v>560</v>
      </c>
      <c r="R491" t="s">
        <v>87</v>
      </c>
      <c r="S491" t="s">
        <v>89</v>
      </c>
      <c r="T491">
        <v>0</v>
      </c>
      <c r="U491">
        <v>0</v>
      </c>
      <c r="V491">
        <v>0</v>
      </c>
      <c r="W491">
        <v>0</v>
      </c>
      <c r="X491">
        <v>1</v>
      </c>
      <c r="Y491">
        <v>0</v>
      </c>
      <c r="Z491">
        <v>0</v>
      </c>
      <c r="AA491">
        <v>0</v>
      </c>
      <c r="AB491">
        <v>0</v>
      </c>
      <c r="AC491">
        <v>0</v>
      </c>
      <c r="AD491">
        <v>0</v>
      </c>
      <c r="AE491">
        <v>1</v>
      </c>
      <c r="AF491" t="s">
        <v>132</v>
      </c>
    </row>
    <row r="492" spans="1:32" s="25" customFormat="1" x14ac:dyDescent="0.25">
      <c r="A492" s="25" t="s">
        <v>170</v>
      </c>
      <c r="B492" s="25">
        <f t="shared" ref="B492:B536" si="19">B491+10</f>
        <v>2470</v>
      </c>
      <c r="C492" s="25" t="s">
        <v>12</v>
      </c>
      <c r="D492" s="25">
        <v>0</v>
      </c>
      <c r="E492" s="25">
        <v>0</v>
      </c>
      <c r="F492" s="25">
        <v>256</v>
      </c>
      <c r="G492" s="25">
        <v>222</v>
      </c>
      <c r="H492" s="27">
        <v>0</v>
      </c>
      <c r="I492" s="27">
        <v>0</v>
      </c>
      <c r="J492" s="27">
        <v>0</v>
      </c>
      <c r="K492" s="27">
        <v>0</v>
      </c>
      <c r="L492" s="27">
        <v>1</v>
      </c>
      <c r="M492" s="27">
        <v>0</v>
      </c>
      <c r="N492" s="27">
        <v>0</v>
      </c>
      <c r="O492" s="27">
        <v>0</v>
      </c>
      <c r="P492" s="25">
        <v>700</v>
      </c>
      <c r="Q492" s="25">
        <v>560</v>
      </c>
      <c r="R492" s="25" t="s">
        <v>87</v>
      </c>
      <c r="S492" s="25" t="s">
        <v>89</v>
      </c>
      <c r="T492" s="25">
        <v>0</v>
      </c>
      <c r="U492" s="25">
        <v>0</v>
      </c>
      <c r="V492" s="25">
        <v>0</v>
      </c>
      <c r="W492" s="25">
        <v>0</v>
      </c>
      <c r="X492" s="25">
        <v>1</v>
      </c>
      <c r="Y492" s="25">
        <v>0</v>
      </c>
      <c r="Z492" s="25">
        <v>0</v>
      </c>
      <c r="AA492" s="25">
        <v>0</v>
      </c>
      <c r="AB492" s="25">
        <v>0</v>
      </c>
      <c r="AC492" s="25">
        <v>0</v>
      </c>
      <c r="AD492" s="25">
        <v>0</v>
      </c>
      <c r="AE492" s="25">
        <v>1</v>
      </c>
      <c r="AF492" s="25" t="s">
        <v>132</v>
      </c>
    </row>
    <row r="493" spans="1:32" s="25" customFormat="1" x14ac:dyDescent="0.25">
      <c r="A493" s="25" t="s">
        <v>170</v>
      </c>
      <c r="B493" s="25">
        <f t="shared" si="19"/>
        <v>2480</v>
      </c>
      <c r="C493" s="25" t="s">
        <v>12</v>
      </c>
      <c r="D493" s="25">
        <v>0</v>
      </c>
      <c r="E493" s="25">
        <v>0</v>
      </c>
      <c r="F493" s="25">
        <v>256</v>
      </c>
      <c r="G493" s="25">
        <v>222</v>
      </c>
      <c r="H493" s="27">
        <v>0</v>
      </c>
      <c r="I493" s="27">
        <v>0</v>
      </c>
      <c r="J493" s="27">
        <v>0</v>
      </c>
      <c r="K493" s="27">
        <v>0</v>
      </c>
      <c r="L493" s="27">
        <v>1</v>
      </c>
      <c r="M493" s="27">
        <v>0</v>
      </c>
      <c r="N493" s="27">
        <v>0</v>
      </c>
      <c r="O493" s="27">
        <v>0</v>
      </c>
      <c r="P493" s="25">
        <v>700</v>
      </c>
      <c r="Q493" s="25">
        <v>560</v>
      </c>
      <c r="R493" s="25" t="s">
        <v>87</v>
      </c>
      <c r="S493" s="25" t="s">
        <v>89</v>
      </c>
      <c r="T493" s="25">
        <v>0</v>
      </c>
      <c r="U493" s="25">
        <v>0</v>
      </c>
      <c r="V493" s="25">
        <v>0</v>
      </c>
      <c r="W493" s="25">
        <v>0</v>
      </c>
      <c r="X493" s="25">
        <v>1</v>
      </c>
      <c r="Y493" s="25">
        <v>0</v>
      </c>
      <c r="Z493" s="25">
        <v>0</v>
      </c>
      <c r="AA493" s="25">
        <v>0</v>
      </c>
      <c r="AB493" s="25">
        <v>0</v>
      </c>
      <c r="AC493" s="25">
        <v>0</v>
      </c>
      <c r="AD493" s="25">
        <v>0</v>
      </c>
      <c r="AE493" s="25">
        <v>1</v>
      </c>
      <c r="AF493" s="25" t="s">
        <v>132</v>
      </c>
    </row>
    <row r="494" spans="1:32" s="25" customFormat="1" x14ac:dyDescent="0.25">
      <c r="A494" s="25" t="s">
        <v>170</v>
      </c>
      <c r="B494" s="25">
        <f t="shared" si="19"/>
        <v>2490</v>
      </c>
      <c r="C494" s="25" t="s">
        <v>12</v>
      </c>
      <c r="D494" s="25">
        <v>0</v>
      </c>
      <c r="E494" s="25">
        <v>0</v>
      </c>
      <c r="F494" s="25">
        <v>256</v>
      </c>
      <c r="G494" s="25">
        <v>222</v>
      </c>
      <c r="H494" s="27">
        <v>0</v>
      </c>
      <c r="I494" s="27">
        <v>0</v>
      </c>
      <c r="J494" s="27">
        <v>0</v>
      </c>
      <c r="K494" s="27">
        <v>0</v>
      </c>
      <c r="L494" s="27">
        <v>1</v>
      </c>
      <c r="M494" s="27">
        <v>0</v>
      </c>
      <c r="N494" s="27">
        <v>0</v>
      </c>
      <c r="O494" s="27">
        <v>0</v>
      </c>
      <c r="P494" s="25">
        <v>700</v>
      </c>
      <c r="Q494" s="25">
        <v>560</v>
      </c>
      <c r="R494" s="25" t="s">
        <v>87</v>
      </c>
      <c r="S494" s="25" t="s">
        <v>89</v>
      </c>
      <c r="T494" s="25">
        <v>0</v>
      </c>
      <c r="U494" s="25">
        <v>0</v>
      </c>
      <c r="V494" s="25">
        <v>0</v>
      </c>
      <c r="W494" s="25">
        <v>0</v>
      </c>
      <c r="X494" s="25">
        <v>1</v>
      </c>
      <c r="Y494" s="25">
        <v>0</v>
      </c>
      <c r="Z494" s="25">
        <v>0</v>
      </c>
      <c r="AA494" s="25">
        <v>0</v>
      </c>
      <c r="AB494" s="25">
        <v>0</v>
      </c>
      <c r="AC494" s="25">
        <v>0</v>
      </c>
      <c r="AD494" s="25">
        <v>0</v>
      </c>
      <c r="AE494" s="25">
        <v>1</v>
      </c>
      <c r="AF494" s="25" t="s">
        <v>132</v>
      </c>
    </row>
    <row r="495" spans="1:32" s="25" customFormat="1" x14ac:dyDescent="0.25">
      <c r="A495" s="25" t="s">
        <v>170</v>
      </c>
      <c r="B495" s="25">
        <f t="shared" si="19"/>
        <v>2500</v>
      </c>
      <c r="C495" s="25" t="s">
        <v>12</v>
      </c>
      <c r="D495" s="25">
        <v>0</v>
      </c>
      <c r="E495" s="25">
        <v>0</v>
      </c>
      <c r="F495" s="25">
        <v>256</v>
      </c>
      <c r="G495" s="25">
        <v>222</v>
      </c>
      <c r="H495" s="27">
        <v>0</v>
      </c>
      <c r="I495" s="27">
        <v>0</v>
      </c>
      <c r="J495" s="27">
        <v>0</v>
      </c>
      <c r="K495" s="27">
        <v>0</v>
      </c>
      <c r="L495" s="27">
        <v>1</v>
      </c>
      <c r="M495" s="27">
        <v>0</v>
      </c>
      <c r="N495" s="27">
        <v>0</v>
      </c>
      <c r="O495" s="27">
        <v>0</v>
      </c>
      <c r="P495" s="25">
        <v>700</v>
      </c>
      <c r="Q495" s="25">
        <v>560</v>
      </c>
      <c r="R495" s="25" t="s">
        <v>87</v>
      </c>
      <c r="S495" s="25" t="s">
        <v>89</v>
      </c>
      <c r="T495" s="25">
        <v>0</v>
      </c>
      <c r="U495" s="25">
        <v>0</v>
      </c>
      <c r="V495" s="25">
        <v>0</v>
      </c>
      <c r="W495" s="25">
        <v>0</v>
      </c>
      <c r="X495" s="25">
        <v>1</v>
      </c>
      <c r="Y495" s="25">
        <v>0</v>
      </c>
      <c r="Z495" s="25">
        <v>0</v>
      </c>
      <c r="AA495" s="25">
        <v>0</v>
      </c>
      <c r="AB495" s="25">
        <v>0</v>
      </c>
      <c r="AC495" s="25">
        <v>0</v>
      </c>
      <c r="AD495" s="25">
        <v>0</v>
      </c>
      <c r="AE495" s="25">
        <v>1</v>
      </c>
      <c r="AF495" s="25" t="s">
        <v>132</v>
      </c>
    </row>
    <row r="496" spans="1:32" s="25" customFormat="1" x14ac:dyDescent="0.25">
      <c r="A496" s="25" t="s">
        <v>170</v>
      </c>
      <c r="B496" s="25">
        <f t="shared" si="19"/>
        <v>2510</v>
      </c>
      <c r="C496" s="25" t="s">
        <v>12</v>
      </c>
      <c r="D496" s="25">
        <v>0</v>
      </c>
      <c r="E496" s="25">
        <v>0</v>
      </c>
      <c r="F496" s="25">
        <v>256</v>
      </c>
      <c r="G496" s="25">
        <v>222</v>
      </c>
      <c r="H496" s="27">
        <v>0</v>
      </c>
      <c r="I496" s="27">
        <v>0</v>
      </c>
      <c r="J496" s="27">
        <v>0</v>
      </c>
      <c r="K496" s="27">
        <v>0</v>
      </c>
      <c r="L496" s="27">
        <v>1</v>
      </c>
      <c r="M496" s="27">
        <v>0</v>
      </c>
      <c r="N496" s="27">
        <v>0</v>
      </c>
      <c r="O496" s="27">
        <v>0</v>
      </c>
      <c r="P496" s="25">
        <v>700</v>
      </c>
      <c r="Q496" s="25">
        <v>560</v>
      </c>
      <c r="R496" s="25" t="s">
        <v>87</v>
      </c>
      <c r="S496" s="25" t="s">
        <v>89</v>
      </c>
      <c r="T496" s="25">
        <v>0</v>
      </c>
      <c r="U496" s="25">
        <v>0</v>
      </c>
      <c r="V496" s="25">
        <v>0</v>
      </c>
      <c r="W496" s="25">
        <v>0</v>
      </c>
      <c r="X496" s="25">
        <v>1</v>
      </c>
      <c r="Y496" s="25">
        <v>0</v>
      </c>
      <c r="Z496" s="25">
        <v>0</v>
      </c>
      <c r="AA496" s="25">
        <v>0</v>
      </c>
      <c r="AB496" s="25">
        <v>0</v>
      </c>
      <c r="AC496" s="25">
        <v>0</v>
      </c>
      <c r="AD496" s="25">
        <v>0</v>
      </c>
      <c r="AE496" s="25">
        <v>1</v>
      </c>
      <c r="AF496" s="25" t="s">
        <v>132</v>
      </c>
    </row>
    <row r="497" spans="1:32" s="25" customFormat="1" x14ac:dyDescent="0.25">
      <c r="A497" s="25" t="s">
        <v>170</v>
      </c>
      <c r="B497" s="25">
        <f t="shared" si="19"/>
        <v>2520</v>
      </c>
      <c r="C497" s="25" t="s">
        <v>12</v>
      </c>
      <c r="D497" s="25">
        <v>0</v>
      </c>
      <c r="E497" s="25">
        <v>0</v>
      </c>
      <c r="F497" s="25">
        <v>256</v>
      </c>
      <c r="G497" s="25">
        <v>222</v>
      </c>
      <c r="H497" s="27">
        <v>0</v>
      </c>
      <c r="I497" s="27">
        <v>0</v>
      </c>
      <c r="J497" s="27">
        <v>0</v>
      </c>
      <c r="K497" s="27">
        <v>0</v>
      </c>
      <c r="L497" s="27">
        <v>1</v>
      </c>
      <c r="M497" s="27">
        <v>0</v>
      </c>
      <c r="N497" s="27">
        <v>0</v>
      </c>
      <c r="O497" s="27">
        <v>0</v>
      </c>
      <c r="P497" s="25">
        <v>700</v>
      </c>
      <c r="Q497" s="25">
        <v>560</v>
      </c>
      <c r="R497" s="25" t="s">
        <v>87</v>
      </c>
      <c r="S497" s="25" t="s">
        <v>89</v>
      </c>
      <c r="T497" s="25">
        <v>0</v>
      </c>
      <c r="U497" s="25">
        <v>0</v>
      </c>
      <c r="V497" s="25">
        <v>0</v>
      </c>
      <c r="W497" s="25">
        <v>0</v>
      </c>
      <c r="X497" s="25">
        <v>1</v>
      </c>
      <c r="Y497" s="25">
        <v>0</v>
      </c>
      <c r="Z497" s="25">
        <v>0</v>
      </c>
      <c r="AA497" s="25">
        <v>0</v>
      </c>
      <c r="AB497" s="25">
        <v>0</v>
      </c>
      <c r="AC497" s="25">
        <v>0</v>
      </c>
      <c r="AD497" s="25">
        <v>0</v>
      </c>
      <c r="AE497" s="25">
        <v>1</v>
      </c>
      <c r="AF497" s="25" t="s">
        <v>132</v>
      </c>
    </row>
    <row r="498" spans="1:32" s="25" customFormat="1" x14ac:dyDescent="0.25">
      <c r="A498" s="25" t="s">
        <v>170</v>
      </c>
      <c r="B498" s="25">
        <f t="shared" si="19"/>
        <v>2530</v>
      </c>
      <c r="C498" s="25" t="s">
        <v>12</v>
      </c>
      <c r="D498" s="25">
        <v>0</v>
      </c>
      <c r="E498" s="25">
        <v>0</v>
      </c>
      <c r="F498" s="25">
        <v>256</v>
      </c>
      <c r="G498" s="25">
        <v>222</v>
      </c>
      <c r="H498" s="27">
        <v>0</v>
      </c>
      <c r="I498" s="27">
        <v>0</v>
      </c>
      <c r="J498" s="27">
        <v>0</v>
      </c>
      <c r="K498" s="27">
        <v>0</v>
      </c>
      <c r="L498" s="27">
        <v>1</v>
      </c>
      <c r="M498" s="27">
        <v>0</v>
      </c>
      <c r="N498" s="27">
        <v>0</v>
      </c>
      <c r="O498" s="27">
        <v>0</v>
      </c>
      <c r="P498" s="25">
        <v>700</v>
      </c>
      <c r="Q498" s="25">
        <v>560</v>
      </c>
      <c r="R498" s="25" t="s">
        <v>87</v>
      </c>
      <c r="S498" s="25" t="s">
        <v>89</v>
      </c>
      <c r="T498" s="25">
        <v>0</v>
      </c>
      <c r="U498" s="25">
        <v>0</v>
      </c>
      <c r="V498" s="25">
        <v>0</v>
      </c>
      <c r="W498" s="25">
        <v>0</v>
      </c>
      <c r="X498" s="25">
        <v>1</v>
      </c>
      <c r="Y498" s="25">
        <v>0</v>
      </c>
      <c r="Z498" s="25">
        <v>0</v>
      </c>
      <c r="AA498" s="25">
        <v>0</v>
      </c>
      <c r="AB498" s="25">
        <v>0</v>
      </c>
      <c r="AC498" s="25">
        <v>0</v>
      </c>
      <c r="AD498" s="25">
        <v>0</v>
      </c>
      <c r="AE498" s="25">
        <v>1</v>
      </c>
      <c r="AF498" s="25" t="s">
        <v>132</v>
      </c>
    </row>
    <row r="499" spans="1:32" s="25" customFormat="1" x14ac:dyDescent="0.25">
      <c r="A499" s="25" t="s">
        <v>170</v>
      </c>
      <c r="B499" s="25">
        <f t="shared" si="19"/>
        <v>2540</v>
      </c>
      <c r="C499" s="25" t="s">
        <v>12</v>
      </c>
      <c r="D499" s="25">
        <v>0</v>
      </c>
      <c r="E499" s="25">
        <v>0</v>
      </c>
      <c r="F499" s="25">
        <v>256</v>
      </c>
      <c r="G499" s="25">
        <v>222</v>
      </c>
      <c r="H499" s="27">
        <v>0</v>
      </c>
      <c r="I499" s="27">
        <v>0</v>
      </c>
      <c r="J499" s="27">
        <v>0</v>
      </c>
      <c r="K499" s="27">
        <v>0</v>
      </c>
      <c r="L499" s="27">
        <v>1</v>
      </c>
      <c r="M499" s="27">
        <v>0</v>
      </c>
      <c r="N499" s="27">
        <v>0</v>
      </c>
      <c r="O499" s="27">
        <v>0</v>
      </c>
      <c r="P499" s="25">
        <v>700</v>
      </c>
      <c r="Q499" s="25">
        <v>560</v>
      </c>
      <c r="R499" s="25" t="s">
        <v>87</v>
      </c>
      <c r="S499" s="25" t="s">
        <v>89</v>
      </c>
      <c r="T499" s="25">
        <v>0</v>
      </c>
      <c r="U499" s="25">
        <v>0</v>
      </c>
      <c r="V499" s="25">
        <v>0</v>
      </c>
      <c r="W499" s="25">
        <v>0</v>
      </c>
      <c r="X499" s="25">
        <v>1</v>
      </c>
      <c r="Y499" s="25">
        <v>0</v>
      </c>
      <c r="Z499" s="25">
        <v>0</v>
      </c>
      <c r="AA499" s="25">
        <v>0</v>
      </c>
      <c r="AB499" s="25">
        <v>0</v>
      </c>
      <c r="AC499" s="25">
        <v>0</v>
      </c>
      <c r="AD499" s="25">
        <v>0</v>
      </c>
      <c r="AE499" s="25">
        <v>1</v>
      </c>
      <c r="AF499" s="25" t="s">
        <v>132</v>
      </c>
    </row>
    <row r="500" spans="1:32" s="25" customFormat="1" x14ac:dyDescent="0.25">
      <c r="A500" s="25" t="s">
        <v>170</v>
      </c>
      <c r="B500" s="25">
        <f t="shared" si="19"/>
        <v>2550</v>
      </c>
      <c r="C500" s="25" t="s">
        <v>12</v>
      </c>
      <c r="D500" s="25">
        <v>0</v>
      </c>
      <c r="E500" s="25">
        <v>0</v>
      </c>
      <c r="F500" s="25">
        <v>256</v>
      </c>
      <c r="G500" s="25">
        <v>222</v>
      </c>
      <c r="H500" s="27">
        <v>0</v>
      </c>
      <c r="I500" s="27">
        <v>0</v>
      </c>
      <c r="J500" s="27">
        <v>0</v>
      </c>
      <c r="K500" s="27">
        <v>0</v>
      </c>
      <c r="L500" s="27">
        <v>1</v>
      </c>
      <c r="M500" s="27">
        <v>0</v>
      </c>
      <c r="N500" s="27">
        <v>0</v>
      </c>
      <c r="O500" s="27">
        <v>0</v>
      </c>
      <c r="P500" s="25">
        <v>700</v>
      </c>
      <c r="Q500" s="25">
        <v>560</v>
      </c>
      <c r="R500" s="25" t="s">
        <v>87</v>
      </c>
      <c r="S500" s="25" t="s">
        <v>89</v>
      </c>
      <c r="T500" s="25">
        <v>0</v>
      </c>
      <c r="U500" s="25">
        <v>0</v>
      </c>
      <c r="V500" s="25">
        <v>0</v>
      </c>
      <c r="W500" s="25">
        <v>0</v>
      </c>
      <c r="X500" s="25">
        <v>1</v>
      </c>
      <c r="Y500" s="25">
        <v>0</v>
      </c>
      <c r="Z500" s="25">
        <v>0</v>
      </c>
      <c r="AA500" s="25">
        <v>0</v>
      </c>
      <c r="AB500" s="25">
        <v>0</v>
      </c>
      <c r="AC500" s="25">
        <v>0</v>
      </c>
      <c r="AD500" s="25">
        <v>0</v>
      </c>
      <c r="AE500" s="25">
        <v>1</v>
      </c>
      <c r="AF500" s="25" t="s">
        <v>132</v>
      </c>
    </row>
    <row r="501" spans="1:32" s="25" customFormat="1" x14ac:dyDescent="0.25">
      <c r="A501" s="25" t="s">
        <v>170</v>
      </c>
      <c r="B501" s="25">
        <f t="shared" si="19"/>
        <v>2560</v>
      </c>
      <c r="C501" s="25" t="s">
        <v>12</v>
      </c>
      <c r="D501" s="25">
        <v>0</v>
      </c>
      <c r="E501" s="25">
        <v>0</v>
      </c>
      <c r="F501" s="25">
        <v>256</v>
      </c>
      <c r="G501" s="25">
        <v>222</v>
      </c>
      <c r="H501" s="27">
        <v>0</v>
      </c>
      <c r="I501" s="27">
        <v>0</v>
      </c>
      <c r="J501" s="27">
        <v>0</v>
      </c>
      <c r="K501" s="27">
        <v>0</v>
      </c>
      <c r="L501" s="27">
        <v>1</v>
      </c>
      <c r="M501" s="27">
        <v>0</v>
      </c>
      <c r="N501" s="27">
        <v>0</v>
      </c>
      <c r="O501" s="27">
        <v>0</v>
      </c>
      <c r="P501" s="25">
        <v>700</v>
      </c>
      <c r="Q501" s="25">
        <v>560</v>
      </c>
      <c r="R501" s="25" t="s">
        <v>87</v>
      </c>
      <c r="S501" s="25" t="s">
        <v>89</v>
      </c>
      <c r="T501" s="25">
        <v>0</v>
      </c>
      <c r="U501" s="25">
        <v>0</v>
      </c>
      <c r="V501" s="25">
        <v>0</v>
      </c>
      <c r="W501" s="25">
        <v>0</v>
      </c>
      <c r="X501" s="25">
        <v>1</v>
      </c>
      <c r="Y501" s="25">
        <v>0</v>
      </c>
      <c r="Z501" s="25">
        <v>0</v>
      </c>
      <c r="AA501" s="25">
        <v>0</v>
      </c>
      <c r="AB501" s="25">
        <v>0</v>
      </c>
      <c r="AC501" s="25">
        <v>0</v>
      </c>
      <c r="AD501" s="25">
        <v>0</v>
      </c>
      <c r="AE501" s="25">
        <v>1</v>
      </c>
      <c r="AF501" s="25" t="s">
        <v>132</v>
      </c>
    </row>
    <row r="502" spans="1:32" s="25" customFormat="1" x14ac:dyDescent="0.25">
      <c r="A502" s="25" t="s">
        <v>170</v>
      </c>
      <c r="B502" s="25">
        <f t="shared" si="19"/>
        <v>2570</v>
      </c>
      <c r="C502" s="25" t="s">
        <v>12</v>
      </c>
      <c r="D502" s="25">
        <v>0</v>
      </c>
      <c r="E502" s="25">
        <v>0</v>
      </c>
      <c r="F502" s="25">
        <v>256</v>
      </c>
      <c r="G502" s="25">
        <v>222</v>
      </c>
      <c r="H502" s="27">
        <v>0</v>
      </c>
      <c r="I502" s="27">
        <v>0</v>
      </c>
      <c r="J502" s="27">
        <v>0</v>
      </c>
      <c r="K502" s="27">
        <v>0</v>
      </c>
      <c r="L502" s="27">
        <v>1</v>
      </c>
      <c r="M502" s="27">
        <v>0</v>
      </c>
      <c r="N502" s="27">
        <v>0</v>
      </c>
      <c r="O502" s="27">
        <v>0</v>
      </c>
      <c r="P502" s="25">
        <v>700</v>
      </c>
      <c r="Q502" s="25">
        <v>560</v>
      </c>
      <c r="R502" s="25" t="s">
        <v>87</v>
      </c>
      <c r="S502" s="25" t="s">
        <v>89</v>
      </c>
      <c r="T502" s="25">
        <v>0</v>
      </c>
      <c r="U502" s="25">
        <v>0</v>
      </c>
      <c r="V502" s="25">
        <v>0</v>
      </c>
      <c r="W502" s="25">
        <v>0</v>
      </c>
      <c r="X502" s="25">
        <v>1</v>
      </c>
      <c r="Y502" s="25">
        <v>0</v>
      </c>
      <c r="Z502" s="25">
        <v>0</v>
      </c>
      <c r="AA502" s="25">
        <v>0</v>
      </c>
      <c r="AB502" s="25">
        <v>0</v>
      </c>
      <c r="AC502" s="25">
        <v>0</v>
      </c>
      <c r="AD502" s="25">
        <v>0</v>
      </c>
      <c r="AE502" s="25">
        <v>1</v>
      </c>
      <c r="AF502" s="25" t="s">
        <v>132</v>
      </c>
    </row>
    <row r="503" spans="1:32" s="25" customFormat="1" x14ac:dyDescent="0.25">
      <c r="A503" s="25" t="s">
        <v>170</v>
      </c>
      <c r="B503" s="25">
        <f t="shared" si="19"/>
        <v>2580</v>
      </c>
      <c r="C503" s="25" t="s">
        <v>12</v>
      </c>
      <c r="D503" s="25">
        <v>0</v>
      </c>
      <c r="E503" s="25">
        <v>0</v>
      </c>
      <c r="F503" s="25">
        <v>256</v>
      </c>
      <c r="G503" s="25">
        <v>222</v>
      </c>
      <c r="H503" s="27">
        <v>0</v>
      </c>
      <c r="I503" s="27">
        <v>0</v>
      </c>
      <c r="J503" s="27">
        <v>0</v>
      </c>
      <c r="K503" s="27">
        <v>0</v>
      </c>
      <c r="L503" s="27">
        <v>1</v>
      </c>
      <c r="M503" s="27">
        <v>0</v>
      </c>
      <c r="N503" s="27">
        <v>0</v>
      </c>
      <c r="O503" s="27">
        <v>0</v>
      </c>
      <c r="P503" s="25">
        <v>700</v>
      </c>
      <c r="Q503" s="25">
        <v>560</v>
      </c>
      <c r="R503" s="25" t="s">
        <v>87</v>
      </c>
      <c r="S503" s="25" t="s">
        <v>89</v>
      </c>
      <c r="T503" s="25">
        <v>0</v>
      </c>
      <c r="U503" s="25">
        <v>0</v>
      </c>
      <c r="V503" s="25">
        <v>0</v>
      </c>
      <c r="W503" s="25">
        <v>0</v>
      </c>
      <c r="X503" s="25">
        <v>1</v>
      </c>
      <c r="Y503" s="25">
        <v>0</v>
      </c>
      <c r="Z503" s="25">
        <v>0</v>
      </c>
      <c r="AA503" s="25">
        <v>0</v>
      </c>
      <c r="AB503" s="25">
        <v>0</v>
      </c>
      <c r="AC503" s="25">
        <v>0</v>
      </c>
      <c r="AD503" s="25">
        <v>0</v>
      </c>
      <c r="AE503" s="25">
        <v>1</v>
      </c>
      <c r="AF503" s="25" t="s">
        <v>132</v>
      </c>
    </row>
    <row r="504" spans="1:32" s="25" customFormat="1" x14ac:dyDescent="0.25">
      <c r="A504" s="25" t="s">
        <v>170</v>
      </c>
      <c r="B504" s="25">
        <f t="shared" si="19"/>
        <v>2590</v>
      </c>
      <c r="C504" s="25" t="s">
        <v>12</v>
      </c>
      <c r="D504" s="25">
        <v>0</v>
      </c>
      <c r="E504" s="25">
        <v>0</v>
      </c>
      <c r="F504" s="25">
        <v>256</v>
      </c>
      <c r="G504" s="25">
        <v>222</v>
      </c>
      <c r="H504" s="27">
        <v>0</v>
      </c>
      <c r="I504" s="27">
        <v>0</v>
      </c>
      <c r="J504" s="27">
        <v>0</v>
      </c>
      <c r="K504" s="27">
        <v>0</v>
      </c>
      <c r="L504" s="27">
        <v>1</v>
      </c>
      <c r="M504" s="27">
        <v>0</v>
      </c>
      <c r="N504" s="27">
        <v>0</v>
      </c>
      <c r="O504" s="27">
        <v>0</v>
      </c>
      <c r="P504" s="25">
        <v>700</v>
      </c>
      <c r="Q504" s="25">
        <v>560</v>
      </c>
      <c r="R504" s="25" t="s">
        <v>87</v>
      </c>
      <c r="S504" s="25" t="s">
        <v>89</v>
      </c>
      <c r="T504" s="25">
        <v>0</v>
      </c>
      <c r="U504" s="25">
        <v>0</v>
      </c>
      <c r="V504" s="25">
        <v>0</v>
      </c>
      <c r="W504" s="25">
        <v>0</v>
      </c>
      <c r="X504" s="25">
        <v>1</v>
      </c>
      <c r="Y504" s="25">
        <v>0</v>
      </c>
      <c r="Z504" s="25">
        <v>0</v>
      </c>
      <c r="AA504" s="25">
        <v>0</v>
      </c>
      <c r="AB504" s="25">
        <v>0</v>
      </c>
      <c r="AC504" s="25">
        <v>0</v>
      </c>
      <c r="AD504" s="25">
        <v>0</v>
      </c>
      <c r="AE504" s="25">
        <v>1</v>
      </c>
      <c r="AF504" s="25" t="s">
        <v>132</v>
      </c>
    </row>
    <row r="505" spans="1:32" s="25" customFormat="1" x14ac:dyDescent="0.25">
      <c r="A505" s="25" t="s">
        <v>170</v>
      </c>
      <c r="B505" s="25">
        <f t="shared" si="19"/>
        <v>2600</v>
      </c>
      <c r="C505" s="25" t="s">
        <v>12</v>
      </c>
      <c r="D505" s="25">
        <v>0</v>
      </c>
      <c r="E505" s="25">
        <v>0</v>
      </c>
      <c r="F505" s="25">
        <v>256</v>
      </c>
      <c r="G505" s="25">
        <v>222</v>
      </c>
      <c r="H505" s="27">
        <v>0</v>
      </c>
      <c r="I505" s="27">
        <v>0</v>
      </c>
      <c r="J505" s="27">
        <v>0</v>
      </c>
      <c r="K505" s="27">
        <v>0</v>
      </c>
      <c r="L505" s="27">
        <v>1</v>
      </c>
      <c r="M505" s="27">
        <v>0</v>
      </c>
      <c r="N505" s="27">
        <v>0</v>
      </c>
      <c r="O505" s="27">
        <v>0</v>
      </c>
      <c r="P505" s="25">
        <v>700</v>
      </c>
      <c r="Q505" s="25">
        <v>560</v>
      </c>
      <c r="R505" s="25" t="s">
        <v>87</v>
      </c>
      <c r="S505" s="25" t="s">
        <v>89</v>
      </c>
      <c r="T505" s="25">
        <v>0</v>
      </c>
      <c r="U505" s="25">
        <v>0</v>
      </c>
      <c r="V505" s="25">
        <v>0</v>
      </c>
      <c r="W505" s="25">
        <v>0</v>
      </c>
      <c r="X505" s="25">
        <v>1</v>
      </c>
      <c r="Y505" s="25">
        <v>0</v>
      </c>
      <c r="Z505" s="25">
        <v>0</v>
      </c>
      <c r="AA505" s="25">
        <v>0</v>
      </c>
      <c r="AB505" s="25">
        <v>0</v>
      </c>
      <c r="AC505" s="25">
        <v>0</v>
      </c>
      <c r="AD505" s="25">
        <v>0</v>
      </c>
      <c r="AE505" s="25">
        <v>1</v>
      </c>
      <c r="AF505" s="25" t="s">
        <v>132</v>
      </c>
    </row>
    <row r="506" spans="1:32" s="25" customFormat="1" x14ac:dyDescent="0.25">
      <c r="A506" s="25" t="s">
        <v>170</v>
      </c>
      <c r="B506" s="25">
        <f t="shared" si="19"/>
        <v>2610</v>
      </c>
      <c r="C506" s="25" t="s">
        <v>12</v>
      </c>
      <c r="D506" s="25">
        <v>0</v>
      </c>
      <c r="E506" s="25">
        <v>0</v>
      </c>
      <c r="F506" s="25">
        <v>256</v>
      </c>
      <c r="G506" s="25">
        <v>222</v>
      </c>
      <c r="H506" s="27">
        <v>0</v>
      </c>
      <c r="I506" s="27">
        <v>0</v>
      </c>
      <c r="J506" s="27">
        <v>0</v>
      </c>
      <c r="K506" s="27">
        <v>0</v>
      </c>
      <c r="L506" s="27">
        <v>1</v>
      </c>
      <c r="M506" s="27">
        <v>0</v>
      </c>
      <c r="N506" s="27">
        <v>0</v>
      </c>
      <c r="O506" s="27">
        <v>0</v>
      </c>
      <c r="P506" s="25">
        <v>700</v>
      </c>
      <c r="Q506" s="25">
        <v>560</v>
      </c>
      <c r="R506" s="25" t="s">
        <v>87</v>
      </c>
      <c r="S506" s="25" t="s">
        <v>89</v>
      </c>
      <c r="T506" s="25">
        <v>0</v>
      </c>
      <c r="U506" s="25">
        <v>0</v>
      </c>
      <c r="V506" s="25">
        <v>0</v>
      </c>
      <c r="W506" s="25">
        <v>0</v>
      </c>
      <c r="X506" s="25">
        <v>1</v>
      </c>
      <c r="Y506" s="25">
        <v>0</v>
      </c>
      <c r="Z506" s="25">
        <v>0</v>
      </c>
      <c r="AA506" s="25">
        <v>0</v>
      </c>
      <c r="AB506" s="25">
        <v>0</v>
      </c>
      <c r="AC506" s="25">
        <v>0</v>
      </c>
      <c r="AD506" s="25">
        <v>0</v>
      </c>
      <c r="AE506" s="25">
        <v>1</v>
      </c>
      <c r="AF506" s="25" t="s">
        <v>132</v>
      </c>
    </row>
    <row r="507" spans="1:32" s="25" customFormat="1" x14ac:dyDescent="0.25">
      <c r="A507" s="25" t="s">
        <v>170</v>
      </c>
      <c r="B507" s="25">
        <f t="shared" si="19"/>
        <v>2620</v>
      </c>
      <c r="C507" s="25" t="s">
        <v>12</v>
      </c>
      <c r="D507" s="25">
        <v>0</v>
      </c>
      <c r="E507" s="25">
        <v>0</v>
      </c>
      <c r="F507" s="25">
        <v>256</v>
      </c>
      <c r="G507" s="25">
        <v>222</v>
      </c>
      <c r="H507" s="27">
        <v>0</v>
      </c>
      <c r="I507" s="27">
        <v>0</v>
      </c>
      <c r="J507" s="27">
        <v>0</v>
      </c>
      <c r="K507" s="27">
        <v>0</v>
      </c>
      <c r="L507" s="27">
        <v>1</v>
      </c>
      <c r="M507" s="27">
        <v>0</v>
      </c>
      <c r="N507" s="27">
        <v>0</v>
      </c>
      <c r="O507" s="27">
        <v>0</v>
      </c>
      <c r="P507" s="25">
        <v>700</v>
      </c>
      <c r="Q507" s="25">
        <v>560</v>
      </c>
      <c r="R507" s="25" t="s">
        <v>87</v>
      </c>
      <c r="S507" s="25" t="s">
        <v>89</v>
      </c>
      <c r="T507" s="25">
        <v>0</v>
      </c>
      <c r="U507" s="25">
        <v>0</v>
      </c>
      <c r="V507" s="25">
        <v>0</v>
      </c>
      <c r="W507" s="25">
        <v>0</v>
      </c>
      <c r="X507" s="25">
        <v>1</v>
      </c>
      <c r="Y507" s="25">
        <v>0</v>
      </c>
      <c r="Z507" s="25">
        <v>0</v>
      </c>
      <c r="AA507" s="25">
        <v>0</v>
      </c>
      <c r="AB507" s="25">
        <v>0</v>
      </c>
      <c r="AC507" s="25">
        <v>0</v>
      </c>
      <c r="AD507" s="25">
        <v>0</v>
      </c>
      <c r="AE507" s="25">
        <v>1</v>
      </c>
      <c r="AF507" s="25" t="s">
        <v>132</v>
      </c>
    </row>
    <row r="508" spans="1:32" s="25" customFormat="1" x14ac:dyDescent="0.25">
      <c r="A508" s="25" t="s">
        <v>170</v>
      </c>
      <c r="B508" s="25">
        <f t="shared" si="19"/>
        <v>2630</v>
      </c>
      <c r="C508" s="25" t="s">
        <v>12</v>
      </c>
      <c r="D508" s="25">
        <v>0</v>
      </c>
      <c r="E508" s="25">
        <v>0</v>
      </c>
      <c r="F508" s="25">
        <v>256</v>
      </c>
      <c r="G508" s="25">
        <v>222</v>
      </c>
      <c r="H508" s="27">
        <v>0</v>
      </c>
      <c r="I508" s="27">
        <v>0</v>
      </c>
      <c r="J508" s="27">
        <v>0</v>
      </c>
      <c r="K508" s="27">
        <v>0</v>
      </c>
      <c r="L508" s="27">
        <v>1</v>
      </c>
      <c r="M508" s="27">
        <v>0</v>
      </c>
      <c r="N508" s="27">
        <v>0</v>
      </c>
      <c r="O508" s="27">
        <v>0</v>
      </c>
      <c r="P508" s="25">
        <v>700</v>
      </c>
      <c r="Q508" s="25">
        <v>560</v>
      </c>
      <c r="R508" s="25" t="s">
        <v>87</v>
      </c>
      <c r="S508" s="25" t="s">
        <v>89</v>
      </c>
      <c r="T508" s="25">
        <v>0</v>
      </c>
      <c r="U508" s="25">
        <v>0</v>
      </c>
      <c r="V508" s="25">
        <v>0</v>
      </c>
      <c r="W508" s="25">
        <v>0</v>
      </c>
      <c r="X508" s="25">
        <v>1</v>
      </c>
      <c r="Y508" s="25">
        <v>0</v>
      </c>
      <c r="Z508" s="25">
        <v>0</v>
      </c>
      <c r="AA508" s="25">
        <v>0</v>
      </c>
      <c r="AB508" s="25">
        <v>0</v>
      </c>
      <c r="AC508" s="25">
        <v>0</v>
      </c>
      <c r="AD508" s="25">
        <v>0</v>
      </c>
      <c r="AE508" s="25">
        <v>1</v>
      </c>
      <c r="AF508" s="25" t="s">
        <v>132</v>
      </c>
    </row>
    <row r="509" spans="1:32" s="25" customFormat="1" x14ac:dyDescent="0.25">
      <c r="A509" s="25" t="s">
        <v>170</v>
      </c>
      <c r="B509" s="25">
        <f t="shared" si="19"/>
        <v>2640</v>
      </c>
      <c r="C509" s="25" t="s">
        <v>12</v>
      </c>
      <c r="D509" s="25">
        <v>0</v>
      </c>
      <c r="E509" s="25">
        <v>0</v>
      </c>
      <c r="F509" s="25">
        <v>256</v>
      </c>
      <c r="G509" s="25">
        <v>222</v>
      </c>
      <c r="H509" s="27">
        <v>0</v>
      </c>
      <c r="I509" s="27">
        <v>0</v>
      </c>
      <c r="J509" s="27">
        <v>0</v>
      </c>
      <c r="K509" s="27">
        <v>0</v>
      </c>
      <c r="L509" s="27">
        <v>1</v>
      </c>
      <c r="M509" s="27">
        <v>0</v>
      </c>
      <c r="N509" s="27">
        <v>0</v>
      </c>
      <c r="O509" s="27">
        <v>0</v>
      </c>
      <c r="P509" s="25">
        <v>700</v>
      </c>
      <c r="Q509" s="25">
        <v>560</v>
      </c>
      <c r="R509" s="25" t="s">
        <v>87</v>
      </c>
      <c r="S509" s="25" t="s">
        <v>89</v>
      </c>
      <c r="T509" s="25">
        <v>0</v>
      </c>
      <c r="U509" s="25">
        <v>0</v>
      </c>
      <c r="V509" s="25">
        <v>0</v>
      </c>
      <c r="W509" s="25">
        <v>0</v>
      </c>
      <c r="X509" s="25">
        <v>1</v>
      </c>
      <c r="Y509" s="25">
        <v>0</v>
      </c>
      <c r="Z509" s="25">
        <v>0</v>
      </c>
      <c r="AA509" s="25">
        <v>0</v>
      </c>
      <c r="AB509" s="25">
        <v>0</v>
      </c>
      <c r="AC509" s="25">
        <v>0</v>
      </c>
      <c r="AD509" s="25">
        <v>0</v>
      </c>
      <c r="AE509" s="25">
        <v>1</v>
      </c>
      <c r="AF509" s="25" t="s">
        <v>132</v>
      </c>
    </row>
    <row r="510" spans="1:32" s="25" customFormat="1" x14ac:dyDescent="0.25">
      <c r="A510" s="25" t="s">
        <v>170</v>
      </c>
      <c r="B510" s="25">
        <f t="shared" si="19"/>
        <v>2650</v>
      </c>
      <c r="C510" s="25" t="s">
        <v>12</v>
      </c>
      <c r="D510" s="25">
        <v>0</v>
      </c>
      <c r="E510" s="25">
        <v>0</v>
      </c>
      <c r="F510" s="25">
        <v>256</v>
      </c>
      <c r="G510" s="25">
        <v>222</v>
      </c>
      <c r="H510" s="27">
        <v>0</v>
      </c>
      <c r="I510" s="27">
        <v>0</v>
      </c>
      <c r="J510" s="27">
        <v>0</v>
      </c>
      <c r="K510" s="27">
        <v>0</v>
      </c>
      <c r="L510" s="27">
        <v>1</v>
      </c>
      <c r="M510" s="27">
        <v>0</v>
      </c>
      <c r="N510" s="27">
        <v>0</v>
      </c>
      <c r="O510" s="27">
        <v>0</v>
      </c>
      <c r="P510" s="25">
        <v>700</v>
      </c>
      <c r="Q510" s="25">
        <v>560</v>
      </c>
      <c r="R510" s="25" t="s">
        <v>87</v>
      </c>
      <c r="S510" s="25" t="s">
        <v>89</v>
      </c>
      <c r="T510" s="25">
        <v>0</v>
      </c>
      <c r="U510" s="25">
        <v>0</v>
      </c>
      <c r="V510" s="25">
        <v>0</v>
      </c>
      <c r="W510" s="25">
        <v>0</v>
      </c>
      <c r="X510" s="25">
        <v>1</v>
      </c>
      <c r="Y510" s="25">
        <v>0</v>
      </c>
      <c r="Z510" s="25">
        <v>0</v>
      </c>
      <c r="AA510" s="25">
        <v>0</v>
      </c>
      <c r="AB510" s="25">
        <v>0</v>
      </c>
      <c r="AC510" s="25">
        <v>0</v>
      </c>
      <c r="AD510" s="25">
        <v>0</v>
      </c>
      <c r="AE510" s="25">
        <v>1</v>
      </c>
      <c r="AF510" s="25" t="s">
        <v>132</v>
      </c>
    </row>
    <row r="511" spans="1:32" s="25" customFormat="1" x14ac:dyDescent="0.25">
      <c r="A511" s="25" t="s">
        <v>170</v>
      </c>
      <c r="B511" s="25">
        <f t="shared" si="19"/>
        <v>2660</v>
      </c>
      <c r="C511" s="25" t="s">
        <v>12</v>
      </c>
      <c r="D511" s="25">
        <v>0</v>
      </c>
      <c r="E511" s="25">
        <v>0</v>
      </c>
      <c r="F511" s="25">
        <v>256</v>
      </c>
      <c r="G511" s="25">
        <v>222</v>
      </c>
      <c r="H511" s="27">
        <v>0</v>
      </c>
      <c r="I511" s="27">
        <v>0</v>
      </c>
      <c r="J511" s="27">
        <v>0</v>
      </c>
      <c r="K511" s="27">
        <v>0</v>
      </c>
      <c r="L511" s="27">
        <v>1</v>
      </c>
      <c r="M511" s="27">
        <v>0</v>
      </c>
      <c r="N511" s="27">
        <v>0</v>
      </c>
      <c r="O511" s="27">
        <v>0</v>
      </c>
      <c r="P511" s="25">
        <v>700</v>
      </c>
      <c r="Q511" s="25">
        <v>560</v>
      </c>
      <c r="R511" s="25" t="s">
        <v>87</v>
      </c>
      <c r="S511" s="25" t="s">
        <v>89</v>
      </c>
      <c r="T511" s="25">
        <v>0</v>
      </c>
      <c r="U511" s="25">
        <v>0</v>
      </c>
      <c r="V511" s="25">
        <v>0</v>
      </c>
      <c r="W511" s="25">
        <v>0</v>
      </c>
      <c r="X511" s="25">
        <v>1</v>
      </c>
      <c r="Y511" s="25">
        <v>0</v>
      </c>
      <c r="Z511" s="25">
        <v>0</v>
      </c>
      <c r="AA511" s="25">
        <v>0</v>
      </c>
      <c r="AB511" s="25">
        <v>0</v>
      </c>
      <c r="AC511" s="25">
        <v>0</v>
      </c>
      <c r="AD511" s="25">
        <v>0</v>
      </c>
      <c r="AE511" s="25">
        <v>1</v>
      </c>
      <c r="AF511" s="25" t="s">
        <v>132</v>
      </c>
    </row>
    <row r="512" spans="1:32" s="25" customFormat="1" x14ac:dyDescent="0.25">
      <c r="A512" s="25" t="s">
        <v>170</v>
      </c>
      <c r="B512" s="25">
        <f t="shared" si="19"/>
        <v>2670</v>
      </c>
      <c r="C512" s="25" t="s">
        <v>12</v>
      </c>
      <c r="D512" s="25">
        <v>0</v>
      </c>
      <c r="E512" s="25">
        <v>0</v>
      </c>
      <c r="F512" s="25">
        <v>256</v>
      </c>
      <c r="G512" s="25">
        <v>222</v>
      </c>
      <c r="H512" s="27">
        <v>0</v>
      </c>
      <c r="I512" s="27">
        <v>0</v>
      </c>
      <c r="J512" s="27">
        <v>0</v>
      </c>
      <c r="K512" s="27">
        <v>0</v>
      </c>
      <c r="L512" s="27">
        <v>1</v>
      </c>
      <c r="M512" s="27">
        <v>0</v>
      </c>
      <c r="N512" s="27">
        <v>0</v>
      </c>
      <c r="O512" s="27">
        <v>0</v>
      </c>
      <c r="P512" s="25">
        <v>700</v>
      </c>
      <c r="Q512" s="25">
        <v>560</v>
      </c>
      <c r="R512" s="25" t="s">
        <v>87</v>
      </c>
      <c r="S512" s="25" t="s">
        <v>89</v>
      </c>
      <c r="T512" s="25">
        <v>0</v>
      </c>
      <c r="U512" s="25">
        <v>0</v>
      </c>
      <c r="V512" s="25">
        <v>0</v>
      </c>
      <c r="W512" s="25">
        <v>0</v>
      </c>
      <c r="X512" s="25">
        <v>1</v>
      </c>
      <c r="Y512" s="25">
        <v>0</v>
      </c>
      <c r="Z512" s="25">
        <v>0</v>
      </c>
      <c r="AA512" s="25">
        <v>0</v>
      </c>
      <c r="AB512" s="25">
        <v>0</v>
      </c>
      <c r="AC512" s="25">
        <v>0</v>
      </c>
      <c r="AD512" s="25">
        <v>0</v>
      </c>
      <c r="AE512" s="25">
        <v>1</v>
      </c>
      <c r="AF512" s="25" t="s">
        <v>132</v>
      </c>
    </row>
    <row r="513" spans="1:32" s="25" customFormat="1" x14ac:dyDescent="0.25">
      <c r="A513" s="25" t="s">
        <v>170</v>
      </c>
      <c r="B513" s="25">
        <f t="shared" si="19"/>
        <v>2680</v>
      </c>
      <c r="C513" s="25" t="s">
        <v>12</v>
      </c>
      <c r="D513" s="25">
        <v>0</v>
      </c>
      <c r="E513" s="25">
        <v>0</v>
      </c>
      <c r="F513" s="25">
        <v>256</v>
      </c>
      <c r="G513" s="25">
        <v>222</v>
      </c>
      <c r="H513" s="27">
        <v>0</v>
      </c>
      <c r="I513" s="27">
        <v>0</v>
      </c>
      <c r="J513" s="27">
        <v>0</v>
      </c>
      <c r="K513" s="27">
        <v>0</v>
      </c>
      <c r="L513" s="27">
        <v>1</v>
      </c>
      <c r="M513" s="27">
        <v>0</v>
      </c>
      <c r="N513" s="27">
        <v>0</v>
      </c>
      <c r="O513" s="27">
        <v>0</v>
      </c>
      <c r="P513" s="25">
        <v>700</v>
      </c>
      <c r="Q513" s="25">
        <v>560</v>
      </c>
      <c r="R513" s="25" t="s">
        <v>87</v>
      </c>
      <c r="S513" s="25" t="s">
        <v>89</v>
      </c>
      <c r="T513" s="25">
        <v>0</v>
      </c>
      <c r="U513" s="25">
        <v>0</v>
      </c>
      <c r="V513" s="25">
        <v>0</v>
      </c>
      <c r="W513" s="25">
        <v>0</v>
      </c>
      <c r="X513" s="25">
        <v>1</v>
      </c>
      <c r="Y513" s="25">
        <v>0</v>
      </c>
      <c r="Z513" s="25">
        <v>0</v>
      </c>
      <c r="AA513" s="25">
        <v>0</v>
      </c>
      <c r="AB513" s="25">
        <v>0</v>
      </c>
      <c r="AC513" s="25">
        <v>0</v>
      </c>
      <c r="AD513" s="25">
        <v>0</v>
      </c>
      <c r="AE513" s="25">
        <v>1</v>
      </c>
      <c r="AF513" s="25" t="s">
        <v>132</v>
      </c>
    </row>
    <row r="514" spans="1:32" s="25" customFormat="1" x14ac:dyDescent="0.25">
      <c r="A514" s="25" t="s">
        <v>170</v>
      </c>
      <c r="B514" s="25">
        <f t="shared" si="19"/>
        <v>2690</v>
      </c>
      <c r="C514" s="25" t="s">
        <v>12</v>
      </c>
      <c r="D514" s="25">
        <v>0</v>
      </c>
      <c r="E514" s="25">
        <v>0</v>
      </c>
      <c r="F514" s="25">
        <v>256</v>
      </c>
      <c r="G514" s="25">
        <v>222</v>
      </c>
      <c r="H514" s="27">
        <v>0</v>
      </c>
      <c r="I514" s="27">
        <v>0</v>
      </c>
      <c r="J514" s="27">
        <v>0</v>
      </c>
      <c r="K514" s="27">
        <v>0</v>
      </c>
      <c r="L514" s="27">
        <v>1</v>
      </c>
      <c r="M514" s="27">
        <v>0</v>
      </c>
      <c r="N514" s="27">
        <v>0</v>
      </c>
      <c r="O514" s="27">
        <v>0</v>
      </c>
      <c r="P514" s="25">
        <v>700</v>
      </c>
      <c r="Q514" s="25">
        <v>560</v>
      </c>
      <c r="R514" s="25" t="s">
        <v>87</v>
      </c>
      <c r="S514" s="25" t="s">
        <v>89</v>
      </c>
      <c r="T514" s="25">
        <v>0</v>
      </c>
      <c r="U514" s="25">
        <v>0</v>
      </c>
      <c r="V514" s="25">
        <v>0</v>
      </c>
      <c r="W514" s="25">
        <v>0</v>
      </c>
      <c r="X514" s="25">
        <v>1</v>
      </c>
      <c r="Y514" s="25">
        <v>0</v>
      </c>
      <c r="Z514" s="25">
        <v>0</v>
      </c>
      <c r="AA514" s="25">
        <v>0</v>
      </c>
      <c r="AB514" s="25">
        <v>0</v>
      </c>
      <c r="AC514" s="25">
        <v>0</v>
      </c>
      <c r="AD514" s="25">
        <v>0</v>
      </c>
      <c r="AE514" s="25">
        <v>1</v>
      </c>
      <c r="AF514" s="25" t="s">
        <v>132</v>
      </c>
    </row>
    <row r="515" spans="1:32" s="25" customFormat="1" x14ac:dyDescent="0.25">
      <c r="A515" s="25" t="s">
        <v>170</v>
      </c>
      <c r="B515" s="25">
        <f t="shared" si="19"/>
        <v>2700</v>
      </c>
      <c r="C515" s="25" t="s">
        <v>12</v>
      </c>
      <c r="D515" s="25">
        <v>0</v>
      </c>
      <c r="E515" s="25">
        <v>0</v>
      </c>
      <c r="F515" s="25">
        <v>256</v>
      </c>
      <c r="G515" s="25">
        <v>222</v>
      </c>
      <c r="H515" s="27">
        <v>0</v>
      </c>
      <c r="I515" s="27">
        <v>0</v>
      </c>
      <c r="J515" s="27">
        <v>0</v>
      </c>
      <c r="K515" s="27">
        <v>0</v>
      </c>
      <c r="L515" s="27">
        <v>1</v>
      </c>
      <c r="M515" s="27">
        <v>0</v>
      </c>
      <c r="N515" s="27">
        <v>0</v>
      </c>
      <c r="O515" s="27">
        <v>0</v>
      </c>
      <c r="P515" s="25">
        <v>700</v>
      </c>
      <c r="Q515" s="25">
        <v>560</v>
      </c>
      <c r="R515" s="25" t="s">
        <v>87</v>
      </c>
      <c r="S515" s="25" t="s">
        <v>89</v>
      </c>
      <c r="T515" s="25">
        <v>0</v>
      </c>
      <c r="U515" s="25">
        <v>0</v>
      </c>
      <c r="V515" s="25">
        <v>0</v>
      </c>
      <c r="W515" s="25">
        <v>0</v>
      </c>
      <c r="X515" s="25">
        <v>1</v>
      </c>
      <c r="Y515" s="25">
        <v>0</v>
      </c>
      <c r="Z515" s="25">
        <v>0</v>
      </c>
      <c r="AA515" s="25">
        <v>0</v>
      </c>
      <c r="AB515" s="25">
        <v>0</v>
      </c>
      <c r="AC515" s="25">
        <v>0</v>
      </c>
      <c r="AD515" s="25">
        <v>0</v>
      </c>
      <c r="AE515" s="25">
        <v>1</v>
      </c>
      <c r="AF515" s="25" t="s">
        <v>132</v>
      </c>
    </row>
    <row r="516" spans="1:32" s="25" customFormat="1" x14ac:dyDescent="0.25">
      <c r="A516" s="25" t="s">
        <v>170</v>
      </c>
      <c r="B516" s="25">
        <f t="shared" si="19"/>
        <v>2710</v>
      </c>
      <c r="C516" s="25" t="s">
        <v>12</v>
      </c>
      <c r="D516" s="25">
        <v>0</v>
      </c>
      <c r="E516" s="25">
        <v>0</v>
      </c>
      <c r="F516" s="25">
        <v>256</v>
      </c>
      <c r="G516" s="25">
        <v>222</v>
      </c>
      <c r="H516" s="27">
        <v>0</v>
      </c>
      <c r="I516" s="27">
        <v>0</v>
      </c>
      <c r="J516" s="27">
        <v>0</v>
      </c>
      <c r="K516" s="27">
        <v>0</v>
      </c>
      <c r="L516" s="27">
        <v>1</v>
      </c>
      <c r="M516" s="27">
        <v>0</v>
      </c>
      <c r="N516" s="27">
        <v>0</v>
      </c>
      <c r="O516" s="27">
        <v>0</v>
      </c>
      <c r="P516" s="25">
        <v>700</v>
      </c>
      <c r="Q516" s="25">
        <v>560</v>
      </c>
      <c r="R516" s="25" t="s">
        <v>87</v>
      </c>
      <c r="S516" s="25" t="s">
        <v>89</v>
      </c>
      <c r="T516" s="25">
        <v>0</v>
      </c>
      <c r="U516" s="25">
        <v>0</v>
      </c>
      <c r="V516" s="25">
        <v>0</v>
      </c>
      <c r="W516" s="25">
        <v>0</v>
      </c>
      <c r="X516" s="25">
        <v>1</v>
      </c>
      <c r="Y516" s="25">
        <v>0</v>
      </c>
      <c r="Z516" s="25">
        <v>0</v>
      </c>
      <c r="AA516" s="25">
        <v>0</v>
      </c>
      <c r="AB516" s="25">
        <v>0</v>
      </c>
      <c r="AC516" s="25">
        <v>0</v>
      </c>
      <c r="AD516" s="25">
        <v>0</v>
      </c>
      <c r="AE516" s="25">
        <v>1</v>
      </c>
      <c r="AF516" s="25" t="s">
        <v>132</v>
      </c>
    </row>
    <row r="517" spans="1:32" s="25" customFormat="1" x14ac:dyDescent="0.25">
      <c r="A517" s="25" t="s">
        <v>170</v>
      </c>
      <c r="B517" s="25">
        <f t="shared" si="19"/>
        <v>2720</v>
      </c>
      <c r="C517" s="25" t="s">
        <v>12</v>
      </c>
      <c r="D517" s="25">
        <v>0</v>
      </c>
      <c r="E517" s="25">
        <v>0</v>
      </c>
      <c r="F517" s="25">
        <v>256</v>
      </c>
      <c r="G517" s="25">
        <v>222</v>
      </c>
      <c r="H517" s="27">
        <v>0</v>
      </c>
      <c r="I517" s="27">
        <v>0</v>
      </c>
      <c r="J517" s="27">
        <v>0</v>
      </c>
      <c r="K517" s="27">
        <v>0</v>
      </c>
      <c r="L517" s="27">
        <v>1</v>
      </c>
      <c r="M517" s="27">
        <v>0</v>
      </c>
      <c r="N517" s="27">
        <v>0</v>
      </c>
      <c r="O517" s="27">
        <v>0</v>
      </c>
      <c r="P517" s="25">
        <v>700</v>
      </c>
      <c r="Q517" s="25">
        <v>560</v>
      </c>
      <c r="R517" s="25" t="s">
        <v>87</v>
      </c>
      <c r="S517" s="25" t="s">
        <v>89</v>
      </c>
      <c r="T517" s="25">
        <v>0</v>
      </c>
      <c r="U517" s="25">
        <v>0</v>
      </c>
      <c r="V517" s="25">
        <v>0</v>
      </c>
      <c r="W517" s="25">
        <v>0</v>
      </c>
      <c r="X517" s="25">
        <v>1</v>
      </c>
      <c r="Y517" s="25">
        <v>0</v>
      </c>
      <c r="Z517" s="25">
        <v>0</v>
      </c>
      <c r="AA517" s="25">
        <v>0</v>
      </c>
      <c r="AB517" s="25">
        <v>0</v>
      </c>
      <c r="AC517" s="25">
        <v>0</v>
      </c>
      <c r="AD517" s="25">
        <v>0</v>
      </c>
      <c r="AE517" s="25">
        <v>1</v>
      </c>
      <c r="AF517" s="25" t="s">
        <v>132</v>
      </c>
    </row>
    <row r="518" spans="1:32" s="25" customFormat="1" x14ac:dyDescent="0.25">
      <c r="A518" s="25" t="s">
        <v>170</v>
      </c>
      <c r="B518" s="25">
        <f t="shared" si="19"/>
        <v>2730</v>
      </c>
      <c r="C518" s="25" t="s">
        <v>12</v>
      </c>
      <c r="D518" s="25">
        <v>0</v>
      </c>
      <c r="E518" s="25">
        <v>0</v>
      </c>
      <c r="F518" s="25">
        <v>256</v>
      </c>
      <c r="G518" s="25">
        <v>222</v>
      </c>
      <c r="H518" s="27">
        <v>0</v>
      </c>
      <c r="I518" s="27">
        <v>0</v>
      </c>
      <c r="J518" s="27">
        <v>0</v>
      </c>
      <c r="K518" s="27">
        <v>0</v>
      </c>
      <c r="L518" s="27">
        <v>1</v>
      </c>
      <c r="M518" s="27">
        <v>0</v>
      </c>
      <c r="N518" s="27">
        <v>0</v>
      </c>
      <c r="O518" s="27">
        <v>0</v>
      </c>
      <c r="P518" s="25">
        <v>700</v>
      </c>
      <c r="Q518" s="25">
        <v>560</v>
      </c>
      <c r="R518" s="25" t="s">
        <v>87</v>
      </c>
      <c r="S518" s="25" t="s">
        <v>89</v>
      </c>
      <c r="T518" s="25">
        <v>0</v>
      </c>
      <c r="U518" s="25">
        <v>0</v>
      </c>
      <c r="V518" s="25">
        <v>0</v>
      </c>
      <c r="W518" s="25">
        <v>0</v>
      </c>
      <c r="X518" s="25">
        <v>1</v>
      </c>
      <c r="Y518" s="25">
        <v>0</v>
      </c>
      <c r="Z518" s="25">
        <v>0</v>
      </c>
      <c r="AA518" s="25">
        <v>0</v>
      </c>
      <c r="AB518" s="25">
        <v>0</v>
      </c>
      <c r="AC518" s="25">
        <v>0</v>
      </c>
      <c r="AD518" s="25">
        <v>0</v>
      </c>
      <c r="AE518" s="25">
        <v>1</v>
      </c>
      <c r="AF518" s="25" t="s">
        <v>132</v>
      </c>
    </row>
    <row r="519" spans="1:32" s="25" customFormat="1" x14ac:dyDescent="0.25">
      <c r="A519" s="25" t="s">
        <v>170</v>
      </c>
      <c r="B519" s="25">
        <f t="shared" si="19"/>
        <v>2740</v>
      </c>
      <c r="C519" s="25" t="s">
        <v>12</v>
      </c>
      <c r="D519" s="25">
        <v>0</v>
      </c>
      <c r="E519" s="25">
        <v>0</v>
      </c>
      <c r="F519" s="25">
        <v>256</v>
      </c>
      <c r="G519" s="25">
        <v>222</v>
      </c>
      <c r="H519" s="27">
        <v>0</v>
      </c>
      <c r="I519" s="27">
        <v>0</v>
      </c>
      <c r="J519" s="27">
        <v>0</v>
      </c>
      <c r="K519" s="27">
        <v>0</v>
      </c>
      <c r="L519" s="27">
        <v>1</v>
      </c>
      <c r="M519" s="27">
        <v>0</v>
      </c>
      <c r="N519" s="27">
        <v>0</v>
      </c>
      <c r="O519" s="27">
        <v>0</v>
      </c>
      <c r="P519" s="25">
        <v>700</v>
      </c>
      <c r="Q519" s="25">
        <v>560</v>
      </c>
      <c r="R519" s="25" t="s">
        <v>87</v>
      </c>
      <c r="S519" s="25" t="s">
        <v>89</v>
      </c>
      <c r="T519" s="25">
        <v>0</v>
      </c>
      <c r="U519" s="25">
        <v>0</v>
      </c>
      <c r="V519" s="25">
        <v>0</v>
      </c>
      <c r="W519" s="25">
        <v>0</v>
      </c>
      <c r="X519" s="25">
        <v>1</v>
      </c>
      <c r="Y519" s="25">
        <v>0</v>
      </c>
      <c r="Z519" s="25">
        <v>0</v>
      </c>
      <c r="AA519" s="25">
        <v>0</v>
      </c>
      <c r="AB519" s="25">
        <v>0</v>
      </c>
      <c r="AC519" s="25">
        <v>0</v>
      </c>
      <c r="AD519" s="25">
        <v>0</v>
      </c>
      <c r="AE519" s="25">
        <v>1</v>
      </c>
      <c r="AF519" s="25" t="s">
        <v>132</v>
      </c>
    </row>
    <row r="520" spans="1:32" s="25" customFormat="1" x14ac:dyDescent="0.25">
      <c r="A520" s="25" t="s">
        <v>170</v>
      </c>
      <c r="B520" s="25">
        <f t="shared" si="19"/>
        <v>2750</v>
      </c>
      <c r="C520" s="25" t="s">
        <v>12</v>
      </c>
      <c r="D520" s="25">
        <v>0</v>
      </c>
      <c r="E520" s="25">
        <v>0</v>
      </c>
      <c r="F520" s="25">
        <v>256</v>
      </c>
      <c r="G520" s="25">
        <v>222</v>
      </c>
      <c r="H520" s="27">
        <v>0</v>
      </c>
      <c r="I520" s="27">
        <v>0</v>
      </c>
      <c r="J520" s="27">
        <v>0</v>
      </c>
      <c r="K520" s="27">
        <v>0</v>
      </c>
      <c r="L520" s="27">
        <v>1</v>
      </c>
      <c r="M520" s="27">
        <v>0</v>
      </c>
      <c r="N520" s="27">
        <v>0</v>
      </c>
      <c r="O520" s="27">
        <v>0</v>
      </c>
      <c r="P520" s="25">
        <v>700</v>
      </c>
      <c r="Q520" s="25">
        <v>560</v>
      </c>
      <c r="R520" s="25" t="s">
        <v>87</v>
      </c>
      <c r="S520" s="25" t="s">
        <v>89</v>
      </c>
      <c r="T520" s="25">
        <v>0</v>
      </c>
      <c r="U520" s="25">
        <v>0</v>
      </c>
      <c r="V520" s="25">
        <v>0</v>
      </c>
      <c r="W520" s="25">
        <v>0</v>
      </c>
      <c r="X520" s="25">
        <v>1</v>
      </c>
      <c r="Y520" s="25">
        <v>0</v>
      </c>
      <c r="Z520" s="25">
        <v>0</v>
      </c>
      <c r="AA520" s="25">
        <v>0</v>
      </c>
      <c r="AB520" s="25">
        <v>0</v>
      </c>
      <c r="AC520" s="25">
        <v>0</v>
      </c>
      <c r="AD520" s="25">
        <v>0</v>
      </c>
      <c r="AE520" s="25">
        <v>1</v>
      </c>
      <c r="AF520" s="25" t="s">
        <v>132</v>
      </c>
    </row>
    <row r="521" spans="1:32" s="25" customFormat="1" x14ac:dyDescent="0.25">
      <c r="A521" s="25" t="s">
        <v>170</v>
      </c>
      <c r="B521" s="25">
        <f t="shared" si="19"/>
        <v>2760</v>
      </c>
      <c r="C521" s="25" t="s">
        <v>12</v>
      </c>
      <c r="D521" s="25">
        <v>0</v>
      </c>
      <c r="E521" s="25">
        <v>0</v>
      </c>
      <c r="F521" s="25">
        <v>256</v>
      </c>
      <c r="G521" s="25">
        <v>222</v>
      </c>
      <c r="H521" s="27">
        <v>0</v>
      </c>
      <c r="I521" s="27">
        <v>0</v>
      </c>
      <c r="J521" s="27">
        <v>0</v>
      </c>
      <c r="K521" s="27">
        <v>0</v>
      </c>
      <c r="L521" s="27">
        <v>1</v>
      </c>
      <c r="M521" s="27">
        <v>0</v>
      </c>
      <c r="N521" s="27">
        <v>0</v>
      </c>
      <c r="O521" s="27">
        <v>0</v>
      </c>
      <c r="P521" s="25">
        <v>700</v>
      </c>
      <c r="Q521" s="25">
        <v>560</v>
      </c>
      <c r="R521" s="25" t="s">
        <v>87</v>
      </c>
      <c r="S521" s="25" t="s">
        <v>89</v>
      </c>
      <c r="T521" s="25">
        <v>0</v>
      </c>
      <c r="U521" s="25">
        <v>0</v>
      </c>
      <c r="V521" s="25">
        <v>0</v>
      </c>
      <c r="W521" s="25">
        <v>0</v>
      </c>
      <c r="X521" s="25">
        <v>1</v>
      </c>
      <c r="Y521" s="25">
        <v>0</v>
      </c>
      <c r="Z521" s="25">
        <v>0</v>
      </c>
      <c r="AA521" s="25">
        <v>0</v>
      </c>
      <c r="AB521" s="25">
        <v>0</v>
      </c>
      <c r="AC521" s="25">
        <v>0</v>
      </c>
      <c r="AD521" s="25">
        <v>0</v>
      </c>
      <c r="AE521" s="25">
        <v>1</v>
      </c>
      <c r="AF521" s="25" t="s">
        <v>132</v>
      </c>
    </row>
    <row r="522" spans="1:32" s="25" customFormat="1" x14ac:dyDescent="0.25">
      <c r="A522" s="25" t="s">
        <v>170</v>
      </c>
      <c r="B522" s="25">
        <f t="shared" si="19"/>
        <v>2770</v>
      </c>
      <c r="C522" s="25" t="s">
        <v>12</v>
      </c>
      <c r="D522" s="25">
        <v>0</v>
      </c>
      <c r="E522" s="25">
        <v>0</v>
      </c>
      <c r="F522" s="25">
        <v>256</v>
      </c>
      <c r="G522" s="25">
        <v>222</v>
      </c>
      <c r="H522" s="27">
        <v>0</v>
      </c>
      <c r="I522" s="27">
        <v>0</v>
      </c>
      <c r="J522" s="27">
        <v>0</v>
      </c>
      <c r="K522" s="27">
        <v>0</v>
      </c>
      <c r="L522" s="27">
        <v>1</v>
      </c>
      <c r="M522" s="27">
        <v>0</v>
      </c>
      <c r="N522" s="27">
        <v>0</v>
      </c>
      <c r="O522" s="27">
        <v>0</v>
      </c>
      <c r="P522" s="25">
        <v>700</v>
      </c>
      <c r="Q522" s="25">
        <v>560</v>
      </c>
      <c r="R522" s="25" t="s">
        <v>87</v>
      </c>
      <c r="S522" s="25" t="s">
        <v>89</v>
      </c>
      <c r="T522" s="25">
        <v>0</v>
      </c>
      <c r="U522" s="25">
        <v>0</v>
      </c>
      <c r="V522" s="25">
        <v>0</v>
      </c>
      <c r="W522" s="25">
        <v>0</v>
      </c>
      <c r="X522" s="25">
        <v>1</v>
      </c>
      <c r="Y522" s="25">
        <v>0</v>
      </c>
      <c r="Z522" s="25">
        <v>0</v>
      </c>
      <c r="AA522" s="25">
        <v>0</v>
      </c>
      <c r="AB522" s="25">
        <v>0</v>
      </c>
      <c r="AC522" s="25">
        <v>0</v>
      </c>
      <c r="AD522" s="25">
        <v>0</v>
      </c>
      <c r="AE522" s="25">
        <v>1</v>
      </c>
      <c r="AF522" s="25" t="s">
        <v>132</v>
      </c>
    </row>
    <row r="523" spans="1:32" s="25" customFormat="1" x14ac:dyDescent="0.25">
      <c r="A523" s="25" t="s">
        <v>170</v>
      </c>
      <c r="B523" s="25">
        <f t="shared" si="19"/>
        <v>2780</v>
      </c>
      <c r="C523" s="25" t="s">
        <v>12</v>
      </c>
      <c r="D523" s="25">
        <v>0</v>
      </c>
      <c r="E523" s="25">
        <v>0</v>
      </c>
      <c r="F523" s="25">
        <v>256</v>
      </c>
      <c r="G523" s="25">
        <v>222</v>
      </c>
      <c r="H523" s="27">
        <v>0</v>
      </c>
      <c r="I523" s="27">
        <v>0</v>
      </c>
      <c r="J523" s="27">
        <v>0</v>
      </c>
      <c r="K523" s="27">
        <v>0</v>
      </c>
      <c r="L523" s="27">
        <v>1</v>
      </c>
      <c r="M523" s="27">
        <v>0</v>
      </c>
      <c r="N523" s="27">
        <v>0</v>
      </c>
      <c r="O523" s="27">
        <v>0</v>
      </c>
      <c r="P523" s="25">
        <v>700</v>
      </c>
      <c r="Q523" s="25">
        <v>560</v>
      </c>
      <c r="R523" s="25" t="s">
        <v>87</v>
      </c>
      <c r="S523" s="25" t="s">
        <v>89</v>
      </c>
      <c r="T523" s="25">
        <v>0</v>
      </c>
      <c r="U523" s="25">
        <v>0</v>
      </c>
      <c r="V523" s="25">
        <v>0</v>
      </c>
      <c r="W523" s="25">
        <v>0</v>
      </c>
      <c r="X523" s="25">
        <v>1</v>
      </c>
      <c r="Y523" s="25">
        <v>0</v>
      </c>
      <c r="Z523" s="25">
        <v>0</v>
      </c>
      <c r="AA523" s="25">
        <v>0</v>
      </c>
      <c r="AB523" s="25">
        <v>0</v>
      </c>
      <c r="AC523" s="25">
        <v>0</v>
      </c>
      <c r="AD523" s="25">
        <v>0</v>
      </c>
      <c r="AE523" s="25">
        <v>1</v>
      </c>
      <c r="AF523" s="25" t="s">
        <v>132</v>
      </c>
    </row>
    <row r="524" spans="1:32" s="25" customFormat="1" x14ac:dyDescent="0.25">
      <c r="A524" s="25" t="s">
        <v>170</v>
      </c>
      <c r="B524" s="25">
        <f t="shared" si="19"/>
        <v>2790</v>
      </c>
      <c r="C524" s="25" t="s">
        <v>12</v>
      </c>
      <c r="D524" s="25">
        <v>0</v>
      </c>
      <c r="E524" s="25">
        <v>0</v>
      </c>
      <c r="F524" s="25">
        <v>256</v>
      </c>
      <c r="G524" s="25">
        <v>222</v>
      </c>
      <c r="H524" s="27">
        <v>0</v>
      </c>
      <c r="I524" s="27">
        <v>0</v>
      </c>
      <c r="J524" s="27">
        <v>0</v>
      </c>
      <c r="K524" s="27">
        <v>0</v>
      </c>
      <c r="L524" s="27">
        <v>1</v>
      </c>
      <c r="M524" s="27">
        <v>0</v>
      </c>
      <c r="N524" s="27">
        <v>0</v>
      </c>
      <c r="O524" s="27">
        <v>0</v>
      </c>
      <c r="P524" s="25">
        <v>700</v>
      </c>
      <c r="Q524" s="25">
        <v>560</v>
      </c>
      <c r="R524" s="25" t="s">
        <v>87</v>
      </c>
      <c r="S524" s="25" t="s">
        <v>89</v>
      </c>
      <c r="T524" s="25">
        <v>0</v>
      </c>
      <c r="U524" s="25">
        <v>0</v>
      </c>
      <c r="V524" s="25">
        <v>0</v>
      </c>
      <c r="W524" s="25">
        <v>0</v>
      </c>
      <c r="X524" s="25">
        <v>1</v>
      </c>
      <c r="Y524" s="25">
        <v>0</v>
      </c>
      <c r="Z524" s="25">
        <v>0</v>
      </c>
      <c r="AA524" s="25">
        <v>0</v>
      </c>
      <c r="AB524" s="25">
        <v>0</v>
      </c>
      <c r="AC524" s="25">
        <v>0</v>
      </c>
      <c r="AD524" s="25">
        <v>0</v>
      </c>
      <c r="AE524" s="25">
        <v>1</v>
      </c>
      <c r="AF524" s="25" t="s">
        <v>132</v>
      </c>
    </row>
    <row r="525" spans="1:32" s="25" customFormat="1" x14ac:dyDescent="0.25">
      <c r="A525" s="25" t="s">
        <v>170</v>
      </c>
      <c r="B525" s="25">
        <f t="shared" si="19"/>
        <v>2800</v>
      </c>
      <c r="C525" s="25" t="s">
        <v>12</v>
      </c>
      <c r="D525" s="25">
        <v>0</v>
      </c>
      <c r="E525" s="25">
        <v>0</v>
      </c>
      <c r="F525" s="25">
        <v>256</v>
      </c>
      <c r="G525" s="25">
        <v>222</v>
      </c>
      <c r="H525" s="27">
        <v>0</v>
      </c>
      <c r="I525" s="27">
        <v>0</v>
      </c>
      <c r="J525" s="27">
        <v>0</v>
      </c>
      <c r="K525" s="27">
        <v>0</v>
      </c>
      <c r="L525" s="27">
        <v>1</v>
      </c>
      <c r="M525" s="27">
        <v>0</v>
      </c>
      <c r="N525" s="27">
        <v>0</v>
      </c>
      <c r="O525" s="27">
        <v>0</v>
      </c>
      <c r="P525" s="25">
        <v>700</v>
      </c>
      <c r="Q525" s="25">
        <v>560</v>
      </c>
      <c r="R525" s="25" t="s">
        <v>87</v>
      </c>
      <c r="S525" s="25" t="s">
        <v>89</v>
      </c>
      <c r="T525" s="25">
        <v>0</v>
      </c>
      <c r="U525" s="25">
        <v>0</v>
      </c>
      <c r="V525" s="25">
        <v>0</v>
      </c>
      <c r="W525" s="25">
        <v>0</v>
      </c>
      <c r="X525" s="25">
        <v>1</v>
      </c>
      <c r="Y525" s="25">
        <v>0</v>
      </c>
      <c r="Z525" s="25">
        <v>0</v>
      </c>
      <c r="AA525" s="25">
        <v>0</v>
      </c>
      <c r="AB525" s="25">
        <v>0</v>
      </c>
      <c r="AC525" s="25">
        <v>0</v>
      </c>
      <c r="AD525" s="25">
        <v>0</v>
      </c>
      <c r="AE525" s="25">
        <v>1</v>
      </c>
      <c r="AF525" s="25" t="s">
        <v>132</v>
      </c>
    </row>
    <row r="526" spans="1:32" s="25" customFormat="1" x14ac:dyDescent="0.25">
      <c r="A526" s="25" t="s">
        <v>170</v>
      </c>
      <c r="B526" s="25">
        <f t="shared" si="19"/>
        <v>2810</v>
      </c>
      <c r="C526" s="25" t="s">
        <v>12</v>
      </c>
      <c r="D526" s="25">
        <v>0</v>
      </c>
      <c r="E526" s="25">
        <v>0</v>
      </c>
      <c r="F526" s="25">
        <v>256</v>
      </c>
      <c r="G526" s="25">
        <v>222</v>
      </c>
      <c r="H526" s="27">
        <v>0</v>
      </c>
      <c r="I526" s="27">
        <v>0</v>
      </c>
      <c r="J526" s="27">
        <v>0</v>
      </c>
      <c r="K526" s="27">
        <v>0</v>
      </c>
      <c r="L526" s="27">
        <v>1</v>
      </c>
      <c r="M526" s="27">
        <v>0</v>
      </c>
      <c r="N526" s="27">
        <v>0</v>
      </c>
      <c r="O526" s="27">
        <v>0</v>
      </c>
      <c r="P526" s="25">
        <v>700</v>
      </c>
      <c r="Q526" s="25">
        <v>560</v>
      </c>
      <c r="R526" s="25" t="s">
        <v>87</v>
      </c>
      <c r="S526" s="25" t="s">
        <v>89</v>
      </c>
      <c r="T526" s="25">
        <v>0</v>
      </c>
      <c r="U526" s="25">
        <v>0</v>
      </c>
      <c r="V526" s="25">
        <v>0</v>
      </c>
      <c r="W526" s="25">
        <v>0</v>
      </c>
      <c r="X526" s="25">
        <v>1</v>
      </c>
      <c r="Y526" s="25">
        <v>0</v>
      </c>
      <c r="Z526" s="25">
        <v>0</v>
      </c>
      <c r="AA526" s="25">
        <v>0</v>
      </c>
      <c r="AB526" s="25">
        <v>0</v>
      </c>
      <c r="AC526" s="25">
        <v>0</v>
      </c>
      <c r="AD526" s="25">
        <v>0</v>
      </c>
      <c r="AE526" s="25">
        <v>1</v>
      </c>
      <c r="AF526" s="25" t="s">
        <v>132</v>
      </c>
    </row>
    <row r="527" spans="1:32" s="25" customFormat="1" x14ac:dyDescent="0.25">
      <c r="A527" s="25" t="s">
        <v>170</v>
      </c>
      <c r="B527" s="25">
        <f t="shared" si="19"/>
        <v>2820</v>
      </c>
      <c r="C527" s="25" t="s">
        <v>12</v>
      </c>
      <c r="D527" s="25">
        <v>0</v>
      </c>
      <c r="E527" s="25">
        <v>0</v>
      </c>
      <c r="F527" s="25">
        <v>256</v>
      </c>
      <c r="G527" s="25">
        <v>222</v>
      </c>
      <c r="H527" s="27">
        <v>0</v>
      </c>
      <c r="I527" s="27">
        <v>0</v>
      </c>
      <c r="J527" s="27">
        <v>0</v>
      </c>
      <c r="K527" s="27">
        <v>0</v>
      </c>
      <c r="L527" s="27">
        <v>1</v>
      </c>
      <c r="M527" s="27">
        <v>0</v>
      </c>
      <c r="N527" s="27">
        <v>0</v>
      </c>
      <c r="O527" s="27">
        <v>0</v>
      </c>
      <c r="P527" s="25">
        <v>700</v>
      </c>
      <c r="Q527" s="25">
        <v>560</v>
      </c>
      <c r="R527" s="25" t="s">
        <v>87</v>
      </c>
      <c r="S527" s="25" t="s">
        <v>89</v>
      </c>
      <c r="T527" s="25">
        <v>0</v>
      </c>
      <c r="U527" s="25">
        <v>0</v>
      </c>
      <c r="V527" s="25">
        <v>0</v>
      </c>
      <c r="W527" s="25">
        <v>0</v>
      </c>
      <c r="X527" s="25">
        <v>1</v>
      </c>
      <c r="Y527" s="25">
        <v>0</v>
      </c>
      <c r="Z527" s="25">
        <v>0</v>
      </c>
      <c r="AA527" s="25">
        <v>0</v>
      </c>
      <c r="AB527" s="25">
        <v>0</v>
      </c>
      <c r="AC527" s="25">
        <v>0</v>
      </c>
      <c r="AD527" s="25">
        <v>0</v>
      </c>
      <c r="AE527" s="25">
        <v>1</v>
      </c>
      <c r="AF527" s="25" t="s">
        <v>132</v>
      </c>
    </row>
    <row r="528" spans="1:32" s="25" customFormat="1" x14ac:dyDescent="0.25">
      <c r="A528" s="25" t="s">
        <v>170</v>
      </c>
      <c r="B528" s="25">
        <f t="shared" si="19"/>
        <v>2830</v>
      </c>
      <c r="C528" s="25" t="s">
        <v>12</v>
      </c>
      <c r="D528" s="25">
        <v>0</v>
      </c>
      <c r="E528" s="25">
        <v>0</v>
      </c>
      <c r="F528" s="25">
        <v>256</v>
      </c>
      <c r="G528" s="25">
        <v>222</v>
      </c>
      <c r="H528" s="27">
        <v>0</v>
      </c>
      <c r="I528" s="27">
        <v>0</v>
      </c>
      <c r="J528" s="27">
        <v>0</v>
      </c>
      <c r="K528" s="27">
        <v>0</v>
      </c>
      <c r="L528" s="27">
        <v>1</v>
      </c>
      <c r="M528" s="27">
        <v>0</v>
      </c>
      <c r="N528" s="27">
        <v>0</v>
      </c>
      <c r="O528" s="27">
        <v>0</v>
      </c>
      <c r="P528" s="25">
        <v>700</v>
      </c>
      <c r="Q528" s="25">
        <v>560</v>
      </c>
      <c r="R528" s="25" t="s">
        <v>87</v>
      </c>
      <c r="S528" s="25" t="s">
        <v>89</v>
      </c>
      <c r="T528" s="25">
        <v>0</v>
      </c>
      <c r="U528" s="25">
        <v>0</v>
      </c>
      <c r="V528" s="25">
        <v>0</v>
      </c>
      <c r="W528" s="25">
        <v>0</v>
      </c>
      <c r="X528" s="25">
        <v>1</v>
      </c>
      <c r="Y528" s="25">
        <v>0</v>
      </c>
      <c r="Z528" s="25">
        <v>0</v>
      </c>
      <c r="AA528" s="25">
        <v>0</v>
      </c>
      <c r="AB528" s="25">
        <v>0</v>
      </c>
      <c r="AC528" s="25">
        <v>0</v>
      </c>
      <c r="AD528" s="25">
        <v>0</v>
      </c>
      <c r="AE528" s="25">
        <v>1</v>
      </c>
      <c r="AF528" s="25" t="s">
        <v>132</v>
      </c>
    </row>
    <row r="529" spans="1:32" s="25" customFormat="1" x14ac:dyDescent="0.25">
      <c r="A529" s="25" t="s">
        <v>170</v>
      </c>
      <c r="B529" s="25">
        <f t="shared" si="19"/>
        <v>2840</v>
      </c>
      <c r="C529" s="25" t="s">
        <v>12</v>
      </c>
      <c r="D529" s="25">
        <v>0</v>
      </c>
      <c r="E529" s="25">
        <v>0</v>
      </c>
      <c r="F529" s="25">
        <v>256</v>
      </c>
      <c r="G529" s="25">
        <v>222</v>
      </c>
      <c r="H529" s="27">
        <v>0</v>
      </c>
      <c r="I529" s="27">
        <v>0</v>
      </c>
      <c r="J529" s="27">
        <v>0</v>
      </c>
      <c r="K529" s="27">
        <v>0</v>
      </c>
      <c r="L529" s="27">
        <v>1</v>
      </c>
      <c r="M529" s="27">
        <v>0</v>
      </c>
      <c r="N529" s="27">
        <v>0</v>
      </c>
      <c r="O529" s="27">
        <v>0</v>
      </c>
      <c r="P529" s="25">
        <v>700</v>
      </c>
      <c r="Q529" s="25">
        <v>560</v>
      </c>
      <c r="R529" s="25" t="s">
        <v>87</v>
      </c>
      <c r="S529" s="25" t="s">
        <v>89</v>
      </c>
      <c r="T529" s="25">
        <v>0</v>
      </c>
      <c r="U529" s="25">
        <v>0</v>
      </c>
      <c r="V529" s="25">
        <v>0</v>
      </c>
      <c r="W529" s="25">
        <v>0</v>
      </c>
      <c r="X529" s="25">
        <v>1</v>
      </c>
      <c r="Y529" s="25">
        <v>0</v>
      </c>
      <c r="Z529" s="25">
        <v>0</v>
      </c>
      <c r="AA529" s="25">
        <v>0</v>
      </c>
      <c r="AB529" s="25">
        <v>0</v>
      </c>
      <c r="AC529" s="25">
        <v>0</v>
      </c>
      <c r="AD529" s="25">
        <v>0</v>
      </c>
      <c r="AE529" s="25">
        <v>1</v>
      </c>
      <c r="AF529" s="25" t="s">
        <v>132</v>
      </c>
    </row>
    <row r="530" spans="1:32" s="25" customFormat="1" x14ac:dyDescent="0.25">
      <c r="A530" s="25" t="s">
        <v>170</v>
      </c>
      <c r="B530" s="25">
        <f t="shared" si="19"/>
        <v>2850</v>
      </c>
      <c r="C530" s="25" t="s">
        <v>12</v>
      </c>
      <c r="D530" s="25">
        <v>0</v>
      </c>
      <c r="E530" s="25">
        <v>0</v>
      </c>
      <c r="F530" s="25">
        <v>256</v>
      </c>
      <c r="G530" s="25">
        <v>222</v>
      </c>
      <c r="H530" s="27">
        <v>0</v>
      </c>
      <c r="I530" s="27">
        <v>0</v>
      </c>
      <c r="J530" s="27">
        <v>0</v>
      </c>
      <c r="K530" s="27">
        <v>0</v>
      </c>
      <c r="L530" s="27">
        <v>1</v>
      </c>
      <c r="M530" s="27">
        <v>0</v>
      </c>
      <c r="N530" s="27">
        <v>0</v>
      </c>
      <c r="O530" s="27">
        <v>0</v>
      </c>
      <c r="P530" s="25">
        <v>700</v>
      </c>
      <c r="Q530" s="25">
        <v>560</v>
      </c>
      <c r="R530" s="25" t="s">
        <v>87</v>
      </c>
      <c r="S530" s="25" t="s">
        <v>89</v>
      </c>
      <c r="T530" s="25">
        <v>0</v>
      </c>
      <c r="U530" s="25">
        <v>0</v>
      </c>
      <c r="V530" s="25">
        <v>0</v>
      </c>
      <c r="W530" s="25">
        <v>0</v>
      </c>
      <c r="X530" s="25">
        <v>1</v>
      </c>
      <c r="Y530" s="25">
        <v>0</v>
      </c>
      <c r="Z530" s="25">
        <v>0</v>
      </c>
      <c r="AA530" s="25">
        <v>0</v>
      </c>
      <c r="AB530" s="25">
        <v>0</v>
      </c>
      <c r="AC530" s="25">
        <v>0</v>
      </c>
      <c r="AD530" s="25">
        <v>0</v>
      </c>
      <c r="AE530" s="25">
        <v>1</v>
      </c>
      <c r="AF530" s="25" t="s">
        <v>132</v>
      </c>
    </row>
    <row r="531" spans="1:32" s="25" customFormat="1" x14ac:dyDescent="0.25">
      <c r="A531" s="25" t="s">
        <v>170</v>
      </c>
      <c r="B531" s="25">
        <f t="shared" si="19"/>
        <v>2860</v>
      </c>
      <c r="C531" s="25" t="s">
        <v>12</v>
      </c>
      <c r="D531" s="25">
        <v>0</v>
      </c>
      <c r="E531" s="25">
        <v>0</v>
      </c>
      <c r="F531" s="25">
        <v>256</v>
      </c>
      <c r="G531" s="25">
        <v>222</v>
      </c>
      <c r="H531" s="27">
        <v>0</v>
      </c>
      <c r="I531" s="27">
        <v>0</v>
      </c>
      <c r="J531" s="27">
        <v>0</v>
      </c>
      <c r="K531" s="27">
        <v>0</v>
      </c>
      <c r="L531" s="27">
        <v>1</v>
      </c>
      <c r="M531" s="27">
        <v>0</v>
      </c>
      <c r="N531" s="27">
        <v>0</v>
      </c>
      <c r="O531" s="27">
        <v>0</v>
      </c>
      <c r="P531" s="25">
        <v>700</v>
      </c>
      <c r="Q531" s="25">
        <v>560</v>
      </c>
      <c r="R531" s="25" t="s">
        <v>87</v>
      </c>
      <c r="S531" s="25" t="s">
        <v>89</v>
      </c>
      <c r="T531" s="25">
        <v>0</v>
      </c>
      <c r="U531" s="25">
        <v>0</v>
      </c>
      <c r="V531" s="25">
        <v>0</v>
      </c>
      <c r="W531" s="25">
        <v>0</v>
      </c>
      <c r="X531" s="25">
        <v>1</v>
      </c>
      <c r="Y531" s="25">
        <v>0</v>
      </c>
      <c r="Z531" s="25">
        <v>0</v>
      </c>
      <c r="AA531" s="25">
        <v>0</v>
      </c>
      <c r="AB531" s="25">
        <v>0</v>
      </c>
      <c r="AC531" s="25">
        <v>0</v>
      </c>
      <c r="AD531" s="25">
        <v>0</v>
      </c>
      <c r="AE531" s="25">
        <v>1</v>
      </c>
      <c r="AF531" s="25" t="s">
        <v>132</v>
      </c>
    </row>
    <row r="532" spans="1:32" s="25" customFormat="1" x14ac:dyDescent="0.25">
      <c r="A532" s="25" t="s">
        <v>170</v>
      </c>
      <c r="B532" s="25">
        <f t="shared" si="19"/>
        <v>2870</v>
      </c>
      <c r="C532" s="25" t="s">
        <v>12</v>
      </c>
      <c r="D532" s="25">
        <v>0</v>
      </c>
      <c r="E532" s="25">
        <v>0</v>
      </c>
      <c r="F532" s="25">
        <v>256</v>
      </c>
      <c r="G532" s="25">
        <v>222</v>
      </c>
      <c r="H532" s="27">
        <v>0</v>
      </c>
      <c r="I532" s="27">
        <v>0</v>
      </c>
      <c r="J532" s="27">
        <v>0</v>
      </c>
      <c r="K532" s="27">
        <v>0</v>
      </c>
      <c r="L532" s="27">
        <v>1</v>
      </c>
      <c r="M532" s="27">
        <v>0</v>
      </c>
      <c r="N532" s="27">
        <v>0</v>
      </c>
      <c r="O532" s="27">
        <v>0</v>
      </c>
      <c r="P532" s="25">
        <v>700</v>
      </c>
      <c r="Q532" s="25">
        <v>560</v>
      </c>
      <c r="R532" s="25" t="s">
        <v>87</v>
      </c>
      <c r="S532" s="25" t="s">
        <v>89</v>
      </c>
      <c r="T532" s="25">
        <v>0</v>
      </c>
      <c r="U532" s="25">
        <v>0</v>
      </c>
      <c r="V532" s="25">
        <v>0</v>
      </c>
      <c r="W532" s="25">
        <v>0</v>
      </c>
      <c r="X532" s="25">
        <v>1</v>
      </c>
      <c r="Y532" s="25">
        <v>0</v>
      </c>
      <c r="Z532" s="25">
        <v>0</v>
      </c>
      <c r="AA532" s="25">
        <v>0</v>
      </c>
      <c r="AB532" s="25">
        <v>0</v>
      </c>
      <c r="AC532" s="25">
        <v>0</v>
      </c>
      <c r="AD532" s="25">
        <v>0</v>
      </c>
      <c r="AE532" s="25">
        <v>1</v>
      </c>
      <c r="AF532" s="25" t="s">
        <v>132</v>
      </c>
    </row>
    <row r="533" spans="1:32" s="25" customFormat="1" x14ac:dyDescent="0.25">
      <c r="A533" s="25" t="s">
        <v>170</v>
      </c>
      <c r="B533" s="25">
        <f t="shared" si="19"/>
        <v>2880</v>
      </c>
      <c r="C533" s="25" t="s">
        <v>12</v>
      </c>
      <c r="D533" s="25">
        <v>0</v>
      </c>
      <c r="E533" s="25">
        <v>0</v>
      </c>
      <c r="F533" s="25">
        <v>256</v>
      </c>
      <c r="G533" s="25">
        <v>222</v>
      </c>
      <c r="H533" s="27">
        <v>0</v>
      </c>
      <c r="I533" s="27">
        <v>0</v>
      </c>
      <c r="J533" s="27">
        <v>0</v>
      </c>
      <c r="K533" s="27">
        <v>0</v>
      </c>
      <c r="L533" s="27">
        <v>1</v>
      </c>
      <c r="M533" s="27">
        <v>0</v>
      </c>
      <c r="N533" s="27">
        <v>0</v>
      </c>
      <c r="O533" s="27">
        <v>0</v>
      </c>
      <c r="P533" s="25">
        <v>700</v>
      </c>
      <c r="Q533" s="25">
        <v>560</v>
      </c>
      <c r="R533" s="25" t="s">
        <v>87</v>
      </c>
      <c r="S533" s="25" t="s">
        <v>89</v>
      </c>
      <c r="T533" s="25">
        <v>0</v>
      </c>
      <c r="U533" s="25">
        <v>0</v>
      </c>
      <c r="V533" s="25">
        <v>0</v>
      </c>
      <c r="W533" s="25">
        <v>0</v>
      </c>
      <c r="X533" s="25">
        <v>1</v>
      </c>
      <c r="Y533" s="25">
        <v>0</v>
      </c>
      <c r="Z533" s="25">
        <v>0</v>
      </c>
      <c r="AA533" s="25">
        <v>0</v>
      </c>
      <c r="AB533" s="25">
        <v>0</v>
      </c>
      <c r="AC533" s="25">
        <v>0</v>
      </c>
      <c r="AD533" s="25">
        <v>0</v>
      </c>
      <c r="AE533" s="25">
        <v>1</v>
      </c>
      <c r="AF533" s="25" t="s">
        <v>132</v>
      </c>
    </row>
    <row r="534" spans="1:32" s="25" customFormat="1" x14ac:dyDescent="0.25">
      <c r="A534" s="25" t="s">
        <v>170</v>
      </c>
      <c r="B534" s="25">
        <f t="shared" si="19"/>
        <v>2890</v>
      </c>
      <c r="C534" s="25" t="s">
        <v>12</v>
      </c>
      <c r="D534" s="25">
        <v>0</v>
      </c>
      <c r="E534" s="25">
        <v>0</v>
      </c>
      <c r="F534" s="25">
        <v>256</v>
      </c>
      <c r="G534" s="25">
        <v>222</v>
      </c>
      <c r="H534" s="27">
        <v>0</v>
      </c>
      <c r="I534" s="27">
        <v>0</v>
      </c>
      <c r="J534" s="27">
        <v>0</v>
      </c>
      <c r="K534" s="27">
        <v>0</v>
      </c>
      <c r="L534" s="27">
        <v>1</v>
      </c>
      <c r="M534" s="27">
        <v>0</v>
      </c>
      <c r="N534" s="27">
        <v>0</v>
      </c>
      <c r="O534" s="27">
        <v>0</v>
      </c>
      <c r="P534" s="25">
        <v>700</v>
      </c>
      <c r="Q534" s="25">
        <v>560</v>
      </c>
      <c r="R534" s="25" t="s">
        <v>87</v>
      </c>
      <c r="S534" s="25" t="s">
        <v>89</v>
      </c>
      <c r="T534" s="25">
        <v>0</v>
      </c>
      <c r="U534" s="25">
        <v>0</v>
      </c>
      <c r="V534" s="25">
        <v>0</v>
      </c>
      <c r="W534" s="25">
        <v>0</v>
      </c>
      <c r="X534" s="25">
        <v>1</v>
      </c>
      <c r="Y534" s="25">
        <v>0</v>
      </c>
      <c r="Z534" s="25">
        <v>0</v>
      </c>
      <c r="AA534" s="25">
        <v>0</v>
      </c>
      <c r="AB534" s="25">
        <v>0</v>
      </c>
      <c r="AC534" s="25">
        <v>0</v>
      </c>
      <c r="AD534" s="25">
        <v>0</v>
      </c>
      <c r="AE534" s="25">
        <v>1</v>
      </c>
      <c r="AF534" s="25" t="s">
        <v>132</v>
      </c>
    </row>
    <row r="535" spans="1:32" s="25" customFormat="1" x14ac:dyDescent="0.25">
      <c r="A535" s="25" t="s">
        <v>170</v>
      </c>
      <c r="B535" s="25">
        <f t="shared" si="19"/>
        <v>2900</v>
      </c>
      <c r="C535" s="25" t="s">
        <v>12</v>
      </c>
      <c r="D535" s="25">
        <v>0</v>
      </c>
      <c r="E535" s="25">
        <v>0</v>
      </c>
      <c r="F535" s="25">
        <v>256</v>
      </c>
      <c r="G535" s="25">
        <v>222</v>
      </c>
      <c r="H535" s="27">
        <v>0</v>
      </c>
      <c r="I535" s="27">
        <v>0</v>
      </c>
      <c r="J535" s="27">
        <v>0</v>
      </c>
      <c r="K535" s="27">
        <v>0</v>
      </c>
      <c r="L535" s="27">
        <v>1</v>
      </c>
      <c r="M535" s="27">
        <v>0</v>
      </c>
      <c r="N535" s="27">
        <v>0</v>
      </c>
      <c r="O535" s="27">
        <v>0</v>
      </c>
      <c r="P535" s="25">
        <v>700</v>
      </c>
      <c r="Q535" s="25">
        <v>560</v>
      </c>
      <c r="R535" s="25" t="s">
        <v>87</v>
      </c>
      <c r="S535" s="25" t="s">
        <v>89</v>
      </c>
      <c r="T535" s="25">
        <v>0</v>
      </c>
      <c r="U535" s="25">
        <v>0</v>
      </c>
      <c r="V535" s="25">
        <v>0</v>
      </c>
      <c r="W535" s="25">
        <v>0</v>
      </c>
      <c r="X535" s="25">
        <v>1</v>
      </c>
      <c r="Y535" s="25">
        <v>0</v>
      </c>
      <c r="Z535" s="25">
        <v>0</v>
      </c>
      <c r="AA535" s="25">
        <v>0</v>
      </c>
      <c r="AB535" s="25">
        <v>0</v>
      </c>
      <c r="AC535" s="25">
        <v>0</v>
      </c>
      <c r="AD535" s="25">
        <v>0</v>
      </c>
      <c r="AE535" s="25">
        <v>1</v>
      </c>
      <c r="AF535" s="25" t="s">
        <v>132</v>
      </c>
    </row>
    <row r="536" spans="1:32" s="25" customFormat="1" x14ac:dyDescent="0.25">
      <c r="A536" s="25" t="s">
        <v>170</v>
      </c>
      <c r="B536" s="25">
        <f t="shared" si="19"/>
        <v>2910</v>
      </c>
      <c r="C536" s="25" t="s">
        <v>12</v>
      </c>
      <c r="D536" s="25">
        <v>0</v>
      </c>
      <c r="E536" s="25">
        <v>0</v>
      </c>
      <c r="F536" s="25">
        <v>256</v>
      </c>
      <c r="G536" s="25">
        <v>222</v>
      </c>
      <c r="H536" s="27">
        <v>0</v>
      </c>
      <c r="I536" s="27">
        <v>0</v>
      </c>
      <c r="J536" s="27">
        <v>0</v>
      </c>
      <c r="K536" s="27">
        <v>0</v>
      </c>
      <c r="L536" s="27">
        <v>1</v>
      </c>
      <c r="M536" s="27">
        <v>0</v>
      </c>
      <c r="N536" s="27">
        <v>0</v>
      </c>
      <c r="O536" s="27">
        <v>0</v>
      </c>
      <c r="P536" s="25">
        <v>700</v>
      </c>
      <c r="Q536" s="25">
        <v>560</v>
      </c>
      <c r="R536" s="25" t="s">
        <v>87</v>
      </c>
      <c r="S536" s="25" t="s">
        <v>89</v>
      </c>
      <c r="T536" s="25">
        <v>0</v>
      </c>
      <c r="U536" s="25">
        <v>0</v>
      </c>
      <c r="V536" s="25">
        <v>0</v>
      </c>
      <c r="W536" s="25">
        <v>0</v>
      </c>
      <c r="X536" s="25">
        <v>1</v>
      </c>
      <c r="Y536" s="25">
        <v>0</v>
      </c>
      <c r="Z536" s="25">
        <v>0</v>
      </c>
      <c r="AA536" s="25">
        <v>0</v>
      </c>
      <c r="AB536" s="25">
        <v>0</v>
      </c>
      <c r="AC536" s="25">
        <v>0</v>
      </c>
      <c r="AD536" s="25">
        <v>0</v>
      </c>
      <c r="AE536" s="25">
        <v>1</v>
      </c>
      <c r="AF536" s="25" t="s">
        <v>132</v>
      </c>
    </row>
    <row r="537" spans="1:32" s="25" customFormat="1" x14ac:dyDescent="0.25">
      <c r="A537" s="25" t="s">
        <v>170</v>
      </c>
      <c r="B537" s="25">
        <f t="shared" ref="B537:B544" si="20">B536+10</f>
        <v>2920</v>
      </c>
      <c r="C537" s="25" t="s">
        <v>12</v>
      </c>
      <c r="D537" s="25">
        <v>0</v>
      </c>
      <c r="E537" s="25">
        <v>0</v>
      </c>
      <c r="F537" s="25">
        <v>256</v>
      </c>
      <c r="G537" s="25">
        <v>222</v>
      </c>
      <c r="H537" s="27">
        <v>0</v>
      </c>
      <c r="I537" s="27">
        <v>0</v>
      </c>
      <c r="J537" s="27">
        <v>0</v>
      </c>
      <c r="K537" s="27">
        <v>0</v>
      </c>
      <c r="L537" s="27">
        <v>1</v>
      </c>
      <c r="M537" s="27">
        <v>0</v>
      </c>
      <c r="N537" s="27">
        <v>0</v>
      </c>
      <c r="O537" s="27">
        <v>0</v>
      </c>
      <c r="P537" s="25">
        <v>700</v>
      </c>
      <c r="Q537" s="25">
        <v>560</v>
      </c>
      <c r="R537" s="25" t="s">
        <v>87</v>
      </c>
      <c r="S537" s="25" t="s">
        <v>89</v>
      </c>
      <c r="T537" s="25">
        <v>0</v>
      </c>
      <c r="U537" s="25">
        <v>0</v>
      </c>
      <c r="V537" s="25">
        <v>0</v>
      </c>
      <c r="W537" s="25">
        <v>0</v>
      </c>
      <c r="X537" s="25">
        <v>1</v>
      </c>
      <c r="Y537" s="25">
        <v>0</v>
      </c>
      <c r="Z537" s="25">
        <v>0</v>
      </c>
      <c r="AA537" s="25">
        <v>0</v>
      </c>
      <c r="AB537" s="25">
        <v>0</v>
      </c>
      <c r="AC537" s="25">
        <v>0</v>
      </c>
      <c r="AD537" s="25">
        <v>0</v>
      </c>
      <c r="AE537" s="25">
        <v>1</v>
      </c>
      <c r="AF537" s="25" t="s">
        <v>132</v>
      </c>
    </row>
    <row r="538" spans="1:32" s="25" customFormat="1" x14ac:dyDescent="0.25">
      <c r="A538" s="25" t="s">
        <v>170</v>
      </c>
      <c r="B538" s="25">
        <f t="shared" si="20"/>
        <v>2930</v>
      </c>
      <c r="C538" s="25" t="s">
        <v>12</v>
      </c>
      <c r="D538" s="25">
        <v>0</v>
      </c>
      <c r="E538" s="25">
        <v>0</v>
      </c>
      <c r="F538" s="25">
        <v>256</v>
      </c>
      <c r="G538" s="25">
        <v>222</v>
      </c>
      <c r="H538" s="27">
        <v>0</v>
      </c>
      <c r="I538" s="27">
        <v>0</v>
      </c>
      <c r="J538" s="27">
        <v>0</v>
      </c>
      <c r="K538" s="27">
        <v>0</v>
      </c>
      <c r="L538" s="27">
        <v>1</v>
      </c>
      <c r="M538" s="27">
        <v>0</v>
      </c>
      <c r="N538" s="27">
        <v>0</v>
      </c>
      <c r="O538" s="27">
        <v>0</v>
      </c>
      <c r="P538" s="25">
        <v>700</v>
      </c>
      <c r="Q538" s="25">
        <v>560</v>
      </c>
      <c r="R538" s="25" t="s">
        <v>87</v>
      </c>
      <c r="S538" s="25" t="s">
        <v>89</v>
      </c>
      <c r="T538" s="25">
        <v>0</v>
      </c>
      <c r="U538" s="25">
        <v>0</v>
      </c>
      <c r="V538" s="25">
        <v>0</v>
      </c>
      <c r="W538" s="25">
        <v>0</v>
      </c>
      <c r="X538" s="25">
        <v>1</v>
      </c>
      <c r="Y538" s="25">
        <v>0</v>
      </c>
      <c r="Z538" s="25">
        <v>0</v>
      </c>
      <c r="AA538" s="25">
        <v>0</v>
      </c>
      <c r="AB538" s="25">
        <v>0</v>
      </c>
      <c r="AC538" s="25">
        <v>0</v>
      </c>
      <c r="AD538" s="25">
        <v>0</v>
      </c>
      <c r="AE538" s="25">
        <v>1</v>
      </c>
      <c r="AF538" s="25" t="s">
        <v>132</v>
      </c>
    </row>
    <row r="539" spans="1:32" s="25" customFormat="1" x14ac:dyDescent="0.25">
      <c r="A539" s="25" t="s">
        <v>170</v>
      </c>
      <c r="B539" s="25">
        <f t="shared" si="20"/>
        <v>2940</v>
      </c>
      <c r="C539" s="25" t="s">
        <v>12</v>
      </c>
      <c r="D539" s="25">
        <v>0</v>
      </c>
      <c r="E539" s="25">
        <v>0</v>
      </c>
      <c r="F539" s="25">
        <v>256</v>
      </c>
      <c r="G539" s="25">
        <v>222</v>
      </c>
      <c r="H539" s="27">
        <v>0</v>
      </c>
      <c r="I539" s="27">
        <v>0</v>
      </c>
      <c r="J539" s="27">
        <v>0</v>
      </c>
      <c r="K539" s="27">
        <v>0</v>
      </c>
      <c r="L539" s="27">
        <v>1</v>
      </c>
      <c r="M539" s="27">
        <v>0</v>
      </c>
      <c r="N539" s="27">
        <v>0</v>
      </c>
      <c r="O539" s="27">
        <v>0</v>
      </c>
      <c r="P539" s="25">
        <v>700</v>
      </c>
      <c r="Q539" s="25">
        <v>560</v>
      </c>
      <c r="R539" s="25" t="s">
        <v>87</v>
      </c>
      <c r="S539" s="25" t="s">
        <v>89</v>
      </c>
      <c r="T539" s="25">
        <v>0</v>
      </c>
      <c r="U539" s="25">
        <v>0</v>
      </c>
      <c r="V539" s="25">
        <v>0</v>
      </c>
      <c r="W539" s="25">
        <v>0</v>
      </c>
      <c r="X539" s="25">
        <v>1</v>
      </c>
      <c r="Y539" s="25">
        <v>0</v>
      </c>
      <c r="Z539" s="25">
        <v>0</v>
      </c>
      <c r="AA539" s="25">
        <v>0</v>
      </c>
      <c r="AB539" s="25">
        <v>0</v>
      </c>
      <c r="AC539" s="25">
        <v>0</v>
      </c>
      <c r="AD539" s="25">
        <v>0</v>
      </c>
      <c r="AE539" s="25">
        <v>1</v>
      </c>
      <c r="AF539" s="25" t="s">
        <v>132</v>
      </c>
    </row>
    <row r="540" spans="1:32" x14ac:dyDescent="0.25">
      <c r="A540" t="s">
        <v>170</v>
      </c>
      <c r="B540" s="25">
        <f t="shared" si="20"/>
        <v>2950</v>
      </c>
      <c r="C540" t="s">
        <v>12</v>
      </c>
      <c r="D540">
        <v>0</v>
      </c>
      <c r="E540">
        <v>0</v>
      </c>
      <c r="F540">
        <v>256</v>
      </c>
      <c r="G540">
        <v>222</v>
      </c>
      <c r="H540" s="27">
        <v>0</v>
      </c>
      <c r="I540" s="27">
        <v>0</v>
      </c>
      <c r="J540" s="27">
        <v>0</v>
      </c>
      <c r="K540" s="27">
        <v>0</v>
      </c>
      <c r="L540" s="27">
        <v>1</v>
      </c>
      <c r="M540" s="27">
        <v>0</v>
      </c>
      <c r="N540" s="27">
        <v>0</v>
      </c>
      <c r="O540" s="27">
        <v>0</v>
      </c>
      <c r="P540">
        <v>700</v>
      </c>
      <c r="Q540">
        <v>560</v>
      </c>
      <c r="R540" t="s">
        <v>87</v>
      </c>
      <c r="S540" t="s">
        <v>89</v>
      </c>
      <c r="T540">
        <v>0</v>
      </c>
      <c r="U540">
        <v>0</v>
      </c>
      <c r="V540">
        <v>0</v>
      </c>
      <c r="W540">
        <v>0</v>
      </c>
      <c r="X540">
        <v>1</v>
      </c>
      <c r="Y540">
        <v>0</v>
      </c>
      <c r="Z540">
        <v>0</v>
      </c>
      <c r="AA540">
        <v>0</v>
      </c>
      <c r="AB540">
        <v>0</v>
      </c>
      <c r="AC540">
        <v>0</v>
      </c>
      <c r="AD540">
        <v>0</v>
      </c>
      <c r="AE540">
        <v>1</v>
      </c>
      <c r="AF540" t="s">
        <v>132</v>
      </c>
    </row>
    <row r="541" spans="1:32" x14ac:dyDescent="0.25">
      <c r="A541" t="s">
        <v>170</v>
      </c>
      <c r="B541" s="25">
        <f t="shared" si="20"/>
        <v>2960</v>
      </c>
      <c r="C541" t="s">
        <v>12</v>
      </c>
      <c r="D541" t="s">
        <v>13</v>
      </c>
      <c r="E541" t="s">
        <v>13</v>
      </c>
      <c r="F541" t="s">
        <v>13</v>
      </c>
      <c r="G541" t="s">
        <v>13</v>
      </c>
      <c r="H541" s="27" t="s">
        <v>13</v>
      </c>
      <c r="I541" s="27" t="s">
        <v>13</v>
      </c>
      <c r="J541" s="27" t="s">
        <v>13</v>
      </c>
      <c r="K541" s="27" t="s">
        <v>13</v>
      </c>
      <c r="L541" s="27" t="s">
        <v>13</v>
      </c>
      <c r="M541" s="27" t="s">
        <v>13</v>
      </c>
      <c r="N541" s="27" t="s">
        <v>13</v>
      </c>
      <c r="O541" s="27" t="s">
        <v>13</v>
      </c>
      <c r="P541">
        <v>700</v>
      </c>
      <c r="Q541">
        <v>560</v>
      </c>
      <c r="R541" t="s">
        <v>87</v>
      </c>
      <c r="S541" t="s">
        <v>89</v>
      </c>
      <c r="T541">
        <v>0</v>
      </c>
      <c r="U541">
        <v>0</v>
      </c>
      <c r="V541">
        <v>0</v>
      </c>
      <c r="W541">
        <v>0</v>
      </c>
      <c r="X541">
        <v>1</v>
      </c>
      <c r="Y541">
        <v>0</v>
      </c>
      <c r="Z541">
        <v>0</v>
      </c>
      <c r="AA541">
        <v>0</v>
      </c>
      <c r="AB541">
        <v>0</v>
      </c>
      <c r="AC541">
        <v>0</v>
      </c>
      <c r="AD541">
        <v>0</v>
      </c>
      <c r="AE541">
        <v>1</v>
      </c>
      <c r="AF541" t="s">
        <v>128</v>
      </c>
    </row>
    <row r="542" spans="1:32" x14ac:dyDescent="0.25">
      <c r="A542" t="s">
        <v>171</v>
      </c>
      <c r="B542" s="25">
        <f t="shared" si="20"/>
        <v>2970</v>
      </c>
      <c r="C542" t="s">
        <v>12</v>
      </c>
      <c r="D542" t="s">
        <v>13</v>
      </c>
      <c r="E542" t="s">
        <v>13</v>
      </c>
      <c r="F542" t="s">
        <v>13</v>
      </c>
      <c r="G542" t="s">
        <v>13</v>
      </c>
      <c r="H542" s="27" t="s">
        <v>13</v>
      </c>
      <c r="I542" s="27" t="s">
        <v>13</v>
      </c>
      <c r="J542" s="27" t="s">
        <v>13</v>
      </c>
      <c r="K542" s="27" t="s">
        <v>13</v>
      </c>
      <c r="L542" s="27" t="s">
        <v>13</v>
      </c>
      <c r="M542" s="27" t="s">
        <v>13</v>
      </c>
      <c r="N542" s="27" t="s">
        <v>13</v>
      </c>
      <c r="O542" s="27" t="s">
        <v>13</v>
      </c>
      <c r="P542">
        <v>700</v>
      </c>
      <c r="Q542">
        <v>560</v>
      </c>
      <c r="R542" t="s">
        <v>87</v>
      </c>
      <c r="S542" t="s">
        <v>89</v>
      </c>
      <c r="T542">
        <v>0</v>
      </c>
      <c r="U542">
        <v>0</v>
      </c>
      <c r="V542">
        <v>0</v>
      </c>
      <c r="W542">
        <v>0</v>
      </c>
      <c r="X542">
        <v>1</v>
      </c>
      <c r="Y542">
        <v>0</v>
      </c>
      <c r="Z542">
        <v>0</v>
      </c>
      <c r="AA542">
        <v>0</v>
      </c>
      <c r="AB542">
        <v>0</v>
      </c>
      <c r="AC542">
        <v>0</v>
      </c>
      <c r="AD542">
        <v>0</v>
      </c>
      <c r="AE542">
        <v>1</v>
      </c>
      <c r="AF542" t="s">
        <v>129</v>
      </c>
    </row>
    <row r="543" spans="1:32" x14ac:dyDescent="0.25">
      <c r="A543" t="s">
        <v>171</v>
      </c>
      <c r="B543" s="25">
        <f t="shared" si="20"/>
        <v>2980</v>
      </c>
      <c r="C543" t="s">
        <v>12</v>
      </c>
      <c r="D543" t="s">
        <v>13</v>
      </c>
      <c r="E543" t="s">
        <v>13</v>
      </c>
      <c r="F543" t="s">
        <v>13</v>
      </c>
      <c r="G543" t="s">
        <v>13</v>
      </c>
      <c r="H543" s="27" t="s">
        <v>13</v>
      </c>
      <c r="I543" s="27" t="s">
        <v>13</v>
      </c>
      <c r="J543" s="27" t="s">
        <v>13</v>
      </c>
      <c r="K543" s="27" t="s">
        <v>13</v>
      </c>
      <c r="L543" s="27" t="s">
        <v>13</v>
      </c>
      <c r="M543" s="27" t="s">
        <v>13</v>
      </c>
      <c r="N543" s="27" t="s">
        <v>13</v>
      </c>
      <c r="O543" s="27" t="s">
        <v>13</v>
      </c>
      <c r="P543">
        <v>700</v>
      </c>
      <c r="Q543">
        <v>560</v>
      </c>
      <c r="R543" t="s">
        <v>87</v>
      </c>
      <c r="S543" t="s">
        <v>89</v>
      </c>
      <c r="T543">
        <v>0</v>
      </c>
      <c r="U543">
        <v>0</v>
      </c>
      <c r="V543">
        <v>0</v>
      </c>
      <c r="W543">
        <v>0</v>
      </c>
      <c r="X543">
        <v>1</v>
      </c>
      <c r="Y543">
        <v>0</v>
      </c>
      <c r="Z543">
        <v>0</v>
      </c>
      <c r="AA543">
        <v>0</v>
      </c>
      <c r="AB543">
        <v>0</v>
      </c>
      <c r="AC543">
        <v>0</v>
      </c>
      <c r="AD543">
        <v>0</v>
      </c>
      <c r="AE543">
        <v>1</v>
      </c>
      <c r="AF543" t="s">
        <v>130</v>
      </c>
    </row>
    <row r="544" spans="1:32" x14ac:dyDescent="0.25">
      <c r="A544" t="s">
        <v>171</v>
      </c>
      <c r="B544" s="25">
        <f t="shared" si="20"/>
        <v>2990</v>
      </c>
      <c r="C544" t="s">
        <v>12</v>
      </c>
      <c r="D544">
        <v>0</v>
      </c>
      <c r="E544">
        <v>0</v>
      </c>
      <c r="F544">
        <v>256</v>
      </c>
      <c r="G544">
        <v>222</v>
      </c>
      <c r="H544" s="27">
        <v>0</v>
      </c>
      <c r="I544" s="27">
        <v>0</v>
      </c>
      <c r="J544" s="27">
        <v>0</v>
      </c>
      <c r="K544" s="27">
        <v>0</v>
      </c>
      <c r="L544" s="27">
        <v>1</v>
      </c>
      <c r="M544" s="27">
        <v>0</v>
      </c>
      <c r="N544" s="27">
        <v>0</v>
      </c>
      <c r="O544" s="27">
        <v>0</v>
      </c>
      <c r="P544">
        <v>700</v>
      </c>
      <c r="Q544">
        <v>560</v>
      </c>
      <c r="R544" t="s">
        <v>87</v>
      </c>
      <c r="S544" t="s">
        <v>89</v>
      </c>
      <c r="T544">
        <v>0</v>
      </c>
      <c r="U544">
        <v>0</v>
      </c>
      <c r="V544">
        <v>0</v>
      </c>
      <c r="W544">
        <v>0</v>
      </c>
      <c r="X544">
        <v>1</v>
      </c>
      <c r="Y544">
        <v>0</v>
      </c>
      <c r="Z544">
        <v>0</v>
      </c>
      <c r="AA544">
        <v>0</v>
      </c>
      <c r="AB544">
        <v>0</v>
      </c>
      <c r="AC544">
        <v>0</v>
      </c>
      <c r="AD544">
        <v>0</v>
      </c>
      <c r="AE544">
        <v>1</v>
      </c>
      <c r="AF544" t="s">
        <v>131</v>
      </c>
    </row>
    <row r="545" spans="1:32" s="25" customFormat="1" x14ac:dyDescent="0.25">
      <c r="A545" s="25" t="s">
        <v>171</v>
      </c>
      <c r="B545" s="25">
        <f t="shared" ref="B545:B595" si="21">B544+10</f>
        <v>3000</v>
      </c>
      <c r="C545" s="25" t="s">
        <v>12</v>
      </c>
      <c r="D545" s="25">
        <v>0</v>
      </c>
      <c r="E545" s="25">
        <v>0</v>
      </c>
      <c r="F545" s="25">
        <v>256</v>
      </c>
      <c r="G545" s="25">
        <v>222</v>
      </c>
      <c r="H545" s="27">
        <v>0</v>
      </c>
      <c r="I545" s="27">
        <v>0</v>
      </c>
      <c r="J545" s="27">
        <v>0</v>
      </c>
      <c r="K545" s="27">
        <v>0</v>
      </c>
      <c r="L545" s="27">
        <v>1</v>
      </c>
      <c r="M545" s="27">
        <v>0</v>
      </c>
      <c r="N545" s="27">
        <v>0</v>
      </c>
      <c r="O545" s="27">
        <v>0</v>
      </c>
      <c r="P545" s="25">
        <v>700</v>
      </c>
      <c r="Q545" s="25">
        <v>560</v>
      </c>
      <c r="R545" s="25" t="s">
        <v>87</v>
      </c>
      <c r="S545" s="25" t="s">
        <v>89</v>
      </c>
      <c r="T545" s="25">
        <v>0</v>
      </c>
      <c r="U545" s="25">
        <v>0</v>
      </c>
      <c r="V545" s="25">
        <v>0</v>
      </c>
      <c r="W545" s="25">
        <v>0</v>
      </c>
      <c r="X545" s="25">
        <v>1</v>
      </c>
      <c r="Y545" s="25">
        <v>0</v>
      </c>
      <c r="Z545" s="25">
        <v>0</v>
      </c>
      <c r="AA545" s="25">
        <v>0</v>
      </c>
      <c r="AB545" s="25">
        <v>0</v>
      </c>
      <c r="AC545" s="25">
        <v>0</v>
      </c>
      <c r="AD545" s="25">
        <v>0</v>
      </c>
      <c r="AE545" s="25">
        <v>1</v>
      </c>
      <c r="AF545" s="25" t="s">
        <v>131</v>
      </c>
    </row>
    <row r="546" spans="1:32" s="25" customFormat="1" x14ac:dyDescent="0.25">
      <c r="A546" s="25" t="s">
        <v>171</v>
      </c>
      <c r="B546" s="25">
        <f t="shared" si="21"/>
        <v>3010</v>
      </c>
      <c r="C546" s="25" t="s">
        <v>12</v>
      </c>
      <c r="D546" s="25">
        <v>0</v>
      </c>
      <c r="E546" s="25">
        <v>0</v>
      </c>
      <c r="F546" s="25">
        <v>256</v>
      </c>
      <c r="G546" s="25">
        <v>222</v>
      </c>
      <c r="H546" s="27">
        <v>0</v>
      </c>
      <c r="I546" s="27">
        <v>0</v>
      </c>
      <c r="J546" s="27">
        <v>0</v>
      </c>
      <c r="K546" s="27">
        <v>0</v>
      </c>
      <c r="L546" s="27">
        <v>1</v>
      </c>
      <c r="M546" s="27">
        <v>0</v>
      </c>
      <c r="N546" s="27">
        <v>0</v>
      </c>
      <c r="O546" s="27">
        <v>0</v>
      </c>
      <c r="P546" s="25">
        <v>700</v>
      </c>
      <c r="Q546" s="25">
        <v>560</v>
      </c>
      <c r="R546" s="25" t="s">
        <v>87</v>
      </c>
      <c r="S546" s="25" t="s">
        <v>89</v>
      </c>
      <c r="T546" s="25">
        <v>0</v>
      </c>
      <c r="U546" s="25">
        <v>0</v>
      </c>
      <c r="V546" s="25">
        <v>0</v>
      </c>
      <c r="W546" s="25">
        <v>0</v>
      </c>
      <c r="X546" s="25">
        <v>1</v>
      </c>
      <c r="Y546" s="25">
        <v>0</v>
      </c>
      <c r="Z546" s="25">
        <v>0</v>
      </c>
      <c r="AA546" s="25">
        <v>0</v>
      </c>
      <c r="AB546" s="25">
        <v>0</v>
      </c>
      <c r="AC546" s="25">
        <v>0</v>
      </c>
      <c r="AD546" s="25">
        <v>0</v>
      </c>
      <c r="AE546" s="25">
        <v>1</v>
      </c>
      <c r="AF546" s="25" t="s">
        <v>131</v>
      </c>
    </row>
    <row r="547" spans="1:32" s="25" customFormat="1" x14ac:dyDescent="0.25">
      <c r="A547" s="25" t="s">
        <v>171</v>
      </c>
      <c r="B547" s="25">
        <f t="shared" si="21"/>
        <v>3020</v>
      </c>
      <c r="C547" s="25" t="s">
        <v>12</v>
      </c>
      <c r="D547" s="25">
        <v>0</v>
      </c>
      <c r="E547" s="25">
        <v>0</v>
      </c>
      <c r="F547" s="25">
        <v>256</v>
      </c>
      <c r="G547" s="25">
        <v>222</v>
      </c>
      <c r="H547" s="27">
        <v>0</v>
      </c>
      <c r="I547" s="27">
        <v>0</v>
      </c>
      <c r="J547" s="27">
        <v>0</v>
      </c>
      <c r="K547" s="27">
        <v>0</v>
      </c>
      <c r="L547" s="27">
        <v>1</v>
      </c>
      <c r="M547" s="27">
        <v>0</v>
      </c>
      <c r="N547" s="27">
        <v>0</v>
      </c>
      <c r="O547" s="27">
        <v>0</v>
      </c>
      <c r="P547" s="25">
        <v>700</v>
      </c>
      <c r="Q547" s="25">
        <v>560</v>
      </c>
      <c r="R547" s="25" t="s">
        <v>87</v>
      </c>
      <c r="S547" s="25" t="s">
        <v>89</v>
      </c>
      <c r="T547" s="25">
        <v>0</v>
      </c>
      <c r="U547" s="25">
        <v>0</v>
      </c>
      <c r="V547" s="25">
        <v>0</v>
      </c>
      <c r="W547" s="25">
        <v>0</v>
      </c>
      <c r="X547" s="25">
        <v>1</v>
      </c>
      <c r="Y547" s="25">
        <v>0</v>
      </c>
      <c r="Z547" s="25">
        <v>0</v>
      </c>
      <c r="AA547" s="25">
        <v>0</v>
      </c>
      <c r="AB547" s="25">
        <v>0</v>
      </c>
      <c r="AC547" s="25">
        <v>0</v>
      </c>
      <c r="AD547" s="25">
        <v>0</v>
      </c>
      <c r="AE547" s="25">
        <v>1</v>
      </c>
      <c r="AF547" s="25" t="s">
        <v>131</v>
      </c>
    </row>
    <row r="548" spans="1:32" s="25" customFormat="1" x14ac:dyDescent="0.25">
      <c r="A548" s="25" t="s">
        <v>171</v>
      </c>
      <c r="B548" s="25">
        <f t="shared" si="21"/>
        <v>3030</v>
      </c>
      <c r="C548" s="25" t="s">
        <v>12</v>
      </c>
      <c r="D548" s="25">
        <v>0</v>
      </c>
      <c r="E548" s="25">
        <v>0</v>
      </c>
      <c r="F548" s="25">
        <v>256</v>
      </c>
      <c r="G548" s="25">
        <v>222</v>
      </c>
      <c r="H548" s="27">
        <v>0</v>
      </c>
      <c r="I548" s="27">
        <v>0</v>
      </c>
      <c r="J548" s="27">
        <v>0</v>
      </c>
      <c r="K548" s="27">
        <v>0</v>
      </c>
      <c r="L548" s="27">
        <v>1</v>
      </c>
      <c r="M548" s="27">
        <v>0</v>
      </c>
      <c r="N548" s="27">
        <v>0</v>
      </c>
      <c r="O548" s="27">
        <v>0</v>
      </c>
      <c r="P548" s="25">
        <v>700</v>
      </c>
      <c r="Q548" s="25">
        <v>560</v>
      </c>
      <c r="R548" s="25" t="s">
        <v>87</v>
      </c>
      <c r="S548" s="25" t="s">
        <v>89</v>
      </c>
      <c r="T548" s="25">
        <v>0</v>
      </c>
      <c r="U548" s="25">
        <v>0</v>
      </c>
      <c r="V548" s="25">
        <v>0</v>
      </c>
      <c r="W548" s="25">
        <v>0</v>
      </c>
      <c r="X548" s="25">
        <v>1</v>
      </c>
      <c r="Y548" s="25">
        <v>0</v>
      </c>
      <c r="Z548" s="25">
        <v>0</v>
      </c>
      <c r="AA548" s="25">
        <v>0</v>
      </c>
      <c r="AB548" s="25">
        <v>0</v>
      </c>
      <c r="AC548" s="25">
        <v>0</v>
      </c>
      <c r="AD548" s="25">
        <v>0</v>
      </c>
      <c r="AE548" s="25">
        <v>1</v>
      </c>
      <c r="AF548" s="25" t="s">
        <v>131</v>
      </c>
    </row>
    <row r="549" spans="1:32" s="25" customFormat="1" x14ac:dyDescent="0.25">
      <c r="A549" s="25" t="s">
        <v>171</v>
      </c>
      <c r="B549" s="25">
        <f t="shared" si="21"/>
        <v>3040</v>
      </c>
      <c r="C549" s="25" t="s">
        <v>12</v>
      </c>
      <c r="D549" s="25">
        <v>0</v>
      </c>
      <c r="E549" s="25">
        <v>0</v>
      </c>
      <c r="F549" s="25">
        <v>256</v>
      </c>
      <c r="G549" s="25">
        <v>222</v>
      </c>
      <c r="H549" s="27">
        <v>0</v>
      </c>
      <c r="I549" s="27">
        <v>0</v>
      </c>
      <c r="J549" s="27">
        <v>0</v>
      </c>
      <c r="K549" s="27">
        <v>0</v>
      </c>
      <c r="L549" s="27">
        <v>1</v>
      </c>
      <c r="M549" s="27">
        <v>0</v>
      </c>
      <c r="N549" s="27">
        <v>0</v>
      </c>
      <c r="O549" s="27">
        <v>0</v>
      </c>
      <c r="P549" s="25">
        <v>700</v>
      </c>
      <c r="Q549" s="25">
        <v>560</v>
      </c>
      <c r="R549" s="25" t="s">
        <v>87</v>
      </c>
      <c r="S549" s="25" t="s">
        <v>89</v>
      </c>
      <c r="T549" s="25">
        <v>0</v>
      </c>
      <c r="U549" s="25">
        <v>0</v>
      </c>
      <c r="V549" s="25">
        <v>0</v>
      </c>
      <c r="W549" s="25">
        <v>0</v>
      </c>
      <c r="X549" s="25">
        <v>1</v>
      </c>
      <c r="Y549" s="25">
        <v>0</v>
      </c>
      <c r="Z549" s="25">
        <v>0</v>
      </c>
      <c r="AA549" s="25">
        <v>0</v>
      </c>
      <c r="AB549" s="25">
        <v>0</v>
      </c>
      <c r="AC549" s="25">
        <v>0</v>
      </c>
      <c r="AD549" s="25">
        <v>0</v>
      </c>
      <c r="AE549" s="25">
        <v>1</v>
      </c>
      <c r="AF549" s="25" t="s">
        <v>131</v>
      </c>
    </row>
    <row r="550" spans="1:32" s="25" customFormat="1" x14ac:dyDescent="0.25">
      <c r="A550" s="25" t="s">
        <v>171</v>
      </c>
      <c r="B550" s="25">
        <f t="shared" si="21"/>
        <v>3050</v>
      </c>
      <c r="C550" s="25" t="s">
        <v>12</v>
      </c>
      <c r="D550" s="25">
        <v>0</v>
      </c>
      <c r="E550" s="25">
        <v>0</v>
      </c>
      <c r="F550" s="25">
        <v>256</v>
      </c>
      <c r="G550" s="25">
        <v>222</v>
      </c>
      <c r="H550" s="27">
        <v>0</v>
      </c>
      <c r="I550" s="27">
        <v>0</v>
      </c>
      <c r="J550" s="27">
        <v>0</v>
      </c>
      <c r="K550" s="27">
        <v>0</v>
      </c>
      <c r="L550" s="27">
        <v>1</v>
      </c>
      <c r="M550" s="27">
        <v>0</v>
      </c>
      <c r="N550" s="27">
        <v>0</v>
      </c>
      <c r="O550" s="27">
        <v>0</v>
      </c>
      <c r="P550" s="25">
        <v>700</v>
      </c>
      <c r="Q550" s="25">
        <v>560</v>
      </c>
      <c r="R550" s="25" t="s">
        <v>87</v>
      </c>
      <c r="S550" s="25" t="s">
        <v>89</v>
      </c>
      <c r="T550" s="25">
        <v>0</v>
      </c>
      <c r="U550" s="25">
        <v>0</v>
      </c>
      <c r="V550" s="25">
        <v>0</v>
      </c>
      <c r="W550" s="25">
        <v>0</v>
      </c>
      <c r="X550" s="25">
        <v>1</v>
      </c>
      <c r="Y550" s="25">
        <v>0</v>
      </c>
      <c r="Z550" s="25">
        <v>0</v>
      </c>
      <c r="AA550" s="25">
        <v>0</v>
      </c>
      <c r="AB550" s="25">
        <v>0</v>
      </c>
      <c r="AC550" s="25">
        <v>0</v>
      </c>
      <c r="AD550" s="25">
        <v>0</v>
      </c>
      <c r="AE550" s="25">
        <v>1</v>
      </c>
      <c r="AF550" s="25" t="s">
        <v>131</v>
      </c>
    </row>
    <row r="551" spans="1:32" s="25" customFormat="1" x14ac:dyDescent="0.25">
      <c r="A551" s="25" t="s">
        <v>171</v>
      </c>
      <c r="B551" s="25">
        <f t="shared" si="21"/>
        <v>3060</v>
      </c>
      <c r="C551" s="25" t="s">
        <v>12</v>
      </c>
      <c r="D551" s="25">
        <v>0</v>
      </c>
      <c r="E551" s="25">
        <v>0</v>
      </c>
      <c r="F551" s="25">
        <v>256</v>
      </c>
      <c r="G551" s="25">
        <v>222</v>
      </c>
      <c r="H551" s="27">
        <v>0</v>
      </c>
      <c r="I551" s="27">
        <v>0</v>
      </c>
      <c r="J551" s="27">
        <v>0</v>
      </c>
      <c r="K551" s="27">
        <v>0</v>
      </c>
      <c r="L551" s="27">
        <v>1</v>
      </c>
      <c r="M551" s="27">
        <v>0</v>
      </c>
      <c r="N551" s="27">
        <v>0</v>
      </c>
      <c r="O551" s="27">
        <v>0</v>
      </c>
      <c r="P551" s="25">
        <v>700</v>
      </c>
      <c r="Q551" s="25">
        <v>560</v>
      </c>
      <c r="R551" s="25" t="s">
        <v>87</v>
      </c>
      <c r="S551" s="25" t="s">
        <v>89</v>
      </c>
      <c r="T551" s="25">
        <v>0</v>
      </c>
      <c r="U551" s="25">
        <v>0</v>
      </c>
      <c r="V551" s="25">
        <v>0</v>
      </c>
      <c r="W551" s="25">
        <v>0</v>
      </c>
      <c r="X551" s="25">
        <v>1</v>
      </c>
      <c r="Y551" s="25">
        <v>0</v>
      </c>
      <c r="Z551" s="25">
        <v>0</v>
      </c>
      <c r="AA551" s="25">
        <v>0</v>
      </c>
      <c r="AB551" s="25">
        <v>0</v>
      </c>
      <c r="AC551" s="25">
        <v>0</v>
      </c>
      <c r="AD551" s="25">
        <v>0</v>
      </c>
      <c r="AE551" s="25">
        <v>1</v>
      </c>
      <c r="AF551" s="25" t="s">
        <v>131</v>
      </c>
    </row>
    <row r="552" spans="1:32" s="25" customFormat="1" x14ac:dyDescent="0.25">
      <c r="A552" s="25" t="s">
        <v>171</v>
      </c>
      <c r="B552" s="25">
        <f t="shared" si="21"/>
        <v>3070</v>
      </c>
      <c r="C552" s="25" t="s">
        <v>12</v>
      </c>
      <c r="D552" s="25">
        <v>0</v>
      </c>
      <c r="E552" s="25">
        <v>0</v>
      </c>
      <c r="F552" s="25">
        <v>256</v>
      </c>
      <c r="G552" s="25">
        <v>222</v>
      </c>
      <c r="H552" s="27">
        <v>0</v>
      </c>
      <c r="I552" s="27">
        <v>0</v>
      </c>
      <c r="J552" s="27">
        <v>0</v>
      </c>
      <c r="K552" s="27">
        <v>0</v>
      </c>
      <c r="L552" s="27">
        <v>1</v>
      </c>
      <c r="M552" s="27">
        <v>0</v>
      </c>
      <c r="N552" s="27">
        <v>0</v>
      </c>
      <c r="O552" s="27">
        <v>0</v>
      </c>
      <c r="P552" s="25">
        <v>700</v>
      </c>
      <c r="Q552" s="25">
        <v>560</v>
      </c>
      <c r="R552" s="25" t="s">
        <v>87</v>
      </c>
      <c r="S552" s="25" t="s">
        <v>89</v>
      </c>
      <c r="T552" s="25">
        <v>0</v>
      </c>
      <c r="U552" s="25">
        <v>0</v>
      </c>
      <c r="V552" s="25">
        <v>0</v>
      </c>
      <c r="W552" s="25">
        <v>0</v>
      </c>
      <c r="X552" s="25">
        <v>1</v>
      </c>
      <c r="Y552" s="25">
        <v>0</v>
      </c>
      <c r="Z552" s="25">
        <v>0</v>
      </c>
      <c r="AA552" s="25">
        <v>0</v>
      </c>
      <c r="AB552" s="25">
        <v>0</v>
      </c>
      <c r="AC552" s="25">
        <v>0</v>
      </c>
      <c r="AD552" s="25">
        <v>0</v>
      </c>
      <c r="AE552" s="25">
        <v>1</v>
      </c>
      <c r="AF552" s="25" t="s">
        <v>131</v>
      </c>
    </row>
    <row r="553" spans="1:32" s="25" customFormat="1" x14ac:dyDescent="0.25">
      <c r="A553" s="25" t="s">
        <v>171</v>
      </c>
      <c r="B553" s="25">
        <f t="shared" si="21"/>
        <v>3080</v>
      </c>
      <c r="C553" s="25" t="s">
        <v>12</v>
      </c>
      <c r="D553" s="25">
        <v>0</v>
      </c>
      <c r="E553" s="25">
        <v>0</v>
      </c>
      <c r="F553" s="25">
        <v>256</v>
      </c>
      <c r="G553" s="25">
        <v>222</v>
      </c>
      <c r="H553" s="27">
        <v>0</v>
      </c>
      <c r="I553" s="27">
        <v>0</v>
      </c>
      <c r="J553" s="27">
        <v>0</v>
      </c>
      <c r="K553" s="27">
        <v>0</v>
      </c>
      <c r="L553" s="27">
        <v>1</v>
      </c>
      <c r="M553" s="27">
        <v>0</v>
      </c>
      <c r="N553" s="27">
        <v>0</v>
      </c>
      <c r="O553" s="27">
        <v>0</v>
      </c>
      <c r="P553" s="25">
        <v>700</v>
      </c>
      <c r="Q553" s="25">
        <v>560</v>
      </c>
      <c r="R553" s="25" t="s">
        <v>87</v>
      </c>
      <c r="S553" s="25" t="s">
        <v>89</v>
      </c>
      <c r="T553" s="25">
        <v>0</v>
      </c>
      <c r="U553" s="25">
        <v>0</v>
      </c>
      <c r="V553" s="25">
        <v>0</v>
      </c>
      <c r="W553" s="25">
        <v>0</v>
      </c>
      <c r="X553" s="25">
        <v>1</v>
      </c>
      <c r="Y553" s="25">
        <v>0</v>
      </c>
      <c r="Z553" s="25">
        <v>0</v>
      </c>
      <c r="AA553" s="25">
        <v>0</v>
      </c>
      <c r="AB553" s="25">
        <v>0</v>
      </c>
      <c r="AC553" s="25">
        <v>0</v>
      </c>
      <c r="AD553" s="25">
        <v>0</v>
      </c>
      <c r="AE553" s="25">
        <v>1</v>
      </c>
      <c r="AF553" s="25" t="s">
        <v>131</v>
      </c>
    </row>
    <row r="554" spans="1:32" s="25" customFormat="1" x14ac:dyDescent="0.25">
      <c r="A554" s="25" t="s">
        <v>171</v>
      </c>
      <c r="B554" s="25">
        <f t="shared" si="21"/>
        <v>3090</v>
      </c>
      <c r="C554" s="25" t="s">
        <v>12</v>
      </c>
      <c r="D554" s="25">
        <v>0</v>
      </c>
      <c r="E554" s="25">
        <v>0</v>
      </c>
      <c r="F554" s="25">
        <v>256</v>
      </c>
      <c r="G554" s="25">
        <v>222</v>
      </c>
      <c r="H554" s="27">
        <v>0</v>
      </c>
      <c r="I554" s="27">
        <v>0</v>
      </c>
      <c r="J554" s="27">
        <v>0</v>
      </c>
      <c r="K554" s="27">
        <v>0</v>
      </c>
      <c r="L554" s="27">
        <v>1</v>
      </c>
      <c r="M554" s="27">
        <v>0</v>
      </c>
      <c r="N554" s="27">
        <v>0</v>
      </c>
      <c r="O554" s="27">
        <v>0</v>
      </c>
      <c r="P554" s="25">
        <v>700</v>
      </c>
      <c r="Q554" s="25">
        <v>560</v>
      </c>
      <c r="R554" s="25" t="s">
        <v>87</v>
      </c>
      <c r="S554" s="25" t="s">
        <v>89</v>
      </c>
      <c r="T554" s="25">
        <v>0</v>
      </c>
      <c r="U554" s="25">
        <v>0</v>
      </c>
      <c r="V554" s="25">
        <v>0</v>
      </c>
      <c r="W554" s="25">
        <v>0</v>
      </c>
      <c r="X554" s="25">
        <v>1</v>
      </c>
      <c r="Y554" s="25">
        <v>0</v>
      </c>
      <c r="Z554" s="25">
        <v>0</v>
      </c>
      <c r="AA554" s="25">
        <v>0</v>
      </c>
      <c r="AB554" s="25">
        <v>0</v>
      </c>
      <c r="AC554" s="25">
        <v>0</v>
      </c>
      <c r="AD554" s="25">
        <v>0</v>
      </c>
      <c r="AE554" s="25">
        <v>1</v>
      </c>
      <c r="AF554" s="25" t="s">
        <v>131</v>
      </c>
    </row>
    <row r="555" spans="1:32" s="25" customFormat="1" x14ac:dyDescent="0.25">
      <c r="A555" s="25" t="s">
        <v>171</v>
      </c>
      <c r="B555" s="25">
        <f t="shared" si="21"/>
        <v>3100</v>
      </c>
      <c r="C555" s="25" t="s">
        <v>12</v>
      </c>
      <c r="D555" s="25">
        <v>0</v>
      </c>
      <c r="E555" s="25">
        <v>0</v>
      </c>
      <c r="F555" s="25">
        <v>256</v>
      </c>
      <c r="G555" s="25">
        <v>222</v>
      </c>
      <c r="H555" s="27">
        <v>0</v>
      </c>
      <c r="I555" s="27">
        <v>0</v>
      </c>
      <c r="J555" s="27">
        <v>0</v>
      </c>
      <c r="K555" s="27">
        <v>0</v>
      </c>
      <c r="L555" s="27">
        <v>1</v>
      </c>
      <c r="M555" s="27">
        <v>0</v>
      </c>
      <c r="N555" s="27">
        <v>0</v>
      </c>
      <c r="O555" s="27">
        <v>0</v>
      </c>
      <c r="P555" s="25">
        <v>700</v>
      </c>
      <c r="Q555" s="25">
        <v>560</v>
      </c>
      <c r="R555" s="25" t="s">
        <v>87</v>
      </c>
      <c r="S555" s="25" t="s">
        <v>89</v>
      </c>
      <c r="T555" s="25">
        <v>0</v>
      </c>
      <c r="U555" s="25">
        <v>0</v>
      </c>
      <c r="V555" s="25">
        <v>0</v>
      </c>
      <c r="W555" s="25">
        <v>0</v>
      </c>
      <c r="X555" s="25">
        <v>1</v>
      </c>
      <c r="Y555" s="25">
        <v>0</v>
      </c>
      <c r="Z555" s="25">
        <v>0</v>
      </c>
      <c r="AA555" s="25">
        <v>0</v>
      </c>
      <c r="AB555" s="25">
        <v>0</v>
      </c>
      <c r="AC555" s="25">
        <v>0</v>
      </c>
      <c r="AD555" s="25">
        <v>0</v>
      </c>
      <c r="AE555" s="25">
        <v>1</v>
      </c>
      <c r="AF555" s="25" t="s">
        <v>131</v>
      </c>
    </row>
    <row r="556" spans="1:32" s="25" customFormat="1" x14ac:dyDescent="0.25">
      <c r="A556" s="25" t="s">
        <v>171</v>
      </c>
      <c r="B556" s="25">
        <f t="shared" si="21"/>
        <v>3110</v>
      </c>
      <c r="C556" s="25" t="s">
        <v>12</v>
      </c>
      <c r="D556" s="25">
        <v>0</v>
      </c>
      <c r="E556" s="25">
        <v>0</v>
      </c>
      <c r="F556" s="25">
        <v>256</v>
      </c>
      <c r="G556" s="25">
        <v>222</v>
      </c>
      <c r="H556" s="27">
        <v>0</v>
      </c>
      <c r="I556" s="27">
        <v>0</v>
      </c>
      <c r="J556" s="27">
        <v>0</v>
      </c>
      <c r="K556" s="27">
        <v>0</v>
      </c>
      <c r="L556" s="27">
        <v>1</v>
      </c>
      <c r="M556" s="27">
        <v>0</v>
      </c>
      <c r="N556" s="27">
        <v>0</v>
      </c>
      <c r="O556" s="27">
        <v>0</v>
      </c>
      <c r="P556" s="25">
        <v>700</v>
      </c>
      <c r="Q556" s="25">
        <v>560</v>
      </c>
      <c r="R556" s="25" t="s">
        <v>87</v>
      </c>
      <c r="S556" s="25" t="s">
        <v>89</v>
      </c>
      <c r="T556" s="25">
        <v>0</v>
      </c>
      <c r="U556" s="25">
        <v>0</v>
      </c>
      <c r="V556" s="25">
        <v>0</v>
      </c>
      <c r="W556" s="25">
        <v>0</v>
      </c>
      <c r="X556" s="25">
        <v>1</v>
      </c>
      <c r="Y556" s="25">
        <v>0</v>
      </c>
      <c r="Z556" s="25">
        <v>0</v>
      </c>
      <c r="AA556" s="25">
        <v>0</v>
      </c>
      <c r="AB556" s="25">
        <v>0</v>
      </c>
      <c r="AC556" s="25">
        <v>0</v>
      </c>
      <c r="AD556" s="25">
        <v>0</v>
      </c>
      <c r="AE556" s="25">
        <v>1</v>
      </c>
      <c r="AF556" s="25" t="s">
        <v>131</v>
      </c>
    </row>
    <row r="557" spans="1:32" s="25" customFormat="1" x14ac:dyDescent="0.25">
      <c r="A557" s="25" t="s">
        <v>171</v>
      </c>
      <c r="B557" s="25">
        <f t="shared" si="21"/>
        <v>3120</v>
      </c>
      <c r="C557" s="25" t="s">
        <v>12</v>
      </c>
      <c r="D557" s="25">
        <v>0</v>
      </c>
      <c r="E557" s="25">
        <v>0</v>
      </c>
      <c r="F557" s="25">
        <v>256</v>
      </c>
      <c r="G557" s="25">
        <v>222</v>
      </c>
      <c r="H557" s="27">
        <v>0</v>
      </c>
      <c r="I557" s="27">
        <v>0</v>
      </c>
      <c r="J557" s="27">
        <v>0</v>
      </c>
      <c r="K557" s="27">
        <v>0</v>
      </c>
      <c r="L557" s="27">
        <v>1</v>
      </c>
      <c r="M557" s="27">
        <v>0</v>
      </c>
      <c r="N557" s="27">
        <v>0</v>
      </c>
      <c r="O557" s="27">
        <v>0</v>
      </c>
      <c r="P557" s="25">
        <v>700</v>
      </c>
      <c r="Q557" s="25">
        <v>560</v>
      </c>
      <c r="R557" s="25" t="s">
        <v>87</v>
      </c>
      <c r="S557" s="25" t="s">
        <v>89</v>
      </c>
      <c r="T557" s="25">
        <v>0</v>
      </c>
      <c r="U557" s="25">
        <v>0</v>
      </c>
      <c r="V557" s="25">
        <v>0</v>
      </c>
      <c r="W557" s="25">
        <v>0</v>
      </c>
      <c r="X557" s="25">
        <v>1</v>
      </c>
      <c r="Y557" s="25">
        <v>0</v>
      </c>
      <c r="Z557" s="25">
        <v>0</v>
      </c>
      <c r="AA557" s="25">
        <v>0</v>
      </c>
      <c r="AB557" s="25">
        <v>0</v>
      </c>
      <c r="AC557" s="25">
        <v>0</v>
      </c>
      <c r="AD557" s="25">
        <v>0</v>
      </c>
      <c r="AE557" s="25">
        <v>1</v>
      </c>
      <c r="AF557" s="25" t="s">
        <v>131</v>
      </c>
    </row>
    <row r="558" spans="1:32" s="25" customFormat="1" x14ac:dyDescent="0.25">
      <c r="A558" s="25" t="s">
        <v>171</v>
      </c>
      <c r="B558" s="25">
        <f t="shared" si="21"/>
        <v>3130</v>
      </c>
      <c r="C558" s="25" t="s">
        <v>12</v>
      </c>
      <c r="D558" s="25">
        <v>0</v>
      </c>
      <c r="E558" s="25">
        <v>0</v>
      </c>
      <c r="F558" s="25">
        <v>256</v>
      </c>
      <c r="G558" s="25">
        <v>222</v>
      </c>
      <c r="H558" s="27">
        <v>0</v>
      </c>
      <c r="I558" s="27">
        <v>0</v>
      </c>
      <c r="J558" s="27">
        <v>0</v>
      </c>
      <c r="K558" s="27">
        <v>0</v>
      </c>
      <c r="L558" s="27">
        <v>1</v>
      </c>
      <c r="M558" s="27">
        <v>0</v>
      </c>
      <c r="N558" s="27">
        <v>0</v>
      </c>
      <c r="O558" s="27">
        <v>0</v>
      </c>
      <c r="P558" s="25">
        <v>700</v>
      </c>
      <c r="Q558" s="25">
        <v>560</v>
      </c>
      <c r="R558" s="25" t="s">
        <v>87</v>
      </c>
      <c r="S558" s="25" t="s">
        <v>89</v>
      </c>
      <c r="T558" s="25">
        <v>0</v>
      </c>
      <c r="U558" s="25">
        <v>0</v>
      </c>
      <c r="V558" s="25">
        <v>0</v>
      </c>
      <c r="W558" s="25">
        <v>0</v>
      </c>
      <c r="X558" s="25">
        <v>1</v>
      </c>
      <c r="Y558" s="25">
        <v>0</v>
      </c>
      <c r="Z558" s="25">
        <v>0</v>
      </c>
      <c r="AA558" s="25">
        <v>0</v>
      </c>
      <c r="AB558" s="25">
        <v>0</v>
      </c>
      <c r="AC558" s="25">
        <v>0</v>
      </c>
      <c r="AD558" s="25">
        <v>0</v>
      </c>
      <c r="AE558" s="25">
        <v>1</v>
      </c>
      <c r="AF558" s="25" t="s">
        <v>131</v>
      </c>
    </row>
    <row r="559" spans="1:32" s="25" customFormat="1" x14ac:dyDescent="0.25">
      <c r="A559" s="25" t="s">
        <v>171</v>
      </c>
      <c r="B559" s="25">
        <f t="shared" si="21"/>
        <v>3140</v>
      </c>
      <c r="C559" s="25" t="s">
        <v>12</v>
      </c>
      <c r="D559" s="25">
        <v>0</v>
      </c>
      <c r="E559" s="25">
        <v>0</v>
      </c>
      <c r="F559" s="25">
        <v>256</v>
      </c>
      <c r="G559" s="25">
        <v>222</v>
      </c>
      <c r="H559" s="27">
        <v>0</v>
      </c>
      <c r="I559" s="27">
        <v>0</v>
      </c>
      <c r="J559" s="27">
        <v>0</v>
      </c>
      <c r="K559" s="27">
        <v>0</v>
      </c>
      <c r="L559" s="27">
        <v>1</v>
      </c>
      <c r="M559" s="27">
        <v>0</v>
      </c>
      <c r="N559" s="27">
        <v>0</v>
      </c>
      <c r="O559" s="27">
        <v>0</v>
      </c>
      <c r="P559" s="25">
        <v>700</v>
      </c>
      <c r="Q559" s="25">
        <v>560</v>
      </c>
      <c r="R559" s="25" t="s">
        <v>87</v>
      </c>
      <c r="S559" s="25" t="s">
        <v>89</v>
      </c>
      <c r="T559" s="25">
        <v>0</v>
      </c>
      <c r="U559" s="25">
        <v>0</v>
      </c>
      <c r="V559" s="25">
        <v>0</v>
      </c>
      <c r="W559" s="25">
        <v>0</v>
      </c>
      <c r="X559" s="25">
        <v>1</v>
      </c>
      <c r="Y559" s="25">
        <v>0</v>
      </c>
      <c r="Z559" s="25">
        <v>0</v>
      </c>
      <c r="AA559" s="25">
        <v>0</v>
      </c>
      <c r="AB559" s="25">
        <v>0</v>
      </c>
      <c r="AC559" s="25">
        <v>0</v>
      </c>
      <c r="AD559" s="25">
        <v>0</v>
      </c>
      <c r="AE559" s="25">
        <v>1</v>
      </c>
      <c r="AF559" s="25" t="s">
        <v>131</v>
      </c>
    </row>
    <row r="560" spans="1:32" s="25" customFormat="1" x14ac:dyDescent="0.25">
      <c r="A560" s="25" t="s">
        <v>171</v>
      </c>
      <c r="B560" s="25">
        <f t="shared" si="21"/>
        <v>3150</v>
      </c>
      <c r="C560" s="25" t="s">
        <v>12</v>
      </c>
      <c r="D560" s="25">
        <v>0</v>
      </c>
      <c r="E560" s="25">
        <v>0</v>
      </c>
      <c r="F560" s="25">
        <v>256</v>
      </c>
      <c r="G560" s="25">
        <v>222</v>
      </c>
      <c r="H560" s="27">
        <v>0</v>
      </c>
      <c r="I560" s="27">
        <v>0</v>
      </c>
      <c r="J560" s="27">
        <v>0</v>
      </c>
      <c r="K560" s="27">
        <v>0</v>
      </c>
      <c r="L560" s="27">
        <v>1</v>
      </c>
      <c r="M560" s="27">
        <v>0</v>
      </c>
      <c r="N560" s="27">
        <v>0</v>
      </c>
      <c r="O560" s="27">
        <v>0</v>
      </c>
      <c r="P560" s="25">
        <v>700</v>
      </c>
      <c r="Q560" s="25">
        <v>560</v>
      </c>
      <c r="R560" s="25" t="s">
        <v>87</v>
      </c>
      <c r="S560" s="25" t="s">
        <v>89</v>
      </c>
      <c r="T560" s="25">
        <v>0</v>
      </c>
      <c r="U560" s="25">
        <v>0</v>
      </c>
      <c r="V560" s="25">
        <v>0</v>
      </c>
      <c r="W560" s="25">
        <v>0</v>
      </c>
      <c r="X560" s="25">
        <v>1</v>
      </c>
      <c r="Y560" s="25">
        <v>0</v>
      </c>
      <c r="Z560" s="25">
        <v>0</v>
      </c>
      <c r="AA560" s="25">
        <v>0</v>
      </c>
      <c r="AB560" s="25">
        <v>0</v>
      </c>
      <c r="AC560" s="25">
        <v>0</v>
      </c>
      <c r="AD560" s="25">
        <v>0</v>
      </c>
      <c r="AE560" s="25">
        <v>1</v>
      </c>
      <c r="AF560" s="25" t="s">
        <v>131</v>
      </c>
    </row>
    <row r="561" spans="1:32" s="25" customFormat="1" x14ac:dyDescent="0.25">
      <c r="A561" s="25" t="s">
        <v>171</v>
      </c>
      <c r="B561" s="25">
        <f t="shared" si="21"/>
        <v>3160</v>
      </c>
      <c r="C561" s="25" t="s">
        <v>12</v>
      </c>
      <c r="D561" s="25">
        <v>0</v>
      </c>
      <c r="E561" s="25">
        <v>0</v>
      </c>
      <c r="F561" s="25">
        <v>256</v>
      </c>
      <c r="G561" s="25">
        <v>222</v>
      </c>
      <c r="H561" s="27">
        <v>0</v>
      </c>
      <c r="I561" s="27">
        <v>0</v>
      </c>
      <c r="J561" s="27">
        <v>0</v>
      </c>
      <c r="K561" s="27">
        <v>0</v>
      </c>
      <c r="L561" s="27">
        <v>1</v>
      </c>
      <c r="M561" s="27">
        <v>0</v>
      </c>
      <c r="N561" s="27">
        <v>0</v>
      </c>
      <c r="O561" s="27">
        <v>0</v>
      </c>
      <c r="P561" s="25">
        <v>700</v>
      </c>
      <c r="Q561" s="25">
        <v>560</v>
      </c>
      <c r="R561" s="25" t="s">
        <v>87</v>
      </c>
      <c r="S561" s="25" t="s">
        <v>89</v>
      </c>
      <c r="T561" s="25">
        <v>0</v>
      </c>
      <c r="U561" s="25">
        <v>0</v>
      </c>
      <c r="V561" s="25">
        <v>0</v>
      </c>
      <c r="W561" s="25">
        <v>0</v>
      </c>
      <c r="X561" s="25">
        <v>1</v>
      </c>
      <c r="Y561" s="25">
        <v>0</v>
      </c>
      <c r="Z561" s="25">
        <v>0</v>
      </c>
      <c r="AA561" s="25">
        <v>0</v>
      </c>
      <c r="AB561" s="25">
        <v>0</v>
      </c>
      <c r="AC561" s="25">
        <v>0</v>
      </c>
      <c r="AD561" s="25">
        <v>0</v>
      </c>
      <c r="AE561" s="25">
        <v>1</v>
      </c>
      <c r="AF561" s="25" t="s">
        <v>131</v>
      </c>
    </row>
    <row r="562" spans="1:32" s="25" customFormat="1" x14ac:dyDescent="0.25">
      <c r="A562" s="25" t="s">
        <v>171</v>
      </c>
      <c r="B562" s="25">
        <f t="shared" si="21"/>
        <v>3170</v>
      </c>
      <c r="C562" s="25" t="s">
        <v>12</v>
      </c>
      <c r="D562" s="25">
        <v>0</v>
      </c>
      <c r="E562" s="25">
        <v>0</v>
      </c>
      <c r="F562" s="25">
        <v>256</v>
      </c>
      <c r="G562" s="25">
        <v>222</v>
      </c>
      <c r="H562" s="27">
        <v>0</v>
      </c>
      <c r="I562" s="27">
        <v>0</v>
      </c>
      <c r="J562" s="27">
        <v>0</v>
      </c>
      <c r="K562" s="27">
        <v>0</v>
      </c>
      <c r="L562" s="27">
        <v>1</v>
      </c>
      <c r="M562" s="27">
        <v>0</v>
      </c>
      <c r="N562" s="27">
        <v>0</v>
      </c>
      <c r="O562" s="27">
        <v>0</v>
      </c>
      <c r="P562" s="25">
        <v>700</v>
      </c>
      <c r="Q562" s="25">
        <v>560</v>
      </c>
      <c r="R562" s="25" t="s">
        <v>87</v>
      </c>
      <c r="S562" s="25" t="s">
        <v>89</v>
      </c>
      <c r="T562" s="25">
        <v>0</v>
      </c>
      <c r="U562" s="25">
        <v>0</v>
      </c>
      <c r="V562" s="25">
        <v>0</v>
      </c>
      <c r="W562" s="25">
        <v>0</v>
      </c>
      <c r="X562" s="25">
        <v>1</v>
      </c>
      <c r="Y562" s="25">
        <v>0</v>
      </c>
      <c r="Z562" s="25">
        <v>0</v>
      </c>
      <c r="AA562" s="25">
        <v>0</v>
      </c>
      <c r="AB562" s="25">
        <v>0</v>
      </c>
      <c r="AC562" s="25">
        <v>0</v>
      </c>
      <c r="AD562" s="25">
        <v>0</v>
      </c>
      <c r="AE562" s="25">
        <v>1</v>
      </c>
      <c r="AF562" s="25" t="s">
        <v>131</v>
      </c>
    </row>
    <row r="563" spans="1:32" s="25" customFormat="1" x14ac:dyDescent="0.25">
      <c r="A563" s="25" t="s">
        <v>171</v>
      </c>
      <c r="B563" s="25">
        <f t="shared" si="21"/>
        <v>3180</v>
      </c>
      <c r="C563" s="25" t="s">
        <v>12</v>
      </c>
      <c r="D563" s="25">
        <v>0</v>
      </c>
      <c r="E563" s="25">
        <v>0</v>
      </c>
      <c r="F563" s="25">
        <v>256</v>
      </c>
      <c r="G563" s="25">
        <v>222</v>
      </c>
      <c r="H563" s="27">
        <v>0</v>
      </c>
      <c r="I563" s="27">
        <v>0</v>
      </c>
      <c r="J563" s="27">
        <v>0</v>
      </c>
      <c r="K563" s="27">
        <v>0</v>
      </c>
      <c r="L563" s="27">
        <v>1</v>
      </c>
      <c r="M563" s="27">
        <v>0</v>
      </c>
      <c r="N563" s="27">
        <v>0</v>
      </c>
      <c r="O563" s="27">
        <v>0</v>
      </c>
      <c r="P563" s="25">
        <v>700</v>
      </c>
      <c r="Q563" s="25">
        <v>560</v>
      </c>
      <c r="R563" s="25" t="s">
        <v>87</v>
      </c>
      <c r="S563" s="25" t="s">
        <v>89</v>
      </c>
      <c r="T563" s="25">
        <v>0</v>
      </c>
      <c r="U563" s="25">
        <v>0</v>
      </c>
      <c r="V563" s="25">
        <v>0</v>
      </c>
      <c r="W563" s="25">
        <v>0</v>
      </c>
      <c r="X563" s="25">
        <v>1</v>
      </c>
      <c r="Y563" s="25">
        <v>0</v>
      </c>
      <c r="Z563" s="25">
        <v>0</v>
      </c>
      <c r="AA563" s="25">
        <v>0</v>
      </c>
      <c r="AB563" s="25">
        <v>0</v>
      </c>
      <c r="AC563" s="25">
        <v>0</v>
      </c>
      <c r="AD563" s="25">
        <v>0</v>
      </c>
      <c r="AE563" s="25">
        <v>1</v>
      </c>
      <c r="AF563" s="25" t="s">
        <v>131</v>
      </c>
    </row>
    <row r="564" spans="1:32" s="25" customFormat="1" x14ac:dyDescent="0.25">
      <c r="A564" s="25" t="s">
        <v>171</v>
      </c>
      <c r="B564" s="25">
        <f t="shared" si="21"/>
        <v>3190</v>
      </c>
      <c r="C564" s="25" t="s">
        <v>12</v>
      </c>
      <c r="D564" s="25">
        <v>0</v>
      </c>
      <c r="E564" s="25">
        <v>0</v>
      </c>
      <c r="F564" s="25">
        <v>256</v>
      </c>
      <c r="G564" s="25">
        <v>222</v>
      </c>
      <c r="H564" s="27">
        <v>0</v>
      </c>
      <c r="I564" s="27">
        <v>0</v>
      </c>
      <c r="J564" s="27">
        <v>0</v>
      </c>
      <c r="K564" s="27">
        <v>0</v>
      </c>
      <c r="L564" s="27">
        <v>1</v>
      </c>
      <c r="M564" s="27">
        <v>0</v>
      </c>
      <c r="N564" s="27">
        <v>0</v>
      </c>
      <c r="O564" s="27">
        <v>0</v>
      </c>
      <c r="P564" s="25">
        <v>700</v>
      </c>
      <c r="Q564" s="25">
        <v>560</v>
      </c>
      <c r="R564" s="25" t="s">
        <v>87</v>
      </c>
      <c r="S564" s="25" t="s">
        <v>89</v>
      </c>
      <c r="T564" s="25">
        <v>0</v>
      </c>
      <c r="U564" s="25">
        <v>0</v>
      </c>
      <c r="V564" s="25">
        <v>0</v>
      </c>
      <c r="W564" s="25">
        <v>0</v>
      </c>
      <c r="X564" s="25">
        <v>1</v>
      </c>
      <c r="Y564" s="25">
        <v>0</v>
      </c>
      <c r="Z564" s="25">
        <v>0</v>
      </c>
      <c r="AA564" s="25">
        <v>0</v>
      </c>
      <c r="AB564" s="25">
        <v>0</v>
      </c>
      <c r="AC564" s="25">
        <v>0</v>
      </c>
      <c r="AD564" s="25">
        <v>0</v>
      </c>
      <c r="AE564" s="25">
        <v>1</v>
      </c>
      <c r="AF564" s="25" t="s">
        <v>131</v>
      </c>
    </row>
    <row r="565" spans="1:32" s="25" customFormat="1" x14ac:dyDescent="0.25">
      <c r="A565" s="25" t="s">
        <v>171</v>
      </c>
      <c r="B565" s="25">
        <f t="shared" si="21"/>
        <v>3200</v>
      </c>
      <c r="C565" s="25" t="s">
        <v>12</v>
      </c>
      <c r="D565" s="25">
        <v>0</v>
      </c>
      <c r="E565" s="25">
        <v>0</v>
      </c>
      <c r="F565" s="25">
        <v>256</v>
      </c>
      <c r="G565" s="25">
        <v>222</v>
      </c>
      <c r="H565" s="27">
        <v>0</v>
      </c>
      <c r="I565" s="27">
        <v>0</v>
      </c>
      <c r="J565" s="27">
        <v>0</v>
      </c>
      <c r="K565" s="27">
        <v>0</v>
      </c>
      <c r="L565" s="27">
        <v>1</v>
      </c>
      <c r="M565" s="27">
        <v>0</v>
      </c>
      <c r="N565" s="27">
        <v>0</v>
      </c>
      <c r="O565" s="27">
        <v>0</v>
      </c>
      <c r="P565" s="25">
        <v>700</v>
      </c>
      <c r="Q565" s="25">
        <v>560</v>
      </c>
      <c r="R565" s="25" t="s">
        <v>87</v>
      </c>
      <c r="S565" s="25" t="s">
        <v>89</v>
      </c>
      <c r="T565" s="25">
        <v>0</v>
      </c>
      <c r="U565" s="25">
        <v>0</v>
      </c>
      <c r="V565" s="25">
        <v>0</v>
      </c>
      <c r="W565" s="25">
        <v>0</v>
      </c>
      <c r="X565" s="25">
        <v>1</v>
      </c>
      <c r="Y565" s="25">
        <v>0</v>
      </c>
      <c r="Z565" s="25">
        <v>0</v>
      </c>
      <c r="AA565" s="25">
        <v>0</v>
      </c>
      <c r="AB565" s="25">
        <v>0</v>
      </c>
      <c r="AC565" s="25">
        <v>0</v>
      </c>
      <c r="AD565" s="25">
        <v>0</v>
      </c>
      <c r="AE565" s="25">
        <v>1</v>
      </c>
      <c r="AF565" s="25" t="s">
        <v>131</v>
      </c>
    </row>
    <row r="566" spans="1:32" s="25" customFormat="1" x14ac:dyDescent="0.25">
      <c r="A566" s="25" t="s">
        <v>171</v>
      </c>
      <c r="B566" s="25">
        <f t="shared" si="21"/>
        <v>3210</v>
      </c>
      <c r="C566" s="25" t="s">
        <v>12</v>
      </c>
      <c r="D566" s="25">
        <v>0</v>
      </c>
      <c r="E566" s="25">
        <v>0</v>
      </c>
      <c r="F566" s="25">
        <v>256</v>
      </c>
      <c r="G566" s="25">
        <v>222</v>
      </c>
      <c r="H566" s="27">
        <v>0</v>
      </c>
      <c r="I566" s="27">
        <v>0</v>
      </c>
      <c r="J566" s="27">
        <v>0</v>
      </c>
      <c r="K566" s="27">
        <v>0</v>
      </c>
      <c r="L566" s="27">
        <v>1</v>
      </c>
      <c r="M566" s="27">
        <v>0</v>
      </c>
      <c r="N566" s="27">
        <v>0</v>
      </c>
      <c r="O566" s="27">
        <v>0</v>
      </c>
      <c r="P566" s="25">
        <v>700</v>
      </c>
      <c r="Q566" s="25">
        <v>560</v>
      </c>
      <c r="R566" s="25" t="s">
        <v>87</v>
      </c>
      <c r="S566" s="25" t="s">
        <v>89</v>
      </c>
      <c r="T566" s="25">
        <v>0</v>
      </c>
      <c r="U566" s="25">
        <v>0</v>
      </c>
      <c r="V566" s="25">
        <v>0</v>
      </c>
      <c r="W566" s="25">
        <v>0</v>
      </c>
      <c r="X566" s="25">
        <v>1</v>
      </c>
      <c r="Y566" s="25">
        <v>0</v>
      </c>
      <c r="Z566" s="25">
        <v>0</v>
      </c>
      <c r="AA566" s="25">
        <v>0</v>
      </c>
      <c r="AB566" s="25">
        <v>0</v>
      </c>
      <c r="AC566" s="25">
        <v>0</v>
      </c>
      <c r="AD566" s="25">
        <v>0</v>
      </c>
      <c r="AE566" s="25">
        <v>1</v>
      </c>
      <c r="AF566" s="25" t="s">
        <v>131</v>
      </c>
    </row>
    <row r="567" spans="1:32" s="25" customFormat="1" x14ac:dyDescent="0.25">
      <c r="A567" s="25" t="s">
        <v>171</v>
      </c>
      <c r="B567" s="25">
        <f t="shared" si="21"/>
        <v>3220</v>
      </c>
      <c r="C567" s="25" t="s">
        <v>12</v>
      </c>
      <c r="D567" s="25">
        <v>0</v>
      </c>
      <c r="E567" s="25">
        <v>0</v>
      </c>
      <c r="F567" s="25">
        <v>256</v>
      </c>
      <c r="G567" s="25">
        <v>222</v>
      </c>
      <c r="H567" s="27">
        <v>0</v>
      </c>
      <c r="I567" s="27">
        <v>0</v>
      </c>
      <c r="J567" s="27">
        <v>0</v>
      </c>
      <c r="K567" s="27">
        <v>0</v>
      </c>
      <c r="L567" s="27">
        <v>1</v>
      </c>
      <c r="M567" s="27">
        <v>0</v>
      </c>
      <c r="N567" s="27">
        <v>0</v>
      </c>
      <c r="O567" s="27">
        <v>0</v>
      </c>
      <c r="P567" s="25">
        <v>700</v>
      </c>
      <c r="Q567" s="25">
        <v>560</v>
      </c>
      <c r="R567" s="25" t="s">
        <v>87</v>
      </c>
      <c r="S567" s="25" t="s">
        <v>89</v>
      </c>
      <c r="T567" s="25">
        <v>0</v>
      </c>
      <c r="U567" s="25">
        <v>0</v>
      </c>
      <c r="V567" s="25">
        <v>0</v>
      </c>
      <c r="W567" s="25">
        <v>0</v>
      </c>
      <c r="X567" s="25">
        <v>1</v>
      </c>
      <c r="Y567" s="25">
        <v>0</v>
      </c>
      <c r="Z567" s="25">
        <v>0</v>
      </c>
      <c r="AA567" s="25">
        <v>0</v>
      </c>
      <c r="AB567" s="25">
        <v>0</v>
      </c>
      <c r="AC567" s="25">
        <v>0</v>
      </c>
      <c r="AD567" s="25">
        <v>0</v>
      </c>
      <c r="AE567" s="25">
        <v>1</v>
      </c>
      <c r="AF567" s="25" t="s">
        <v>131</v>
      </c>
    </row>
    <row r="568" spans="1:32" s="25" customFormat="1" x14ac:dyDescent="0.25">
      <c r="A568" s="25" t="s">
        <v>171</v>
      </c>
      <c r="B568" s="25">
        <f t="shared" si="21"/>
        <v>3230</v>
      </c>
      <c r="C568" s="25" t="s">
        <v>12</v>
      </c>
      <c r="D568" s="25">
        <v>0</v>
      </c>
      <c r="E568" s="25">
        <v>0</v>
      </c>
      <c r="F568" s="25">
        <v>256</v>
      </c>
      <c r="G568" s="25">
        <v>222</v>
      </c>
      <c r="H568" s="27">
        <v>0</v>
      </c>
      <c r="I568" s="27">
        <v>0</v>
      </c>
      <c r="J568" s="27">
        <v>0</v>
      </c>
      <c r="K568" s="27">
        <v>0</v>
      </c>
      <c r="L568" s="27">
        <v>1</v>
      </c>
      <c r="M568" s="27">
        <v>0</v>
      </c>
      <c r="N568" s="27">
        <v>0</v>
      </c>
      <c r="O568" s="27">
        <v>0</v>
      </c>
      <c r="P568" s="25">
        <v>700</v>
      </c>
      <c r="Q568" s="25">
        <v>560</v>
      </c>
      <c r="R568" s="25" t="s">
        <v>87</v>
      </c>
      <c r="S568" s="25" t="s">
        <v>89</v>
      </c>
      <c r="T568" s="25">
        <v>0</v>
      </c>
      <c r="U568" s="25">
        <v>0</v>
      </c>
      <c r="V568" s="25">
        <v>0</v>
      </c>
      <c r="W568" s="25">
        <v>0</v>
      </c>
      <c r="X568" s="25">
        <v>1</v>
      </c>
      <c r="Y568" s="25">
        <v>0</v>
      </c>
      <c r="Z568" s="25">
        <v>0</v>
      </c>
      <c r="AA568" s="25">
        <v>0</v>
      </c>
      <c r="AB568" s="25">
        <v>0</v>
      </c>
      <c r="AC568" s="25">
        <v>0</v>
      </c>
      <c r="AD568" s="25">
        <v>0</v>
      </c>
      <c r="AE568" s="25">
        <v>1</v>
      </c>
      <c r="AF568" s="25" t="s">
        <v>131</v>
      </c>
    </row>
    <row r="569" spans="1:32" s="25" customFormat="1" x14ac:dyDescent="0.25">
      <c r="A569" s="25" t="s">
        <v>171</v>
      </c>
      <c r="B569" s="25">
        <f t="shared" si="21"/>
        <v>3240</v>
      </c>
      <c r="C569" s="25" t="s">
        <v>12</v>
      </c>
      <c r="D569" s="25">
        <v>0</v>
      </c>
      <c r="E569" s="25">
        <v>0</v>
      </c>
      <c r="F569" s="25">
        <v>256</v>
      </c>
      <c r="G569" s="25">
        <v>222</v>
      </c>
      <c r="H569" s="27">
        <v>0</v>
      </c>
      <c r="I569" s="27">
        <v>0</v>
      </c>
      <c r="J569" s="27">
        <v>0</v>
      </c>
      <c r="K569" s="27">
        <v>0</v>
      </c>
      <c r="L569" s="27">
        <v>1</v>
      </c>
      <c r="M569" s="27">
        <v>0</v>
      </c>
      <c r="N569" s="27">
        <v>0</v>
      </c>
      <c r="O569" s="27">
        <v>0</v>
      </c>
      <c r="P569" s="25">
        <v>700</v>
      </c>
      <c r="Q569" s="25">
        <v>560</v>
      </c>
      <c r="R569" s="25" t="s">
        <v>87</v>
      </c>
      <c r="S569" s="25" t="s">
        <v>89</v>
      </c>
      <c r="T569" s="25">
        <v>0</v>
      </c>
      <c r="U569" s="25">
        <v>0</v>
      </c>
      <c r="V569" s="25">
        <v>0</v>
      </c>
      <c r="W569" s="25">
        <v>0</v>
      </c>
      <c r="X569" s="25">
        <v>1</v>
      </c>
      <c r="Y569" s="25">
        <v>0</v>
      </c>
      <c r="Z569" s="25">
        <v>0</v>
      </c>
      <c r="AA569" s="25">
        <v>0</v>
      </c>
      <c r="AB569" s="25">
        <v>0</v>
      </c>
      <c r="AC569" s="25">
        <v>0</v>
      </c>
      <c r="AD569" s="25">
        <v>0</v>
      </c>
      <c r="AE569" s="25">
        <v>1</v>
      </c>
      <c r="AF569" s="25" t="s">
        <v>131</v>
      </c>
    </row>
    <row r="570" spans="1:32" s="25" customFormat="1" x14ac:dyDescent="0.25">
      <c r="A570" s="25" t="s">
        <v>171</v>
      </c>
      <c r="B570" s="25">
        <f t="shared" si="21"/>
        <v>3250</v>
      </c>
      <c r="C570" s="25" t="s">
        <v>12</v>
      </c>
      <c r="D570" s="25">
        <v>0</v>
      </c>
      <c r="E570" s="25">
        <v>0</v>
      </c>
      <c r="F570" s="25">
        <v>256</v>
      </c>
      <c r="G570" s="25">
        <v>222</v>
      </c>
      <c r="H570" s="27">
        <v>0</v>
      </c>
      <c r="I570" s="27">
        <v>0</v>
      </c>
      <c r="J570" s="27">
        <v>0</v>
      </c>
      <c r="K570" s="27">
        <v>0</v>
      </c>
      <c r="L570" s="27">
        <v>1</v>
      </c>
      <c r="M570" s="27">
        <v>0</v>
      </c>
      <c r="N570" s="27">
        <v>0</v>
      </c>
      <c r="O570" s="27">
        <v>0</v>
      </c>
      <c r="P570" s="25">
        <v>700</v>
      </c>
      <c r="Q570" s="25">
        <v>560</v>
      </c>
      <c r="R570" s="25" t="s">
        <v>87</v>
      </c>
      <c r="S570" s="25" t="s">
        <v>89</v>
      </c>
      <c r="T570" s="25">
        <v>0</v>
      </c>
      <c r="U570" s="25">
        <v>0</v>
      </c>
      <c r="V570" s="25">
        <v>0</v>
      </c>
      <c r="W570" s="25">
        <v>0</v>
      </c>
      <c r="X570" s="25">
        <v>1</v>
      </c>
      <c r="Y570" s="25">
        <v>0</v>
      </c>
      <c r="Z570" s="25">
        <v>0</v>
      </c>
      <c r="AA570" s="25">
        <v>0</v>
      </c>
      <c r="AB570" s="25">
        <v>0</v>
      </c>
      <c r="AC570" s="25">
        <v>0</v>
      </c>
      <c r="AD570" s="25">
        <v>0</v>
      </c>
      <c r="AE570" s="25">
        <v>1</v>
      </c>
      <c r="AF570" s="25" t="s">
        <v>131</v>
      </c>
    </row>
    <row r="571" spans="1:32" s="25" customFormat="1" x14ac:dyDescent="0.25">
      <c r="A571" s="25" t="s">
        <v>171</v>
      </c>
      <c r="B571" s="25">
        <f t="shared" si="21"/>
        <v>3260</v>
      </c>
      <c r="C571" s="25" t="s">
        <v>12</v>
      </c>
      <c r="D571" s="25">
        <v>0</v>
      </c>
      <c r="E571" s="25">
        <v>0</v>
      </c>
      <c r="F571" s="25">
        <v>256</v>
      </c>
      <c r="G571" s="25">
        <v>222</v>
      </c>
      <c r="H571" s="27">
        <v>0</v>
      </c>
      <c r="I571" s="27">
        <v>0</v>
      </c>
      <c r="J571" s="27">
        <v>0</v>
      </c>
      <c r="K571" s="27">
        <v>0</v>
      </c>
      <c r="L571" s="27">
        <v>1</v>
      </c>
      <c r="M571" s="27">
        <v>0</v>
      </c>
      <c r="N571" s="27">
        <v>0</v>
      </c>
      <c r="O571" s="27">
        <v>0</v>
      </c>
      <c r="P571" s="25">
        <v>700</v>
      </c>
      <c r="Q571" s="25">
        <v>560</v>
      </c>
      <c r="R571" s="25" t="s">
        <v>87</v>
      </c>
      <c r="S571" s="25" t="s">
        <v>89</v>
      </c>
      <c r="T571" s="25">
        <v>0</v>
      </c>
      <c r="U571" s="25">
        <v>0</v>
      </c>
      <c r="V571" s="25">
        <v>0</v>
      </c>
      <c r="W571" s="25">
        <v>0</v>
      </c>
      <c r="X571" s="25">
        <v>1</v>
      </c>
      <c r="Y571" s="25">
        <v>0</v>
      </c>
      <c r="Z571" s="25">
        <v>0</v>
      </c>
      <c r="AA571" s="25">
        <v>0</v>
      </c>
      <c r="AB571" s="25">
        <v>0</v>
      </c>
      <c r="AC571" s="25">
        <v>0</v>
      </c>
      <c r="AD571" s="25">
        <v>0</v>
      </c>
      <c r="AE571" s="25">
        <v>1</v>
      </c>
      <c r="AF571" s="25" t="s">
        <v>131</v>
      </c>
    </row>
    <row r="572" spans="1:32" s="25" customFormat="1" x14ac:dyDescent="0.25">
      <c r="A572" s="25" t="s">
        <v>171</v>
      </c>
      <c r="B572" s="25">
        <f t="shared" si="21"/>
        <v>3270</v>
      </c>
      <c r="C572" s="25" t="s">
        <v>12</v>
      </c>
      <c r="D572" s="25">
        <v>0</v>
      </c>
      <c r="E572" s="25">
        <v>0</v>
      </c>
      <c r="F572" s="25">
        <v>256</v>
      </c>
      <c r="G572" s="25">
        <v>222</v>
      </c>
      <c r="H572" s="27">
        <v>0</v>
      </c>
      <c r="I572" s="27">
        <v>0</v>
      </c>
      <c r="J572" s="27">
        <v>0</v>
      </c>
      <c r="K572" s="27">
        <v>0</v>
      </c>
      <c r="L572" s="27">
        <v>1</v>
      </c>
      <c r="M572" s="27">
        <v>0</v>
      </c>
      <c r="N572" s="27">
        <v>0</v>
      </c>
      <c r="O572" s="27">
        <v>0</v>
      </c>
      <c r="P572" s="25">
        <v>700</v>
      </c>
      <c r="Q572" s="25">
        <v>560</v>
      </c>
      <c r="R572" s="25" t="s">
        <v>87</v>
      </c>
      <c r="S572" s="25" t="s">
        <v>89</v>
      </c>
      <c r="T572" s="25">
        <v>0</v>
      </c>
      <c r="U572" s="25">
        <v>0</v>
      </c>
      <c r="V572" s="25">
        <v>0</v>
      </c>
      <c r="W572" s="25">
        <v>0</v>
      </c>
      <c r="X572" s="25">
        <v>1</v>
      </c>
      <c r="Y572" s="25">
        <v>0</v>
      </c>
      <c r="Z572" s="25">
        <v>0</v>
      </c>
      <c r="AA572" s="25">
        <v>0</v>
      </c>
      <c r="AB572" s="25">
        <v>0</v>
      </c>
      <c r="AC572" s="25">
        <v>0</v>
      </c>
      <c r="AD572" s="25">
        <v>0</v>
      </c>
      <c r="AE572" s="25">
        <v>1</v>
      </c>
      <c r="AF572" s="25" t="s">
        <v>131</v>
      </c>
    </row>
    <row r="573" spans="1:32" s="25" customFormat="1" x14ac:dyDescent="0.25">
      <c r="A573" s="25" t="s">
        <v>171</v>
      </c>
      <c r="B573" s="25">
        <f t="shared" si="21"/>
        <v>3280</v>
      </c>
      <c r="C573" s="25" t="s">
        <v>12</v>
      </c>
      <c r="D573" s="25">
        <v>0</v>
      </c>
      <c r="E573" s="25">
        <v>0</v>
      </c>
      <c r="F573" s="25">
        <v>256</v>
      </c>
      <c r="G573" s="25">
        <v>222</v>
      </c>
      <c r="H573" s="27">
        <v>0</v>
      </c>
      <c r="I573" s="27">
        <v>0</v>
      </c>
      <c r="J573" s="27">
        <v>0</v>
      </c>
      <c r="K573" s="27">
        <v>0</v>
      </c>
      <c r="L573" s="27">
        <v>1</v>
      </c>
      <c r="M573" s="27">
        <v>0</v>
      </c>
      <c r="N573" s="27">
        <v>0</v>
      </c>
      <c r="O573" s="27">
        <v>0</v>
      </c>
      <c r="P573" s="25">
        <v>700</v>
      </c>
      <c r="Q573" s="25">
        <v>560</v>
      </c>
      <c r="R573" s="25" t="s">
        <v>87</v>
      </c>
      <c r="S573" s="25" t="s">
        <v>89</v>
      </c>
      <c r="T573" s="25">
        <v>0</v>
      </c>
      <c r="U573" s="25">
        <v>0</v>
      </c>
      <c r="V573" s="25">
        <v>0</v>
      </c>
      <c r="W573" s="25">
        <v>0</v>
      </c>
      <c r="X573" s="25">
        <v>1</v>
      </c>
      <c r="Y573" s="25">
        <v>0</v>
      </c>
      <c r="Z573" s="25">
        <v>0</v>
      </c>
      <c r="AA573" s="25">
        <v>0</v>
      </c>
      <c r="AB573" s="25">
        <v>0</v>
      </c>
      <c r="AC573" s="25">
        <v>0</v>
      </c>
      <c r="AD573" s="25">
        <v>0</v>
      </c>
      <c r="AE573" s="25">
        <v>1</v>
      </c>
      <c r="AF573" s="25" t="s">
        <v>131</v>
      </c>
    </row>
    <row r="574" spans="1:32" s="25" customFormat="1" x14ac:dyDescent="0.25">
      <c r="A574" s="25" t="s">
        <v>171</v>
      </c>
      <c r="B574" s="25">
        <f t="shared" si="21"/>
        <v>3290</v>
      </c>
      <c r="C574" s="25" t="s">
        <v>12</v>
      </c>
      <c r="D574" s="25">
        <v>0</v>
      </c>
      <c r="E574" s="25">
        <v>0</v>
      </c>
      <c r="F574" s="25">
        <v>256</v>
      </c>
      <c r="G574" s="25">
        <v>222</v>
      </c>
      <c r="H574" s="27">
        <v>0</v>
      </c>
      <c r="I574" s="27">
        <v>0</v>
      </c>
      <c r="J574" s="27">
        <v>0</v>
      </c>
      <c r="K574" s="27">
        <v>0</v>
      </c>
      <c r="L574" s="27">
        <v>1</v>
      </c>
      <c r="M574" s="27">
        <v>0</v>
      </c>
      <c r="N574" s="27">
        <v>0</v>
      </c>
      <c r="O574" s="27">
        <v>0</v>
      </c>
      <c r="P574" s="25">
        <v>700</v>
      </c>
      <c r="Q574" s="25">
        <v>560</v>
      </c>
      <c r="R574" s="25" t="s">
        <v>87</v>
      </c>
      <c r="S574" s="25" t="s">
        <v>89</v>
      </c>
      <c r="T574" s="25">
        <v>0</v>
      </c>
      <c r="U574" s="25">
        <v>0</v>
      </c>
      <c r="V574" s="25">
        <v>0</v>
      </c>
      <c r="W574" s="25">
        <v>0</v>
      </c>
      <c r="X574" s="25">
        <v>1</v>
      </c>
      <c r="Y574" s="25">
        <v>0</v>
      </c>
      <c r="Z574" s="25">
        <v>0</v>
      </c>
      <c r="AA574" s="25">
        <v>0</v>
      </c>
      <c r="AB574" s="25">
        <v>0</v>
      </c>
      <c r="AC574" s="25">
        <v>0</v>
      </c>
      <c r="AD574" s="25">
        <v>0</v>
      </c>
      <c r="AE574" s="25">
        <v>1</v>
      </c>
      <c r="AF574" s="25" t="s">
        <v>131</v>
      </c>
    </row>
    <row r="575" spans="1:32" s="25" customFormat="1" x14ac:dyDescent="0.25">
      <c r="A575" s="25" t="s">
        <v>171</v>
      </c>
      <c r="B575" s="25">
        <f t="shared" si="21"/>
        <v>3300</v>
      </c>
      <c r="C575" s="25" t="s">
        <v>12</v>
      </c>
      <c r="D575" s="25">
        <v>0</v>
      </c>
      <c r="E575" s="25">
        <v>0</v>
      </c>
      <c r="F575" s="25">
        <v>256</v>
      </c>
      <c r="G575" s="25">
        <v>222</v>
      </c>
      <c r="H575" s="27">
        <v>0</v>
      </c>
      <c r="I575" s="27">
        <v>0</v>
      </c>
      <c r="J575" s="27">
        <v>0</v>
      </c>
      <c r="K575" s="27">
        <v>0</v>
      </c>
      <c r="L575" s="27">
        <v>1</v>
      </c>
      <c r="M575" s="27">
        <v>0</v>
      </c>
      <c r="N575" s="27">
        <v>0</v>
      </c>
      <c r="O575" s="27">
        <v>0</v>
      </c>
      <c r="P575" s="25">
        <v>700</v>
      </c>
      <c r="Q575" s="25">
        <v>560</v>
      </c>
      <c r="R575" s="25" t="s">
        <v>87</v>
      </c>
      <c r="S575" s="25" t="s">
        <v>89</v>
      </c>
      <c r="T575" s="25">
        <v>0</v>
      </c>
      <c r="U575" s="25">
        <v>0</v>
      </c>
      <c r="V575" s="25">
        <v>0</v>
      </c>
      <c r="W575" s="25">
        <v>0</v>
      </c>
      <c r="X575" s="25">
        <v>1</v>
      </c>
      <c r="Y575" s="25">
        <v>0</v>
      </c>
      <c r="Z575" s="25">
        <v>0</v>
      </c>
      <c r="AA575" s="25">
        <v>0</v>
      </c>
      <c r="AB575" s="25">
        <v>0</v>
      </c>
      <c r="AC575" s="25">
        <v>0</v>
      </c>
      <c r="AD575" s="25">
        <v>0</v>
      </c>
      <c r="AE575" s="25">
        <v>1</v>
      </c>
      <c r="AF575" s="25" t="s">
        <v>131</v>
      </c>
    </row>
    <row r="576" spans="1:32" s="25" customFormat="1" x14ac:dyDescent="0.25">
      <c r="A576" s="25" t="s">
        <v>171</v>
      </c>
      <c r="B576" s="25">
        <f t="shared" si="21"/>
        <v>3310</v>
      </c>
      <c r="C576" s="25" t="s">
        <v>12</v>
      </c>
      <c r="D576" s="25">
        <v>0</v>
      </c>
      <c r="E576" s="25">
        <v>0</v>
      </c>
      <c r="F576" s="25">
        <v>256</v>
      </c>
      <c r="G576" s="25">
        <v>222</v>
      </c>
      <c r="H576" s="27">
        <v>0</v>
      </c>
      <c r="I576" s="27">
        <v>0</v>
      </c>
      <c r="J576" s="27">
        <v>0</v>
      </c>
      <c r="K576" s="27">
        <v>0</v>
      </c>
      <c r="L576" s="27">
        <v>1</v>
      </c>
      <c r="M576" s="27">
        <v>0</v>
      </c>
      <c r="N576" s="27">
        <v>0</v>
      </c>
      <c r="O576" s="27">
        <v>0</v>
      </c>
      <c r="P576" s="25">
        <v>700</v>
      </c>
      <c r="Q576" s="25">
        <v>560</v>
      </c>
      <c r="R576" s="25" t="s">
        <v>87</v>
      </c>
      <c r="S576" s="25" t="s">
        <v>89</v>
      </c>
      <c r="T576" s="25">
        <v>0</v>
      </c>
      <c r="U576" s="25">
        <v>0</v>
      </c>
      <c r="V576" s="25">
        <v>0</v>
      </c>
      <c r="W576" s="25">
        <v>0</v>
      </c>
      <c r="X576" s="25">
        <v>1</v>
      </c>
      <c r="Y576" s="25">
        <v>0</v>
      </c>
      <c r="Z576" s="25">
        <v>0</v>
      </c>
      <c r="AA576" s="25">
        <v>0</v>
      </c>
      <c r="AB576" s="25">
        <v>0</v>
      </c>
      <c r="AC576" s="25">
        <v>0</v>
      </c>
      <c r="AD576" s="25">
        <v>0</v>
      </c>
      <c r="AE576" s="25">
        <v>1</v>
      </c>
      <c r="AF576" s="25" t="s">
        <v>131</v>
      </c>
    </row>
    <row r="577" spans="1:32" s="25" customFormat="1" x14ac:dyDescent="0.25">
      <c r="A577" s="25" t="s">
        <v>171</v>
      </c>
      <c r="B577" s="25">
        <f t="shared" si="21"/>
        <v>3320</v>
      </c>
      <c r="C577" s="25" t="s">
        <v>12</v>
      </c>
      <c r="D577" s="25">
        <v>0</v>
      </c>
      <c r="E577" s="25">
        <v>0</v>
      </c>
      <c r="F577" s="25">
        <v>256</v>
      </c>
      <c r="G577" s="25">
        <v>222</v>
      </c>
      <c r="H577" s="27">
        <v>0</v>
      </c>
      <c r="I577" s="27">
        <v>0</v>
      </c>
      <c r="J577" s="27">
        <v>0</v>
      </c>
      <c r="K577" s="27">
        <v>0</v>
      </c>
      <c r="L577" s="27">
        <v>1</v>
      </c>
      <c r="M577" s="27">
        <v>0</v>
      </c>
      <c r="N577" s="27">
        <v>0</v>
      </c>
      <c r="O577" s="27">
        <v>0</v>
      </c>
      <c r="P577" s="25">
        <v>700</v>
      </c>
      <c r="Q577" s="25">
        <v>560</v>
      </c>
      <c r="R577" s="25" t="s">
        <v>87</v>
      </c>
      <c r="S577" s="25" t="s">
        <v>89</v>
      </c>
      <c r="T577" s="25">
        <v>0</v>
      </c>
      <c r="U577" s="25">
        <v>0</v>
      </c>
      <c r="V577" s="25">
        <v>0</v>
      </c>
      <c r="W577" s="25">
        <v>0</v>
      </c>
      <c r="X577" s="25">
        <v>1</v>
      </c>
      <c r="Y577" s="25">
        <v>0</v>
      </c>
      <c r="Z577" s="25">
        <v>0</v>
      </c>
      <c r="AA577" s="25">
        <v>0</v>
      </c>
      <c r="AB577" s="25">
        <v>0</v>
      </c>
      <c r="AC577" s="25">
        <v>0</v>
      </c>
      <c r="AD577" s="25">
        <v>0</v>
      </c>
      <c r="AE577" s="25">
        <v>1</v>
      </c>
      <c r="AF577" s="25" t="s">
        <v>131</v>
      </c>
    </row>
    <row r="578" spans="1:32" s="25" customFormat="1" x14ac:dyDescent="0.25">
      <c r="A578" s="25" t="s">
        <v>171</v>
      </c>
      <c r="B578" s="25">
        <f t="shared" si="21"/>
        <v>3330</v>
      </c>
      <c r="C578" s="25" t="s">
        <v>12</v>
      </c>
      <c r="D578" s="25">
        <v>0</v>
      </c>
      <c r="E578" s="25">
        <v>0</v>
      </c>
      <c r="F578" s="25">
        <v>256</v>
      </c>
      <c r="G578" s="25">
        <v>222</v>
      </c>
      <c r="H578" s="27">
        <v>0</v>
      </c>
      <c r="I578" s="27">
        <v>0</v>
      </c>
      <c r="J578" s="27">
        <v>0</v>
      </c>
      <c r="K578" s="27">
        <v>0</v>
      </c>
      <c r="L578" s="27">
        <v>1</v>
      </c>
      <c r="M578" s="27">
        <v>0</v>
      </c>
      <c r="N578" s="27">
        <v>0</v>
      </c>
      <c r="O578" s="27">
        <v>0</v>
      </c>
      <c r="P578" s="25">
        <v>700</v>
      </c>
      <c r="Q578" s="25">
        <v>560</v>
      </c>
      <c r="R578" s="25" t="s">
        <v>87</v>
      </c>
      <c r="S578" s="25" t="s">
        <v>89</v>
      </c>
      <c r="T578" s="25">
        <v>0</v>
      </c>
      <c r="U578" s="25">
        <v>0</v>
      </c>
      <c r="V578" s="25">
        <v>0</v>
      </c>
      <c r="W578" s="25">
        <v>0</v>
      </c>
      <c r="X578" s="25">
        <v>1</v>
      </c>
      <c r="Y578" s="25">
        <v>0</v>
      </c>
      <c r="Z578" s="25">
        <v>0</v>
      </c>
      <c r="AA578" s="25">
        <v>0</v>
      </c>
      <c r="AB578" s="25">
        <v>0</v>
      </c>
      <c r="AC578" s="25">
        <v>0</v>
      </c>
      <c r="AD578" s="25">
        <v>0</v>
      </c>
      <c r="AE578" s="25">
        <v>1</v>
      </c>
      <c r="AF578" s="25" t="s">
        <v>131</v>
      </c>
    </row>
    <row r="579" spans="1:32" s="25" customFormat="1" x14ac:dyDescent="0.25">
      <c r="A579" s="25" t="s">
        <v>171</v>
      </c>
      <c r="B579" s="25">
        <f t="shared" si="21"/>
        <v>3340</v>
      </c>
      <c r="C579" s="25" t="s">
        <v>12</v>
      </c>
      <c r="D579" s="25">
        <v>0</v>
      </c>
      <c r="E579" s="25">
        <v>0</v>
      </c>
      <c r="F579" s="25">
        <v>256</v>
      </c>
      <c r="G579" s="25">
        <v>222</v>
      </c>
      <c r="H579" s="27">
        <v>0</v>
      </c>
      <c r="I579" s="27">
        <v>0</v>
      </c>
      <c r="J579" s="27">
        <v>0</v>
      </c>
      <c r="K579" s="27">
        <v>0</v>
      </c>
      <c r="L579" s="27">
        <v>1</v>
      </c>
      <c r="M579" s="27">
        <v>0</v>
      </c>
      <c r="N579" s="27">
        <v>0</v>
      </c>
      <c r="O579" s="27">
        <v>0</v>
      </c>
      <c r="P579" s="25">
        <v>700</v>
      </c>
      <c r="Q579" s="25">
        <v>560</v>
      </c>
      <c r="R579" s="25" t="s">
        <v>87</v>
      </c>
      <c r="S579" s="25" t="s">
        <v>89</v>
      </c>
      <c r="T579" s="25">
        <v>0</v>
      </c>
      <c r="U579" s="25">
        <v>0</v>
      </c>
      <c r="V579" s="25">
        <v>0</v>
      </c>
      <c r="W579" s="25">
        <v>0</v>
      </c>
      <c r="X579" s="25">
        <v>1</v>
      </c>
      <c r="Y579" s="25">
        <v>0</v>
      </c>
      <c r="Z579" s="25">
        <v>0</v>
      </c>
      <c r="AA579" s="25">
        <v>0</v>
      </c>
      <c r="AB579" s="25">
        <v>0</v>
      </c>
      <c r="AC579" s="25">
        <v>0</v>
      </c>
      <c r="AD579" s="25">
        <v>0</v>
      </c>
      <c r="AE579" s="25">
        <v>1</v>
      </c>
      <c r="AF579" s="25" t="s">
        <v>131</v>
      </c>
    </row>
    <row r="580" spans="1:32" s="25" customFormat="1" x14ac:dyDescent="0.25">
      <c r="A580" s="25" t="s">
        <v>171</v>
      </c>
      <c r="B580" s="25">
        <f t="shared" si="21"/>
        <v>3350</v>
      </c>
      <c r="C580" s="25" t="s">
        <v>12</v>
      </c>
      <c r="D580" s="25">
        <v>0</v>
      </c>
      <c r="E580" s="25">
        <v>0</v>
      </c>
      <c r="F580" s="25">
        <v>256</v>
      </c>
      <c r="G580" s="25">
        <v>222</v>
      </c>
      <c r="H580" s="27">
        <v>0</v>
      </c>
      <c r="I580" s="27">
        <v>0</v>
      </c>
      <c r="J580" s="27">
        <v>0</v>
      </c>
      <c r="K580" s="27">
        <v>0</v>
      </c>
      <c r="L580" s="27">
        <v>1</v>
      </c>
      <c r="M580" s="27">
        <v>0</v>
      </c>
      <c r="N580" s="27">
        <v>0</v>
      </c>
      <c r="O580" s="27">
        <v>0</v>
      </c>
      <c r="P580" s="25">
        <v>700</v>
      </c>
      <c r="Q580" s="25">
        <v>560</v>
      </c>
      <c r="R580" s="25" t="s">
        <v>87</v>
      </c>
      <c r="S580" s="25" t="s">
        <v>89</v>
      </c>
      <c r="T580" s="25">
        <v>0</v>
      </c>
      <c r="U580" s="25">
        <v>0</v>
      </c>
      <c r="V580" s="25">
        <v>0</v>
      </c>
      <c r="W580" s="25">
        <v>0</v>
      </c>
      <c r="X580" s="25">
        <v>1</v>
      </c>
      <c r="Y580" s="25">
        <v>0</v>
      </c>
      <c r="Z580" s="25">
        <v>0</v>
      </c>
      <c r="AA580" s="25">
        <v>0</v>
      </c>
      <c r="AB580" s="25">
        <v>0</v>
      </c>
      <c r="AC580" s="25">
        <v>0</v>
      </c>
      <c r="AD580" s="25">
        <v>0</v>
      </c>
      <c r="AE580" s="25">
        <v>1</v>
      </c>
      <c r="AF580" s="25" t="s">
        <v>131</v>
      </c>
    </row>
    <row r="581" spans="1:32" s="25" customFormat="1" x14ac:dyDescent="0.25">
      <c r="A581" s="25" t="s">
        <v>171</v>
      </c>
      <c r="B581" s="25">
        <f t="shared" si="21"/>
        <v>3360</v>
      </c>
      <c r="C581" s="25" t="s">
        <v>12</v>
      </c>
      <c r="D581" s="25">
        <v>0</v>
      </c>
      <c r="E581" s="25">
        <v>0</v>
      </c>
      <c r="F581" s="25">
        <v>256</v>
      </c>
      <c r="G581" s="25">
        <v>222</v>
      </c>
      <c r="H581" s="27">
        <v>0</v>
      </c>
      <c r="I581" s="27">
        <v>0</v>
      </c>
      <c r="J581" s="27">
        <v>0</v>
      </c>
      <c r="K581" s="27">
        <v>0</v>
      </c>
      <c r="L581" s="27">
        <v>1</v>
      </c>
      <c r="M581" s="27">
        <v>0</v>
      </c>
      <c r="N581" s="27">
        <v>0</v>
      </c>
      <c r="O581" s="27">
        <v>0</v>
      </c>
      <c r="P581" s="25">
        <v>700</v>
      </c>
      <c r="Q581" s="25">
        <v>560</v>
      </c>
      <c r="R581" s="25" t="s">
        <v>87</v>
      </c>
      <c r="S581" s="25" t="s">
        <v>89</v>
      </c>
      <c r="T581" s="25">
        <v>0</v>
      </c>
      <c r="U581" s="25">
        <v>0</v>
      </c>
      <c r="V581" s="25">
        <v>0</v>
      </c>
      <c r="W581" s="25">
        <v>0</v>
      </c>
      <c r="X581" s="25">
        <v>1</v>
      </c>
      <c r="Y581" s="25">
        <v>0</v>
      </c>
      <c r="Z581" s="25">
        <v>0</v>
      </c>
      <c r="AA581" s="25">
        <v>0</v>
      </c>
      <c r="AB581" s="25">
        <v>0</v>
      </c>
      <c r="AC581" s="25">
        <v>0</v>
      </c>
      <c r="AD581" s="25">
        <v>0</v>
      </c>
      <c r="AE581" s="25">
        <v>1</v>
      </c>
      <c r="AF581" s="25" t="s">
        <v>131</v>
      </c>
    </row>
    <row r="582" spans="1:32" s="25" customFormat="1" x14ac:dyDescent="0.25">
      <c r="A582" s="25" t="s">
        <v>171</v>
      </c>
      <c r="B582" s="25">
        <f t="shared" si="21"/>
        <v>3370</v>
      </c>
      <c r="C582" s="25" t="s">
        <v>12</v>
      </c>
      <c r="D582" s="25">
        <v>0</v>
      </c>
      <c r="E582" s="25">
        <v>0</v>
      </c>
      <c r="F582" s="25">
        <v>256</v>
      </c>
      <c r="G582" s="25">
        <v>222</v>
      </c>
      <c r="H582" s="27">
        <v>0</v>
      </c>
      <c r="I582" s="27">
        <v>0</v>
      </c>
      <c r="J582" s="27">
        <v>0</v>
      </c>
      <c r="K582" s="27">
        <v>0</v>
      </c>
      <c r="L582" s="27">
        <v>1</v>
      </c>
      <c r="M582" s="27">
        <v>0</v>
      </c>
      <c r="N582" s="27">
        <v>0</v>
      </c>
      <c r="O582" s="27">
        <v>0</v>
      </c>
      <c r="P582" s="25">
        <v>700</v>
      </c>
      <c r="Q582" s="25">
        <v>560</v>
      </c>
      <c r="R582" s="25" t="s">
        <v>87</v>
      </c>
      <c r="S582" s="25" t="s">
        <v>89</v>
      </c>
      <c r="T582" s="25">
        <v>0</v>
      </c>
      <c r="U582" s="25">
        <v>0</v>
      </c>
      <c r="V582" s="25">
        <v>0</v>
      </c>
      <c r="W582" s="25">
        <v>0</v>
      </c>
      <c r="X582" s="25">
        <v>1</v>
      </c>
      <c r="Y582" s="25">
        <v>0</v>
      </c>
      <c r="Z582" s="25">
        <v>0</v>
      </c>
      <c r="AA582" s="25">
        <v>0</v>
      </c>
      <c r="AB582" s="25">
        <v>0</v>
      </c>
      <c r="AC582" s="25">
        <v>0</v>
      </c>
      <c r="AD582" s="25">
        <v>0</v>
      </c>
      <c r="AE582" s="25">
        <v>1</v>
      </c>
      <c r="AF582" s="25" t="s">
        <v>131</v>
      </c>
    </row>
    <row r="583" spans="1:32" s="25" customFormat="1" x14ac:dyDescent="0.25">
      <c r="A583" s="25" t="s">
        <v>171</v>
      </c>
      <c r="B583" s="25">
        <f t="shared" si="21"/>
        <v>3380</v>
      </c>
      <c r="C583" s="25" t="s">
        <v>12</v>
      </c>
      <c r="D583" s="25">
        <v>0</v>
      </c>
      <c r="E583" s="25">
        <v>0</v>
      </c>
      <c r="F583" s="25">
        <v>256</v>
      </c>
      <c r="G583" s="25">
        <v>222</v>
      </c>
      <c r="H583" s="27">
        <v>0</v>
      </c>
      <c r="I583" s="27">
        <v>0</v>
      </c>
      <c r="J583" s="27">
        <v>0</v>
      </c>
      <c r="K583" s="27">
        <v>0</v>
      </c>
      <c r="L583" s="27">
        <v>1</v>
      </c>
      <c r="M583" s="27">
        <v>0</v>
      </c>
      <c r="N583" s="27">
        <v>0</v>
      </c>
      <c r="O583" s="27">
        <v>0</v>
      </c>
      <c r="P583" s="25">
        <v>700</v>
      </c>
      <c r="Q583" s="25">
        <v>560</v>
      </c>
      <c r="R583" s="25" t="s">
        <v>87</v>
      </c>
      <c r="S583" s="25" t="s">
        <v>89</v>
      </c>
      <c r="T583" s="25">
        <v>0</v>
      </c>
      <c r="U583" s="25">
        <v>0</v>
      </c>
      <c r="V583" s="25">
        <v>0</v>
      </c>
      <c r="W583" s="25">
        <v>0</v>
      </c>
      <c r="X583" s="25">
        <v>1</v>
      </c>
      <c r="Y583" s="25">
        <v>0</v>
      </c>
      <c r="Z583" s="25">
        <v>0</v>
      </c>
      <c r="AA583" s="25">
        <v>0</v>
      </c>
      <c r="AB583" s="25">
        <v>0</v>
      </c>
      <c r="AC583" s="25">
        <v>0</v>
      </c>
      <c r="AD583" s="25">
        <v>0</v>
      </c>
      <c r="AE583" s="25">
        <v>1</v>
      </c>
      <c r="AF583" s="25" t="s">
        <v>131</v>
      </c>
    </row>
    <row r="584" spans="1:32" s="25" customFormat="1" x14ac:dyDescent="0.25">
      <c r="A584" s="25" t="s">
        <v>171</v>
      </c>
      <c r="B584" s="25">
        <f t="shared" si="21"/>
        <v>3390</v>
      </c>
      <c r="C584" s="25" t="s">
        <v>12</v>
      </c>
      <c r="D584" s="25">
        <v>0</v>
      </c>
      <c r="E584" s="25">
        <v>0</v>
      </c>
      <c r="F584" s="25">
        <v>256</v>
      </c>
      <c r="G584" s="25">
        <v>222</v>
      </c>
      <c r="H584" s="27">
        <v>0</v>
      </c>
      <c r="I584" s="27">
        <v>0</v>
      </c>
      <c r="J584" s="27">
        <v>0</v>
      </c>
      <c r="K584" s="27">
        <v>0</v>
      </c>
      <c r="L584" s="27">
        <v>1</v>
      </c>
      <c r="M584" s="27">
        <v>0</v>
      </c>
      <c r="N584" s="27">
        <v>0</v>
      </c>
      <c r="O584" s="27">
        <v>0</v>
      </c>
      <c r="P584" s="25">
        <v>700</v>
      </c>
      <c r="Q584" s="25">
        <v>560</v>
      </c>
      <c r="R584" s="25" t="s">
        <v>87</v>
      </c>
      <c r="S584" s="25" t="s">
        <v>89</v>
      </c>
      <c r="T584" s="25">
        <v>0</v>
      </c>
      <c r="U584" s="25">
        <v>0</v>
      </c>
      <c r="V584" s="25">
        <v>0</v>
      </c>
      <c r="W584" s="25">
        <v>0</v>
      </c>
      <c r="X584" s="25">
        <v>1</v>
      </c>
      <c r="Y584" s="25">
        <v>0</v>
      </c>
      <c r="Z584" s="25">
        <v>0</v>
      </c>
      <c r="AA584" s="25">
        <v>0</v>
      </c>
      <c r="AB584" s="25">
        <v>0</v>
      </c>
      <c r="AC584" s="25">
        <v>0</v>
      </c>
      <c r="AD584" s="25">
        <v>0</v>
      </c>
      <c r="AE584" s="25">
        <v>1</v>
      </c>
      <c r="AF584" s="25" t="s">
        <v>131</v>
      </c>
    </row>
    <row r="585" spans="1:32" s="25" customFormat="1" x14ac:dyDescent="0.25">
      <c r="A585" s="25" t="s">
        <v>171</v>
      </c>
      <c r="B585" s="25">
        <f t="shared" si="21"/>
        <v>3400</v>
      </c>
      <c r="C585" s="25" t="s">
        <v>12</v>
      </c>
      <c r="D585" s="25">
        <v>0</v>
      </c>
      <c r="E585" s="25">
        <v>0</v>
      </c>
      <c r="F585" s="25">
        <v>256</v>
      </c>
      <c r="G585" s="25">
        <v>222</v>
      </c>
      <c r="H585" s="27">
        <v>0</v>
      </c>
      <c r="I585" s="27">
        <v>0</v>
      </c>
      <c r="J585" s="27">
        <v>0</v>
      </c>
      <c r="K585" s="27">
        <v>0</v>
      </c>
      <c r="L585" s="27">
        <v>1</v>
      </c>
      <c r="M585" s="27">
        <v>0</v>
      </c>
      <c r="N585" s="27">
        <v>0</v>
      </c>
      <c r="O585" s="27">
        <v>0</v>
      </c>
      <c r="P585" s="25">
        <v>700</v>
      </c>
      <c r="Q585" s="25">
        <v>560</v>
      </c>
      <c r="R585" s="25" t="s">
        <v>87</v>
      </c>
      <c r="S585" s="25" t="s">
        <v>89</v>
      </c>
      <c r="T585" s="25">
        <v>0</v>
      </c>
      <c r="U585" s="25">
        <v>0</v>
      </c>
      <c r="V585" s="25">
        <v>0</v>
      </c>
      <c r="W585" s="25">
        <v>0</v>
      </c>
      <c r="X585" s="25">
        <v>1</v>
      </c>
      <c r="Y585" s="25">
        <v>0</v>
      </c>
      <c r="Z585" s="25">
        <v>0</v>
      </c>
      <c r="AA585" s="25">
        <v>0</v>
      </c>
      <c r="AB585" s="25">
        <v>0</v>
      </c>
      <c r="AC585" s="25">
        <v>0</v>
      </c>
      <c r="AD585" s="25">
        <v>0</v>
      </c>
      <c r="AE585" s="25">
        <v>1</v>
      </c>
      <c r="AF585" s="25" t="s">
        <v>131</v>
      </c>
    </row>
    <row r="586" spans="1:32" s="25" customFormat="1" x14ac:dyDescent="0.25">
      <c r="A586" s="25" t="s">
        <v>171</v>
      </c>
      <c r="B586" s="25">
        <f t="shared" si="21"/>
        <v>3410</v>
      </c>
      <c r="C586" s="25" t="s">
        <v>12</v>
      </c>
      <c r="D586" s="25">
        <v>0</v>
      </c>
      <c r="E586" s="25">
        <v>0</v>
      </c>
      <c r="F586" s="25">
        <v>256</v>
      </c>
      <c r="G586" s="25">
        <v>222</v>
      </c>
      <c r="H586" s="27">
        <v>0</v>
      </c>
      <c r="I586" s="27">
        <v>0</v>
      </c>
      <c r="J586" s="27">
        <v>0</v>
      </c>
      <c r="K586" s="27">
        <v>0</v>
      </c>
      <c r="L586" s="27">
        <v>1</v>
      </c>
      <c r="M586" s="27">
        <v>0</v>
      </c>
      <c r="N586" s="27">
        <v>0</v>
      </c>
      <c r="O586" s="27">
        <v>0</v>
      </c>
      <c r="P586" s="25">
        <v>700</v>
      </c>
      <c r="Q586" s="25">
        <v>560</v>
      </c>
      <c r="R586" s="25" t="s">
        <v>87</v>
      </c>
      <c r="S586" s="25" t="s">
        <v>89</v>
      </c>
      <c r="T586" s="25">
        <v>0</v>
      </c>
      <c r="U586" s="25">
        <v>0</v>
      </c>
      <c r="V586" s="25">
        <v>0</v>
      </c>
      <c r="W586" s="25">
        <v>0</v>
      </c>
      <c r="X586" s="25">
        <v>1</v>
      </c>
      <c r="Y586" s="25">
        <v>0</v>
      </c>
      <c r="Z586" s="25">
        <v>0</v>
      </c>
      <c r="AA586" s="25">
        <v>0</v>
      </c>
      <c r="AB586" s="25">
        <v>0</v>
      </c>
      <c r="AC586" s="25">
        <v>0</v>
      </c>
      <c r="AD586" s="25">
        <v>0</v>
      </c>
      <c r="AE586" s="25">
        <v>1</v>
      </c>
      <c r="AF586" s="25" t="s">
        <v>131</v>
      </c>
    </row>
    <row r="587" spans="1:32" s="25" customFormat="1" x14ac:dyDescent="0.25">
      <c r="A587" s="25" t="s">
        <v>171</v>
      </c>
      <c r="B587" s="25">
        <f t="shared" si="21"/>
        <v>3420</v>
      </c>
      <c r="C587" s="25" t="s">
        <v>12</v>
      </c>
      <c r="D587" s="25">
        <v>0</v>
      </c>
      <c r="E587" s="25">
        <v>0</v>
      </c>
      <c r="F587" s="25">
        <v>256</v>
      </c>
      <c r="G587" s="25">
        <v>222</v>
      </c>
      <c r="H587" s="27">
        <v>0</v>
      </c>
      <c r="I587" s="27">
        <v>0</v>
      </c>
      <c r="J587" s="27">
        <v>0</v>
      </c>
      <c r="K587" s="27">
        <v>0</v>
      </c>
      <c r="L587" s="27">
        <v>1</v>
      </c>
      <c r="M587" s="27">
        <v>0</v>
      </c>
      <c r="N587" s="27">
        <v>0</v>
      </c>
      <c r="O587" s="27">
        <v>0</v>
      </c>
      <c r="P587" s="25">
        <v>700</v>
      </c>
      <c r="Q587" s="25">
        <v>560</v>
      </c>
      <c r="R587" s="25" t="s">
        <v>87</v>
      </c>
      <c r="S587" s="25" t="s">
        <v>89</v>
      </c>
      <c r="T587" s="25">
        <v>0</v>
      </c>
      <c r="U587" s="25">
        <v>0</v>
      </c>
      <c r="V587" s="25">
        <v>0</v>
      </c>
      <c r="W587" s="25">
        <v>0</v>
      </c>
      <c r="X587" s="25">
        <v>1</v>
      </c>
      <c r="Y587" s="25">
        <v>0</v>
      </c>
      <c r="Z587" s="25">
        <v>0</v>
      </c>
      <c r="AA587" s="25">
        <v>0</v>
      </c>
      <c r="AB587" s="25">
        <v>0</v>
      </c>
      <c r="AC587" s="25">
        <v>0</v>
      </c>
      <c r="AD587" s="25">
        <v>0</v>
      </c>
      <c r="AE587" s="25">
        <v>1</v>
      </c>
      <c r="AF587" s="25" t="s">
        <v>131</v>
      </c>
    </row>
    <row r="588" spans="1:32" s="25" customFormat="1" x14ac:dyDescent="0.25">
      <c r="A588" s="25" t="s">
        <v>171</v>
      </c>
      <c r="B588" s="25">
        <f t="shared" si="21"/>
        <v>3430</v>
      </c>
      <c r="C588" s="25" t="s">
        <v>12</v>
      </c>
      <c r="D588" s="25">
        <v>0</v>
      </c>
      <c r="E588" s="25">
        <v>0</v>
      </c>
      <c r="F588" s="25">
        <v>256</v>
      </c>
      <c r="G588" s="25">
        <v>222</v>
      </c>
      <c r="H588" s="27">
        <v>0</v>
      </c>
      <c r="I588" s="27">
        <v>0</v>
      </c>
      <c r="J588" s="27">
        <v>0</v>
      </c>
      <c r="K588" s="27">
        <v>0</v>
      </c>
      <c r="L588" s="27">
        <v>1</v>
      </c>
      <c r="M588" s="27">
        <v>0</v>
      </c>
      <c r="N588" s="27">
        <v>0</v>
      </c>
      <c r="O588" s="27">
        <v>0</v>
      </c>
      <c r="P588" s="25">
        <v>700</v>
      </c>
      <c r="Q588" s="25">
        <v>560</v>
      </c>
      <c r="R588" s="25" t="s">
        <v>87</v>
      </c>
      <c r="S588" s="25" t="s">
        <v>89</v>
      </c>
      <c r="T588" s="25">
        <v>0</v>
      </c>
      <c r="U588" s="25">
        <v>0</v>
      </c>
      <c r="V588" s="25">
        <v>0</v>
      </c>
      <c r="W588" s="25">
        <v>0</v>
      </c>
      <c r="X588" s="25">
        <v>1</v>
      </c>
      <c r="Y588" s="25">
        <v>0</v>
      </c>
      <c r="Z588" s="25">
        <v>0</v>
      </c>
      <c r="AA588" s="25">
        <v>0</v>
      </c>
      <c r="AB588" s="25">
        <v>0</v>
      </c>
      <c r="AC588" s="25">
        <v>0</v>
      </c>
      <c r="AD588" s="25">
        <v>0</v>
      </c>
      <c r="AE588" s="25">
        <v>1</v>
      </c>
      <c r="AF588" s="25" t="s">
        <v>131</v>
      </c>
    </row>
    <row r="589" spans="1:32" s="25" customFormat="1" x14ac:dyDescent="0.25">
      <c r="A589" s="25" t="s">
        <v>171</v>
      </c>
      <c r="B589" s="25">
        <f t="shared" si="21"/>
        <v>3440</v>
      </c>
      <c r="C589" s="25" t="s">
        <v>12</v>
      </c>
      <c r="D589" s="25">
        <v>0</v>
      </c>
      <c r="E589" s="25">
        <v>0</v>
      </c>
      <c r="F589" s="25">
        <v>256</v>
      </c>
      <c r="G589" s="25">
        <v>222</v>
      </c>
      <c r="H589" s="27">
        <v>0</v>
      </c>
      <c r="I589" s="27">
        <v>0</v>
      </c>
      <c r="J589" s="27">
        <v>0</v>
      </c>
      <c r="K589" s="27">
        <v>0</v>
      </c>
      <c r="L589" s="27">
        <v>1</v>
      </c>
      <c r="M589" s="27">
        <v>0</v>
      </c>
      <c r="N589" s="27">
        <v>0</v>
      </c>
      <c r="O589" s="27">
        <v>0</v>
      </c>
      <c r="P589" s="25">
        <v>700</v>
      </c>
      <c r="Q589" s="25">
        <v>560</v>
      </c>
      <c r="R589" s="25" t="s">
        <v>87</v>
      </c>
      <c r="S589" s="25" t="s">
        <v>89</v>
      </c>
      <c r="T589" s="25">
        <v>0</v>
      </c>
      <c r="U589" s="25">
        <v>0</v>
      </c>
      <c r="V589" s="25">
        <v>0</v>
      </c>
      <c r="W589" s="25">
        <v>0</v>
      </c>
      <c r="X589" s="25">
        <v>1</v>
      </c>
      <c r="Y589" s="25">
        <v>0</v>
      </c>
      <c r="Z589" s="25">
        <v>0</v>
      </c>
      <c r="AA589" s="25">
        <v>0</v>
      </c>
      <c r="AB589" s="25">
        <v>0</v>
      </c>
      <c r="AC589" s="25">
        <v>0</v>
      </c>
      <c r="AD589" s="25">
        <v>0</v>
      </c>
      <c r="AE589" s="25">
        <v>1</v>
      </c>
      <c r="AF589" s="25" t="s">
        <v>131</v>
      </c>
    </row>
    <row r="590" spans="1:32" s="25" customFormat="1" x14ac:dyDescent="0.25">
      <c r="A590" s="25" t="s">
        <v>171</v>
      </c>
      <c r="B590" s="25">
        <f t="shared" si="21"/>
        <v>3450</v>
      </c>
      <c r="C590" s="25" t="s">
        <v>12</v>
      </c>
      <c r="D590" s="25">
        <v>0</v>
      </c>
      <c r="E590" s="25">
        <v>0</v>
      </c>
      <c r="F590" s="25">
        <v>256</v>
      </c>
      <c r="G590" s="25">
        <v>222</v>
      </c>
      <c r="H590" s="27">
        <v>0</v>
      </c>
      <c r="I590" s="27">
        <v>0</v>
      </c>
      <c r="J590" s="27">
        <v>0</v>
      </c>
      <c r="K590" s="27">
        <v>0</v>
      </c>
      <c r="L590" s="27">
        <v>1</v>
      </c>
      <c r="M590" s="27">
        <v>0</v>
      </c>
      <c r="N590" s="27">
        <v>0</v>
      </c>
      <c r="O590" s="27">
        <v>0</v>
      </c>
      <c r="P590" s="25">
        <v>700</v>
      </c>
      <c r="Q590" s="25">
        <v>560</v>
      </c>
      <c r="R590" s="25" t="s">
        <v>87</v>
      </c>
      <c r="S590" s="25" t="s">
        <v>89</v>
      </c>
      <c r="T590" s="25">
        <v>0</v>
      </c>
      <c r="U590" s="25">
        <v>0</v>
      </c>
      <c r="V590" s="25">
        <v>0</v>
      </c>
      <c r="W590" s="25">
        <v>0</v>
      </c>
      <c r="X590" s="25">
        <v>1</v>
      </c>
      <c r="Y590" s="25">
        <v>0</v>
      </c>
      <c r="Z590" s="25">
        <v>0</v>
      </c>
      <c r="AA590" s="25">
        <v>0</v>
      </c>
      <c r="AB590" s="25">
        <v>0</v>
      </c>
      <c r="AC590" s="25">
        <v>0</v>
      </c>
      <c r="AD590" s="25">
        <v>0</v>
      </c>
      <c r="AE590" s="25">
        <v>1</v>
      </c>
      <c r="AF590" s="25" t="s">
        <v>131</v>
      </c>
    </row>
    <row r="591" spans="1:32" s="25" customFormat="1" x14ac:dyDescent="0.25">
      <c r="A591" s="25" t="s">
        <v>171</v>
      </c>
      <c r="B591" s="25">
        <f t="shared" si="21"/>
        <v>3460</v>
      </c>
      <c r="C591" s="25" t="s">
        <v>12</v>
      </c>
      <c r="D591" s="25">
        <v>0</v>
      </c>
      <c r="E591" s="25">
        <v>0</v>
      </c>
      <c r="F591" s="25">
        <v>256</v>
      </c>
      <c r="G591" s="25">
        <v>222</v>
      </c>
      <c r="H591" s="27">
        <v>0</v>
      </c>
      <c r="I591" s="27">
        <v>0</v>
      </c>
      <c r="J591" s="27">
        <v>0</v>
      </c>
      <c r="K591" s="27">
        <v>0</v>
      </c>
      <c r="L591" s="27">
        <v>1</v>
      </c>
      <c r="M591" s="27">
        <v>0</v>
      </c>
      <c r="N591" s="27">
        <v>0</v>
      </c>
      <c r="O591" s="27">
        <v>0</v>
      </c>
      <c r="P591" s="25">
        <v>700</v>
      </c>
      <c r="Q591" s="25">
        <v>560</v>
      </c>
      <c r="R591" s="25" t="s">
        <v>87</v>
      </c>
      <c r="S591" s="25" t="s">
        <v>89</v>
      </c>
      <c r="T591" s="25">
        <v>0</v>
      </c>
      <c r="U591" s="25">
        <v>0</v>
      </c>
      <c r="V591" s="25">
        <v>0</v>
      </c>
      <c r="W591" s="25">
        <v>0</v>
      </c>
      <c r="X591" s="25">
        <v>1</v>
      </c>
      <c r="Y591" s="25">
        <v>0</v>
      </c>
      <c r="Z591" s="25">
        <v>0</v>
      </c>
      <c r="AA591" s="25">
        <v>0</v>
      </c>
      <c r="AB591" s="25">
        <v>0</v>
      </c>
      <c r="AC591" s="25">
        <v>0</v>
      </c>
      <c r="AD591" s="25">
        <v>0</v>
      </c>
      <c r="AE591" s="25">
        <v>1</v>
      </c>
      <c r="AF591" s="25" t="s">
        <v>131</v>
      </c>
    </row>
    <row r="592" spans="1:32" s="25" customFormat="1" x14ac:dyDescent="0.25">
      <c r="A592" s="25" t="s">
        <v>171</v>
      </c>
      <c r="B592" s="25">
        <f t="shared" si="21"/>
        <v>3470</v>
      </c>
      <c r="C592" s="25" t="s">
        <v>12</v>
      </c>
      <c r="D592" s="25">
        <v>0</v>
      </c>
      <c r="E592" s="25">
        <v>0</v>
      </c>
      <c r="F592" s="25">
        <v>256</v>
      </c>
      <c r="G592" s="25">
        <v>222</v>
      </c>
      <c r="H592" s="27">
        <v>0</v>
      </c>
      <c r="I592" s="27">
        <v>0</v>
      </c>
      <c r="J592" s="27">
        <v>0</v>
      </c>
      <c r="K592" s="27">
        <v>0</v>
      </c>
      <c r="L592" s="27">
        <v>1</v>
      </c>
      <c r="M592" s="27">
        <v>0</v>
      </c>
      <c r="N592" s="27">
        <v>0</v>
      </c>
      <c r="O592" s="27">
        <v>0</v>
      </c>
      <c r="P592" s="25">
        <v>700</v>
      </c>
      <c r="Q592" s="25">
        <v>560</v>
      </c>
      <c r="R592" s="25" t="s">
        <v>87</v>
      </c>
      <c r="S592" s="25" t="s">
        <v>89</v>
      </c>
      <c r="T592" s="25">
        <v>0</v>
      </c>
      <c r="U592" s="25">
        <v>0</v>
      </c>
      <c r="V592" s="25">
        <v>0</v>
      </c>
      <c r="W592" s="25">
        <v>0</v>
      </c>
      <c r="X592" s="25">
        <v>1</v>
      </c>
      <c r="Y592" s="25">
        <v>0</v>
      </c>
      <c r="Z592" s="25">
        <v>0</v>
      </c>
      <c r="AA592" s="25">
        <v>0</v>
      </c>
      <c r="AB592" s="25">
        <v>0</v>
      </c>
      <c r="AC592" s="25">
        <v>0</v>
      </c>
      <c r="AD592" s="25">
        <v>0</v>
      </c>
      <c r="AE592" s="25">
        <v>1</v>
      </c>
      <c r="AF592" s="25" t="s">
        <v>131</v>
      </c>
    </row>
    <row r="593" spans="1:32" x14ac:dyDescent="0.25">
      <c r="A593" t="s">
        <v>171</v>
      </c>
      <c r="B593" s="25">
        <f t="shared" si="21"/>
        <v>3480</v>
      </c>
      <c r="C593" t="s">
        <v>12</v>
      </c>
      <c r="D593">
        <v>0</v>
      </c>
      <c r="E593">
        <v>0</v>
      </c>
      <c r="F593">
        <v>256</v>
      </c>
      <c r="G593">
        <v>222</v>
      </c>
      <c r="H593" s="27">
        <v>0</v>
      </c>
      <c r="I593" s="27">
        <v>0</v>
      </c>
      <c r="J593" s="27">
        <v>0</v>
      </c>
      <c r="K593" s="27">
        <v>0</v>
      </c>
      <c r="L593" s="27">
        <v>1</v>
      </c>
      <c r="M593" s="27">
        <v>0</v>
      </c>
      <c r="N593" s="27">
        <v>0</v>
      </c>
      <c r="O593" s="27">
        <v>0</v>
      </c>
      <c r="P593">
        <v>700</v>
      </c>
      <c r="Q593">
        <v>560</v>
      </c>
      <c r="R593" t="s">
        <v>87</v>
      </c>
      <c r="S593" t="s">
        <v>89</v>
      </c>
      <c r="T593">
        <v>0</v>
      </c>
      <c r="U593">
        <v>0</v>
      </c>
      <c r="V593">
        <v>0</v>
      </c>
      <c r="W593">
        <v>0</v>
      </c>
      <c r="X593">
        <v>1</v>
      </c>
      <c r="Y593">
        <v>0</v>
      </c>
      <c r="Z593">
        <v>0</v>
      </c>
      <c r="AA593">
        <v>0</v>
      </c>
      <c r="AB593">
        <v>0</v>
      </c>
      <c r="AC593">
        <v>0</v>
      </c>
      <c r="AD593">
        <v>0</v>
      </c>
      <c r="AE593">
        <v>1</v>
      </c>
      <c r="AF593" t="s">
        <v>131</v>
      </c>
    </row>
    <row r="594" spans="1:32" x14ac:dyDescent="0.25">
      <c r="A594" t="s">
        <v>171</v>
      </c>
      <c r="B594" s="25">
        <f t="shared" si="21"/>
        <v>3490</v>
      </c>
      <c r="C594" t="s">
        <v>12</v>
      </c>
      <c r="D594" t="s">
        <v>13</v>
      </c>
      <c r="E594" t="s">
        <v>13</v>
      </c>
      <c r="F594" t="s">
        <v>13</v>
      </c>
      <c r="G594" t="s">
        <v>13</v>
      </c>
      <c r="H594" s="27" t="s">
        <v>13</v>
      </c>
      <c r="I594" s="27" t="s">
        <v>13</v>
      </c>
      <c r="J594" s="27" t="s">
        <v>13</v>
      </c>
      <c r="K594" s="27" t="s">
        <v>13</v>
      </c>
      <c r="L594" s="27" t="s">
        <v>13</v>
      </c>
      <c r="M594" s="27" t="s">
        <v>13</v>
      </c>
      <c r="N594" s="27" t="s">
        <v>13</v>
      </c>
      <c r="O594" s="27" t="s">
        <v>13</v>
      </c>
      <c r="P594">
        <v>700</v>
      </c>
      <c r="Q594">
        <v>560</v>
      </c>
      <c r="R594" t="s">
        <v>87</v>
      </c>
      <c r="S594" t="s">
        <v>89</v>
      </c>
      <c r="T594">
        <v>0</v>
      </c>
      <c r="U594">
        <v>0</v>
      </c>
      <c r="V594">
        <v>0</v>
      </c>
      <c r="W594">
        <v>0</v>
      </c>
      <c r="X594">
        <v>1</v>
      </c>
      <c r="Y594">
        <v>0</v>
      </c>
      <c r="Z594">
        <v>0</v>
      </c>
      <c r="AA594">
        <v>0</v>
      </c>
      <c r="AB594">
        <v>0</v>
      </c>
      <c r="AC594">
        <v>0</v>
      </c>
      <c r="AD594">
        <v>0</v>
      </c>
      <c r="AE594">
        <v>1</v>
      </c>
      <c r="AF594" t="s">
        <v>132</v>
      </c>
    </row>
    <row r="595" spans="1:32" x14ac:dyDescent="0.25">
      <c r="A595" t="s">
        <v>171</v>
      </c>
      <c r="B595" s="25">
        <f t="shared" si="21"/>
        <v>3500</v>
      </c>
      <c r="C595" t="s">
        <v>12</v>
      </c>
      <c r="D595">
        <v>0</v>
      </c>
      <c r="E595">
        <v>0</v>
      </c>
      <c r="F595">
        <v>256</v>
      </c>
      <c r="G595">
        <v>222</v>
      </c>
      <c r="H595" s="27">
        <v>0</v>
      </c>
      <c r="I595" s="27">
        <v>0</v>
      </c>
      <c r="J595" s="27">
        <v>0</v>
      </c>
      <c r="K595" s="27">
        <v>0</v>
      </c>
      <c r="L595" s="27">
        <v>1</v>
      </c>
      <c r="M595" s="27">
        <v>0</v>
      </c>
      <c r="N595" s="27">
        <v>0</v>
      </c>
      <c r="O595" s="27">
        <v>0</v>
      </c>
      <c r="P595">
        <v>700</v>
      </c>
      <c r="Q595">
        <v>560</v>
      </c>
      <c r="R595" t="s">
        <v>87</v>
      </c>
      <c r="S595" t="s">
        <v>89</v>
      </c>
      <c r="T595">
        <v>0</v>
      </c>
      <c r="U595">
        <v>0</v>
      </c>
      <c r="V595">
        <v>0</v>
      </c>
      <c r="W595">
        <v>0</v>
      </c>
      <c r="X595">
        <v>1</v>
      </c>
      <c r="Y595">
        <v>0</v>
      </c>
      <c r="Z595">
        <v>0</v>
      </c>
      <c r="AA595">
        <v>0</v>
      </c>
      <c r="AB595">
        <v>0</v>
      </c>
      <c r="AC595">
        <v>0</v>
      </c>
      <c r="AD595">
        <v>0</v>
      </c>
      <c r="AE595">
        <v>1</v>
      </c>
      <c r="AF595" t="s">
        <v>132</v>
      </c>
    </row>
    <row r="596" spans="1:32" s="25" customFormat="1" x14ac:dyDescent="0.25">
      <c r="A596" s="25" t="s">
        <v>171</v>
      </c>
      <c r="B596" s="25">
        <f t="shared" ref="B596:B648" si="22">B595+10</f>
        <v>3510</v>
      </c>
      <c r="C596" s="25" t="s">
        <v>12</v>
      </c>
      <c r="D596" s="25">
        <v>0</v>
      </c>
      <c r="E596" s="25">
        <v>0</v>
      </c>
      <c r="F596" s="25">
        <v>256</v>
      </c>
      <c r="G596" s="25">
        <v>222</v>
      </c>
      <c r="H596" s="27">
        <v>0</v>
      </c>
      <c r="I596" s="27">
        <v>0</v>
      </c>
      <c r="J596" s="27">
        <v>0</v>
      </c>
      <c r="K596" s="27">
        <v>0</v>
      </c>
      <c r="L596" s="27">
        <v>1</v>
      </c>
      <c r="M596" s="27">
        <v>0</v>
      </c>
      <c r="N596" s="27">
        <v>0</v>
      </c>
      <c r="O596" s="27">
        <v>0</v>
      </c>
      <c r="P596" s="25">
        <v>700</v>
      </c>
      <c r="Q596" s="25">
        <v>560</v>
      </c>
      <c r="R596" s="25" t="s">
        <v>87</v>
      </c>
      <c r="S596" s="25" t="s">
        <v>89</v>
      </c>
      <c r="T596" s="25">
        <v>0</v>
      </c>
      <c r="U596" s="25">
        <v>0</v>
      </c>
      <c r="V596" s="25">
        <v>0</v>
      </c>
      <c r="W596" s="25">
        <v>0</v>
      </c>
      <c r="X596" s="25">
        <v>1</v>
      </c>
      <c r="Y596" s="25">
        <v>0</v>
      </c>
      <c r="Z596" s="25">
        <v>0</v>
      </c>
      <c r="AA596" s="25">
        <v>0</v>
      </c>
      <c r="AB596" s="25">
        <v>0</v>
      </c>
      <c r="AC596" s="25">
        <v>0</v>
      </c>
      <c r="AD596" s="25">
        <v>0</v>
      </c>
      <c r="AE596" s="25">
        <v>1</v>
      </c>
      <c r="AF596" s="25" t="s">
        <v>132</v>
      </c>
    </row>
    <row r="597" spans="1:32" s="25" customFormat="1" x14ac:dyDescent="0.25">
      <c r="A597" s="25" t="s">
        <v>171</v>
      </c>
      <c r="B597" s="25">
        <f t="shared" si="22"/>
        <v>3520</v>
      </c>
      <c r="C597" s="25" t="s">
        <v>12</v>
      </c>
      <c r="D597" s="25">
        <v>0</v>
      </c>
      <c r="E597" s="25">
        <v>0</v>
      </c>
      <c r="F597" s="25">
        <v>256</v>
      </c>
      <c r="G597" s="25">
        <v>222</v>
      </c>
      <c r="H597" s="27">
        <v>0</v>
      </c>
      <c r="I597" s="27">
        <v>0</v>
      </c>
      <c r="J597" s="27">
        <v>0</v>
      </c>
      <c r="K597" s="27">
        <v>0</v>
      </c>
      <c r="L597" s="27">
        <v>1</v>
      </c>
      <c r="M597" s="27">
        <v>0</v>
      </c>
      <c r="N597" s="27">
        <v>0</v>
      </c>
      <c r="O597" s="27">
        <v>0</v>
      </c>
      <c r="P597" s="25">
        <v>700</v>
      </c>
      <c r="Q597" s="25">
        <v>560</v>
      </c>
      <c r="R597" s="25" t="s">
        <v>87</v>
      </c>
      <c r="S597" s="25" t="s">
        <v>89</v>
      </c>
      <c r="T597" s="25">
        <v>0</v>
      </c>
      <c r="U597" s="25">
        <v>0</v>
      </c>
      <c r="V597" s="25">
        <v>0</v>
      </c>
      <c r="W597" s="25">
        <v>0</v>
      </c>
      <c r="X597" s="25">
        <v>1</v>
      </c>
      <c r="Y597" s="25">
        <v>0</v>
      </c>
      <c r="Z597" s="25">
        <v>0</v>
      </c>
      <c r="AA597" s="25">
        <v>0</v>
      </c>
      <c r="AB597" s="25">
        <v>0</v>
      </c>
      <c r="AC597" s="25">
        <v>0</v>
      </c>
      <c r="AD597" s="25">
        <v>0</v>
      </c>
      <c r="AE597" s="25">
        <v>1</v>
      </c>
      <c r="AF597" s="25" t="s">
        <v>132</v>
      </c>
    </row>
    <row r="598" spans="1:32" s="25" customFormat="1" x14ac:dyDescent="0.25">
      <c r="A598" s="25" t="s">
        <v>171</v>
      </c>
      <c r="B598" s="25">
        <f t="shared" si="22"/>
        <v>3530</v>
      </c>
      <c r="C598" s="25" t="s">
        <v>12</v>
      </c>
      <c r="D598" s="25">
        <v>0</v>
      </c>
      <c r="E598" s="25">
        <v>0</v>
      </c>
      <c r="F598" s="25">
        <v>256</v>
      </c>
      <c r="G598" s="25">
        <v>222</v>
      </c>
      <c r="H598" s="27">
        <v>0</v>
      </c>
      <c r="I598" s="27">
        <v>0</v>
      </c>
      <c r="J598" s="27">
        <v>0</v>
      </c>
      <c r="K598" s="27">
        <v>0</v>
      </c>
      <c r="L598" s="27">
        <v>1</v>
      </c>
      <c r="M598" s="27">
        <v>0</v>
      </c>
      <c r="N598" s="27">
        <v>0</v>
      </c>
      <c r="O598" s="27">
        <v>0</v>
      </c>
      <c r="P598" s="25">
        <v>700</v>
      </c>
      <c r="Q598" s="25">
        <v>560</v>
      </c>
      <c r="R598" s="25" t="s">
        <v>87</v>
      </c>
      <c r="S598" s="25" t="s">
        <v>89</v>
      </c>
      <c r="T598" s="25">
        <v>0</v>
      </c>
      <c r="U598" s="25">
        <v>0</v>
      </c>
      <c r="V598" s="25">
        <v>0</v>
      </c>
      <c r="W598" s="25">
        <v>0</v>
      </c>
      <c r="X598" s="25">
        <v>1</v>
      </c>
      <c r="Y598" s="25">
        <v>0</v>
      </c>
      <c r="Z598" s="25">
        <v>0</v>
      </c>
      <c r="AA598" s="25">
        <v>0</v>
      </c>
      <c r="AB598" s="25">
        <v>0</v>
      </c>
      <c r="AC598" s="25">
        <v>0</v>
      </c>
      <c r="AD598" s="25">
        <v>0</v>
      </c>
      <c r="AE598" s="25">
        <v>1</v>
      </c>
      <c r="AF598" s="25" t="s">
        <v>132</v>
      </c>
    </row>
    <row r="599" spans="1:32" s="25" customFormat="1" x14ac:dyDescent="0.25">
      <c r="A599" s="25" t="s">
        <v>171</v>
      </c>
      <c r="B599" s="25">
        <f t="shared" si="22"/>
        <v>3540</v>
      </c>
      <c r="C599" s="25" t="s">
        <v>12</v>
      </c>
      <c r="D599" s="25">
        <v>0</v>
      </c>
      <c r="E599" s="25">
        <v>0</v>
      </c>
      <c r="F599" s="25">
        <v>256</v>
      </c>
      <c r="G599" s="25">
        <v>222</v>
      </c>
      <c r="H599" s="27">
        <v>0</v>
      </c>
      <c r="I599" s="27">
        <v>0</v>
      </c>
      <c r="J599" s="27">
        <v>0</v>
      </c>
      <c r="K599" s="27">
        <v>0</v>
      </c>
      <c r="L599" s="27">
        <v>1</v>
      </c>
      <c r="M599" s="27">
        <v>0</v>
      </c>
      <c r="N599" s="27">
        <v>0</v>
      </c>
      <c r="O599" s="27">
        <v>0</v>
      </c>
      <c r="P599" s="25">
        <v>700</v>
      </c>
      <c r="Q599" s="25">
        <v>560</v>
      </c>
      <c r="R599" s="25" t="s">
        <v>87</v>
      </c>
      <c r="S599" s="25" t="s">
        <v>89</v>
      </c>
      <c r="T599" s="25">
        <v>0</v>
      </c>
      <c r="U599" s="25">
        <v>0</v>
      </c>
      <c r="V599" s="25">
        <v>0</v>
      </c>
      <c r="W599" s="25">
        <v>0</v>
      </c>
      <c r="X599" s="25">
        <v>1</v>
      </c>
      <c r="Y599" s="25">
        <v>0</v>
      </c>
      <c r="Z599" s="25">
        <v>0</v>
      </c>
      <c r="AA599" s="25">
        <v>0</v>
      </c>
      <c r="AB599" s="25">
        <v>0</v>
      </c>
      <c r="AC599" s="25">
        <v>0</v>
      </c>
      <c r="AD599" s="25">
        <v>0</v>
      </c>
      <c r="AE599" s="25">
        <v>1</v>
      </c>
      <c r="AF599" s="25" t="s">
        <v>132</v>
      </c>
    </row>
    <row r="600" spans="1:32" s="25" customFormat="1" x14ac:dyDescent="0.25">
      <c r="A600" s="25" t="s">
        <v>171</v>
      </c>
      <c r="B600" s="25">
        <f t="shared" si="22"/>
        <v>3550</v>
      </c>
      <c r="C600" s="25" t="s">
        <v>12</v>
      </c>
      <c r="D600" s="25">
        <v>0</v>
      </c>
      <c r="E600" s="25">
        <v>0</v>
      </c>
      <c r="F600" s="25">
        <v>256</v>
      </c>
      <c r="G600" s="25">
        <v>222</v>
      </c>
      <c r="H600" s="27">
        <v>0</v>
      </c>
      <c r="I600" s="27">
        <v>0</v>
      </c>
      <c r="J600" s="27">
        <v>0</v>
      </c>
      <c r="K600" s="27">
        <v>0</v>
      </c>
      <c r="L600" s="27">
        <v>1</v>
      </c>
      <c r="M600" s="27">
        <v>0</v>
      </c>
      <c r="N600" s="27">
        <v>0</v>
      </c>
      <c r="O600" s="27">
        <v>0</v>
      </c>
      <c r="P600" s="25">
        <v>700</v>
      </c>
      <c r="Q600" s="25">
        <v>560</v>
      </c>
      <c r="R600" s="25" t="s">
        <v>87</v>
      </c>
      <c r="S600" s="25" t="s">
        <v>89</v>
      </c>
      <c r="T600" s="25">
        <v>0</v>
      </c>
      <c r="U600" s="25">
        <v>0</v>
      </c>
      <c r="V600" s="25">
        <v>0</v>
      </c>
      <c r="W600" s="25">
        <v>0</v>
      </c>
      <c r="X600" s="25">
        <v>1</v>
      </c>
      <c r="Y600" s="25">
        <v>0</v>
      </c>
      <c r="Z600" s="25">
        <v>0</v>
      </c>
      <c r="AA600" s="25">
        <v>0</v>
      </c>
      <c r="AB600" s="25">
        <v>0</v>
      </c>
      <c r="AC600" s="25">
        <v>0</v>
      </c>
      <c r="AD600" s="25">
        <v>0</v>
      </c>
      <c r="AE600" s="25">
        <v>1</v>
      </c>
      <c r="AF600" s="25" t="s">
        <v>132</v>
      </c>
    </row>
    <row r="601" spans="1:32" s="25" customFormat="1" x14ac:dyDescent="0.25">
      <c r="A601" s="25" t="s">
        <v>171</v>
      </c>
      <c r="B601" s="25">
        <f t="shared" si="22"/>
        <v>3560</v>
      </c>
      <c r="C601" s="25" t="s">
        <v>12</v>
      </c>
      <c r="D601" s="25">
        <v>0</v>
      </c>
      <c r="E601" s="25">
        <v>0</v>
      </c>
      <c r="F601" s="25">
        <v>256</v>
      </c>
      <c r="G601" s="25">
        <v>222</v>
      </c>
      <c r="H601" s="27">
        <v>0</v>
      </c>
      <c r="I601" s="27">
        <v>0</v>
      </c>
      <c r="J601" s="27">
        <v>0</v>
      </c>
      <c r="K601" s="27">
        <v>0</v>
      </c>
      <c r="L601" s="27">
        <v>1</v>
      </c>
      <c r="M601" s="27">
        <v>0</v>
      </c>
      <c r="N601" s="27">
        <v>0</v>
      </c>
      <c r="O601" s="27">
        <v>0</v>
      </c>
      <c r="P601" s="25">
        <v>700</v>
      </c>
      <c r="Q601" s="25">
        <v>560</v>
      </c>
      <c r="R601" s="25" t="s">
        <v>87</v>
      </c>
      <c r="S601" s="25" t="s">
        <v>89</v>
      </c>
      <c r="T601" s="25">
        <v>0</v>
      </c>
      <c r="U601" s="25">
        <v>0</v>
      </c>
      <c r="V601" s="25">
        <v>0</v>
      </c>
      <c r="W601" s="25">
        <v>0</v>
      </c>
      <c r="X601" s="25">
        <v>1</v>
      </c>
      <c r="Y601" s="25">
        <v>0</v>
      </c>
      <c r="Z601" s="25">
        <v>0</v>
      </c>
      <c r="AA601" s="25">
        <v>0</v>
      </c>
      <c r="AB601" s="25">
        <v>0</v>
      </c>
      <c r="AC601" s="25">
        <v>0</v>
      </c>
      <c r="AD601" s="25">
        <v>0</v>
      </c>
      <c r="AE601" s="25">
        <v>1</v>
      </c>
      <c r="AF601" s="25" t="s">
        <v>132</v>
      </c>
    </row>
    <row r="602" spans="1:32" s="25" customFormat="1" x14ac:dyDescent="0.25">
      <c r="A602" s="25" t="s">
        <v>171</v>
      </c>
      <c r="B602" s="25">
        <f t="shared" si="22"/>
        <v>3570</v>
      </c>
      <c r="C602" s="25" t="s">
        <v>12</v>
      </c>
      <c r="D602" s="25">
        <v>0</v>
      </c>
      <c r="E602" s="25">
        <v>0</v>
      </c>
      <c r="F602" s="25">
        <v>256</v>
      </c>
      <c r="G602" s="25">
        <v>222</v>
      </c>
      <c r="H602" s="27">
        <v>0</v>
      </c>
      <c r="I602" s="27">
        <v>0</v>
      </c>
      <c r="J602" s="27">
        <v>0</v>
      </c>
      <c r="K602" s="27">
        <v>0</v>
      </c>
      <c r="L602" s="27">
        <v>1</v>
      </c>
      <c r="M602" s="27">
        <v>0</v>
      </c>
      <c r="N602" s="27">
        <v>0</v>
      </c>
      <c r="O602" s="27">
        <v>0</v>
      </c>
      <c r="P602" s="25">
        <v>700</v>
      </c>
      <c r="Q602" s="25">
        <v>560</v>
      </c>
      <c r="R602" s="25" t="s">
        <v>87</v>
      </c>
      <c r="S602" s="25" t="s">
        <v>89</v>
      </c>
      <c r="T602" s="25">
        <v>0</v>
      </c>
      <c r="U602" s="25">
        <v>0</v>
      </c>
      <c r="V602" s="25">
        <v>0</v>
      </c>
      <c r="W602" s="25">
        <v>0</v>
      </c>
      <c r="X602" s="25">
        <v>1</v>
      </c>
      <c r="Y602" s="25">
        <v>0</v>
      </c>
      <c r="Z602" s="25">
        <v>0</v>
      </c>
      <c r="AA602" s="25">
        <v>0</v>
      </c>
      <c r="AB602" s="25">
        <v>0</v>
      </c>
      <c r="AC602" s="25">
        <v>0</v>
      </c>
      <c r="AD602" s="25">
        <v>0</v>
      </c>
      <c r="AE602" s="25">
        <v>1</v>
      </c>
      <c r="AF602" s="25" t="s">
        <v>132</v>
      </c>
    </row>
    <row r="603" spans="1:32" s="25" customFormat="1" x14ac:dyDescent="0.25">
      <c r="A603" s="25" t="s">
        <v>171</v>
      </c>
      <c r="B603" s="25">
        <f t="shared" si="22"/>
        <v>3580</v>
      </c>
      <c r="C603" s="25" t="s">
        <v>12</v>
      </c>
      <c r="D603" s="25">
        <v>0</v>
      </c>
      <c r="E603" s="25">
        <v>0</v>
      </c>
      <c r="F603" s="25">
        <v>256</v>
      </c>
      <c r="G603" s="25">
        <v>222</v>
      </c>
      <c r="H603" s="27">
        <v>0</v>
      </c>
      <c r="I603" s="27">
        <v>0</v>
      </c>
      <c r="J603" s="27">
        <v>0</v>
      </c>
      <c r="K603" s="27">
        <v>0</v>
      </c>
      <c r="L603" s="27">
        <v>1</v>
      </c>
      <c r="M603" s="27">
        <v>0</v>
      </c>
      <c r="N603" s="27">
        <v>0</v>
      </c>
      <c r="O603" s="27">
        <v>0</v>
      </c>
      <c r="P603" s="25">
        <v>700</v>
      </c>
      <c r="Q603" s="25">
        <v>560</v>
      </c>
      <c r="R603" s="25" t="s">
        <v>87</v>
      </c>
      <c r="S603" s="25" t="s">
        <v>89</v>
      </c>
      <c r="T603" s="25">
        <v>0</v>
      </c>
      <c r="U603" s="25">
        <v>0</v>
      </c>
      <c r="V603" s="25">
        <v>0</v>
      </c>
      <c r="W603" s="25">
        <v>0</v>
      </c>
      <c r="X603" s="25">
        <v>1</v>
      </c>
      <c r="Y603" s="25">
        <v>0</v>
      </c>
      <c r="Z603" s="25">
        <v>0</v>
      </c>
      <c r="AA603" s="25">
        <v>0</v>
      </c>
      <c r="AB603" s="25">
        <v>0</v>
      </c>
      <c r="AC603" s="25">
        <v>0</v>
      </c>
      <c r="AD603" s="25">
        <v>0</v>
      </c>
      <c r="AE603" s="25">
        <v>1</v>
      </c>
      <c r="AF603" s="25" t="s">
        <v>132</v>
      </c>
    </row>
    <row r="604" spans="1:32" s="25" customFormat="1" x14ac:dyDescent="0.25">
      <c r="A604" s="25" t="s">
        <v>171</v>
      </c>
      <c r="B604" s="25">
        <f t="shared" si="22"/>
        <v>3590</v>
      </c>
      <c r="C604" s="25" t="s">
        <v>12</v>
      </c>
      <c r="D604" s="25">
        <v>0</v>
      </c>
      <c r="E604" s="25">
        <v>0</v>
      </c>
      <c r="F604" s="25">
        <v>256</v>
      </c>
      <c r="G604" s="25">
        <v>222</v>
      </c>
      <c r="H604" s="27">
        <v>0</v>
      </c>
      <c r="I604" s="27">
        <v>0</v>
      </c>
      <c r="J604" s="27">
        <v>0</v>
      </c>
      <c r="K604" s="27">
        <v>0</v>
      </c>
      <c r="L604" s="27">
        <v>1</v>
      </c>
      <c r="M604" s="27">
        <v>0</v>
      </c>
      <c r="N604" s="27">
        <v>0</v>
      </c>
      <c r="O604" s="27">
        <v>0</v>
      </c>
      <c r="P604" s="25">
        <v>700</v>
      </c>
      <c r="Q604" s="25">
        <v>560</v>
      </c>
      <c r="R604" s="25" t="s">
        <v>87</v>
      </c>
      <c r="S604" s="25" t="s">
        <v>89</v>
      </c>
      <c r="T604" s="25">
        <v>0</v>
      </c>
      <c r="U604" s="25">
        <v>0</v>
      </c>
      <c r="V604" s="25">
        <v>0</v>
      </c>
      <c r="W604" s="25">
        <v>0</v>
      </c>
      <c r="X604" s="25">
        <v>1</v>
      </c>
      <c r="Y604" s="25">
        <v>0</v>
      </c>
      <c r="Z604" s="25">
        <v>0</v>
      </c>
      <c r="AA604" s="25">
        <v>0</v>
      </c>
      <c r="AB604" s="25">
        <v>0</v>
      </c>
      <c r="AC604" s="25">
        <v>0</v>
      </c>
      <c r="AD604" s="25">
        <v>0</v>
      </c>
      <c r="AE604" s="25">
        <v>1</v>
      </c>
      <c r="AF604" s="25" t="s">
        <v>132</v>
      </c>
    </row>
    <row r="605" spans="1:32" s="25" customFormat="1" x14ac:dyDescent="0.25">
      <c r="A605" s="25" t="s">
        <v>171</v>
      </c>
      <c r="B605" s="25">
        <f t="shared" si="22"/>
        <v>3600</v>
      </c>
      <c r="C605" s="25" t="s">
        <v>12</v>
      </c>
      <c r="D605" s="25">
        <v>0</v>
      </c>
      <c r="E605" s="25">
        <v>0</v>
      </c>
      <c r="F605" s="25">
        <v>256</v>
      </c>
      <c r="G605" s="25">
        <v>222</v>
      </c>
      <c r="H605" s="27">
        <v>0</v>
      </c>
      <c r="I605" s="27">
        <v>0</v>
      </c>
      <c r="J605" s="27">
        <v>0</v>
      </c>
      <c r="K605" s="27">
        <v>0</v>
      </c>
      <c r="L605" s="27">
        <v>1</v>
      </c>
      <c r="M605" s="27">
        <v>0</v>
      </c>
      <c r="N605" s="27">
        <v>0</v>
      </c>
      <c r="O605" s="27">
        <v>0</v>
      </c>
      <c r="P605" s="25">
        <v>700</v>
      </c>
      <c r="Q605" s="25">
        <v>560</v>
      </c>
      <c r="R605" s="25" t="s">
        <v>87</v>
      </c>
      <c r="S605" s="25" t="s">
        <v>89</v>
      </c>
      <c r="T605" s="25">
        <v>0</v>
      </c>
      <c r="U605" s="25">
        <v>0</v>
      </c>
      <c r="V605" s="25">
        <v>0</v>
      </c>
      <c r="W605" s="25">
        <v>0</v>
      </c>
      <c r="X605" s="25">
        <v>1</v>
      </c>
      <c r="Y605" s="25">
        <v>0</v>
      </c>
      <c r="Z605" s="25">
        <v>0</v>
      </c>
      <c r="AA605" s="25">
        <v>0</v>
      </c>
      <c r="AB605" s="25">
        <v>0</v>
      </c>
      <c r="AC605" s="25">
        <v>0</v>
      </c>
      <c r="AD605" s="25">
        <v>0</v>
      </c>
      <c r="AE605" s="25">
        <v>1</v>
      </c>
      <c r="AF605" s="25" t="s">
        <v>132</v>
      </c>
    </row>
    <row r="606" spans="1:32" s="25" customFormat="1" x14ac:dyDescent="0.25">
      <c r="A606" s="25" t="s">
        <v>171</v>
      </c>
      <c r="B606" s="25">
        <f t="shared" si="22"/>
        <v>3610</v>
      </c>
      <c r="C606" s="25" t="s">
        <v>12</v>
      </c>
      <c r="D606" s="25">
        <v>0</v>
      </c>
      <c r="E606" s="25">
        <v>0</v>
      </c>
      <c r="F606" s="25">
        <v>256</v>
      </c>
      <c r="G606" s="25">
        <v>222</v>
      </c>
      <c r="H606" s="27">
        <v>0</v>
      </c>
      <c r="I606" s="27">
        <v>0</v>
      </c>
      <c r="J606" s="27">
        <v>0</v>
      </c>
      <c r="K606" s="27">
        <v>0</v>
      </c>
      <c r="L606" s="27">
        <v>1</v>
      </c>
      <c r="M606" s="27">
        <v>0</v>
      </c>
      <c r="N606" s="27">
        <v>0</v>
      </c>
      <c r="O606" s="27">
        <v>0</v>
      </c>
      <c r="P606" s="25">
        <v>700</v>
      </c>
      <c r="Q606" s="25">
        <v>560</v>
      </c>
      <c r="R606" s="25" t="s">
        <v>87</v>
      </c>
      <c r="S606" s="25" t="s">
        <v>89</v>
      </c>
      <c r="T606" s="25">
        <v>0</v>
      </c>
      <c r="U606" s="25">
        <v>0</v>
      </c>
      <c r="V606" s="25">
        <v>0</v>
      </c>
      <c r="W606" s="25">
        <v>0</v>
      </c>
      <c r="X606" s="25">
        <v>1</v>
      </c>
      <c r="Y606" s="25">
        <v>0</v>
      </c>
      <c r="Z606" s="25">
        <v>0</v>
      </c>
      <c r="AA606" s="25">
        <v>0</v>
      </c>
      <c r="AB606" s="25">
        <v>0</v>
      </c>
      <c r="AC606" s="25">
        <v>0</v>
      </c>
      <c r="AD606" s="25">
        <v>0</v>
      </c>
      <c r="AE606" s="25">
        <v>1</v>
      </c>
      <c r="AF606" s="25" t="s">
        <v>132</v>
      </c>
    </row>
    <row r="607" spans="1:32" s="25" customFormat="1" x14ac:dyDescent="0.25">
      <c r="A607" s="25" t="s">
        <v>171</v>
      </c>
      <c r="B607" s="25">
        <f t="shared" si="22"/>
        <v>3620</v>
      </c>
      <c r="C607" s="25" t="s">
        <v>12</v>
      </c>
      <c r="D607" s="25">
        <v>0</v>
      </c>
      <c r="E607" s="25">
        <v>0</v>
      </c>
      <c r="F607" s="25">
        <v>256</v>
      </c>
      <c r="G607" s="25">
        <v>222</v>
      </c>
      <c r="H607" s="27">
        <v>0</v>
      </c>
      <c r="I607" s="27">
        <v>0</v>
      </c>
      <c r="J607" s="27">
        <v>0</v>
      </c>
      <c r="K607" s="27">
        <v>0</v>
      </c>
      <c r="L607" s="27">
        <v>1</v>
      </c>
      <c r="M607" s="27">
        <v>0</v>
      </c>
      <c r="N607" s="27">
        <v>0</v>
      </c>
      <c r="O607" s="27">
        <v>0</v>
      </c>
      <c r="P607" s="25">
        <v>700</v>
      </c>
      <c r="Q607" s="25">
        <v>560</v>
      </c>
      <c r="R607" s="25" t="s">
        <v>87</v>
      </c>
      <c r="S607" s="25" t="s">
        <v>89</v>
      </c>
      <c r="T607" s="25">
        <v>0</v>
      </c>
      <c r="U607" s="25">
        <v>0</v>
      </c>
      <c r="V607" s="25">
        <v>0</v>
      </c>
      <c r="W607" s="25">
        <v>0</v>
      </c>
      <c r="X607" s="25">
        <v>1</v>
      </c>
      <c r="Y607" s="25">
        <v>0</v>
      </c>
      <c r="Z607" s="25">
        <v>0</v>
      </c>
      <c r="AA607" s="25">
        <v>0</v>
      </c>
      <c r="AB607" s="25">
        <v>0</v>
      </c>
      <c r="AC607" s="25">
        <v>0</v>
      </c>
      <c r="AD607" s="25">
        <v>0</v>
      </c>
      <c r="AE607" s="25">
        <v>1</v>
      </c>
      <c r="AF607" s="25" t="s">
        <v>132</v>
      </c>
    </row>
    <row r="608" spans="1:32" s="25" customFormat="1" x14ac:dyDescent="0.25">
      <c r="A608" s="25" t="s">
        <v>171</v>
      </c>
      <c r="B608" s="25">
        <f t="shared" si="22"/>
        <v>3630</v>
      </c>
      <c r="C608" s="25" t="s">
        <v>12</v>
      </c>
      <c r="D608" s="25">
        <v>0</v>
      </c>
      <c r="E608" s="25">
        <v>0</v>
      </c>
      <c r="F608" s="25">
        <v>256</v>
      </c>
      <c r="G608" s="25">
        <v>222</v>
      </c>
      <c r="H608" s="27">
        <v>0</v>
      </c>
      <c r="I608" s="27">
        <v>0</v>
      </c>
      <c r="J608" s="27">
        <v>0</v>
      </c>
      <c r="K608" s="27">
        <v>0</v>
      </c>
      <c r="L608" s="27">
        <v>1</v>
      </c>
      <c r="M608" s="27">
        <v>0</v>
      </c>
      <c r="N608" s="27">
        <v>0</v>
      </c>
      <c r="O608" s="27">
        <v>0</v>
      </c>
      <c r="P608" s="25">
        <v>700</v>
      </c>
      <c r="Q608" s="25">
        <v>560</v>
      </c>
      <c r="R608" s="25" t="s">
        <v>87</v>
      </c>
      <c r="S608" s="25" t="s">
        <v>89</v>
      </c>
      <c r="T608" s="25">
        <v>0</v>
      </c>
      <c r="U608" s="25">
        <v>0</v>
      </c>
      <c r="V608" s="25">
        <v>0</v>
      </c>
      <c r="W608" s="25">
        <v>0</v>
      </c>
      <c r="X608" s="25">
        <v>1</v>
      </c>
      <c r="Y608" s="25">
        <v>0</v>
      </c>
      <c r="Z608" s="25">
        <v>0</v>
      </c>
      <c r="AA608" s="25">
        <v>0</v>
      </c>
      <c r="AB608" s="25">
        <v>0</v>
      </c>
      <c r="AC608" s="25">
        <v>0</v>
      </c>
      <c r="AD608" s="25">
        <v>0</v>
      </c>
      <c r="AE608" s="25">
        <v>1</v>
      </c>
      <c r="AF608" s="25" t="s">
        <v>132</v>
      </c>
    </row>
    <row r="609" spans="1:32" s="25" customFormat="1" x14ac:dyDescent="0.25">
      <c r="A609" s="25" t="s">
        <v>171</v>
      </c>
      <c r="B609" s="25">
        <f t="shared" si="22"/>
        <v>3640</v>
      </c>
      <c r="C609" s="25" t="s">
        <v>12</v>
      </c>
      <c r="D609" s="25">
        <v>0</v>
      </c>
      <c r="E609" s="25">
        <v>0</v>
      </c>
      <c r="F609" s="25">
        <v>256</v>
      </c>
      <c r="G609" s="25">
        <v>222</v>
      </c>
      <c r="H609" s="27">
        <v>0</v>
      </c>
      <c r="I609" s="27">
        <v>0</v>
      </c>
      <c r="J609" s="27">
        <v>0</v>
      </c>
      <c r="K609" s="27">
        <v>0</v>
      </c>
      <c r="L609" s="27">
        <v>1</v>
      </c>
      <c r="M609" s="27">
        <v>0</v>
      </c>
      <c r="N609" s="27">
        <v>0</v>
      </c>
      <c r="O609" s="27">
        <v>0</v>
      </c>
      <c r="P609" s="25">
        <v>700</v>
      </c>
      <c r="Q609" s="25">
        <v>560</v>
      </c>
      <c r="R609" s="25" t="s">
        <v>87</v>
      </c>
      <c r="S609" s="25" t="s">
        <v>89</v>
      </c>
      <c r="T609" s="25">
        <v>0</v>
      </c>
      <c r="U609" s="25">
        <v>0</v>
      </c>
      <c r="V609" s="25">
        <v>0</v>
      </c>
      <c r="W609" s="25">
        <v>0</v>
      </c>
      <c r="X609" s="25">
        <v>1</v>
      </c>
      <c r="Y609" s="25">
        <v>0</v>
      </c>
      <c r="Z609" s="25">
        <v>0</v>
      </c>
      <c r="AA609" s="25">
        <v>0</v>
      </c>
      <c r="AB609" s="25">
        <v>0</v>
      </c>
      <c r="AC609" s="25">
        <v>0</v>
      </c>
      <c r="AD609" s="25">
        <v>0</v>
      </c>
      <c r="AE609" s="25">
        <v>1</v>
      </c>
      <c r="AF609" s="25" t="s">
        <v>132</v>
      </c>
    </row>
    <row r="610" spans="1:32" s="25" customFormat="1" x14ac:dyDescent="0.25">
      <c r="A610" s="25" t="s">
        <v>171</v>
      </c>
      <c r="B610" s="25">
        <f t="shared" si="22"/>
        <v>3650</v>
      </c>
      <c r="C610" s="25" t="s">
        <v>12</v>
      </c>
      <c r="D610" s="25">
        <v>0</v>
      </c>
      <c r="E610" s="25">
        <v>0</v>
      </c>
      <c r="F610" s="25">
        <v>256</v>
      </c>
      <c r="G610" s="25">
        <v>222</v>
      </c>
      <c r="H610" s="27">
        <v>0</v>
      </c>
      <c r="I610" s="27">
        <v>0</v>
      </c>
      <c r="J610" s="27">
        <v>0</v>
      </c>
      <c r="K610" s="27">
        <v>0</v>
      </c>
      <c r="L610" s="27">
        <v>1</v>
      </c>
      <c r="M610" s="27">
        <v>0</v>
      </c>
      <c r="N610" s="27">
        <v>0</v>
      </c>
      <c r="O610" s="27">
        <v>0</v>
      </c>
      <c r="P610" s="25">
        <v>700</v>
      </c>
      <c r="Q610" s="25">
        <v>560</v>
      </c>
      <c r="R610" s="25" t="s">
        <v>87</v>
      </c>
      <c r="S610" s="25" t="s">
        <v>89</v>
      </c>
      <c r="T610" s="25">
        <v>0</v>
      </c>
      <c r="U610" s="25">
        <v>0</v>
      </c>
      <c r="V610" s="25">
        <v>0</v>
      </c>
      <c r="W610" s="25">
        <v>0</v>
      </c>
      <c r="X610" s="25">
        <v>1</v>
      </c>
      <c r="Y610" s="25">
        <v>0</v>
      </c>
      <c r="Z610" s="25">
        <v>0</v>
      </c>
      <c r="AA610" s="25">
        <v>0</v>
      </c>
      <c r="AB610" s="25">
        <v>0</v>
      </c>
      <c r="AC610" s="25">
        <v>0</v>
      </c>
      <c r="AD610" s="25">
        <v>0</v>
      </c>
      <c r="AE610" s="25">
        <v>1</v>
      </c>
      <c r="AF610" s="25" t="s">
        <v>132</v>
      </c>
    </row>
    <row r="611" spans="1:32" s="25" customFormat="1" x14ac:dyDescent="0.25">
      <c r="A611" s="25" t="s">
        <v>171</v>
      </c>
      <c r="B611" s="25">
        <f t="shared" si="22"/>
        <v>3660</v>
      </c>
      <c r="C611" s="25" t="s">
        <v>12</v>
      </c>
      <c r="D611" s="25">
        <v>0</v>
      </c>
      <c r="E611" s="25">
        <v>0</v>
      </c>
      <c r="F611" s="25">
        <v>256</v>
      </c>
      <c r="G611" s="25">
        <v>222</v>
      </c>
      <c r="H611" s="27">
        <v>0</v>
      </c>
      <c r="I611" s="27">
        <v>0</v>
      </c>
      <c r="J611" s="27">
        <v>0</v>
      </c>
      <c r="K611" s="27">
        <v>0</v>
      </c>
      <c r="L611" s="27">
        <v>1</v>
      </c>
      <c r="M611" s="27">
        <v>0</v>
      </c>
      <c r="N611" s="27">
        <v>0</v>
      </c>
      <c r="O611" s="27">
        <v>0</v>
      </c>
      <c r="P611" s="25">
        <v>700</v>
      </c>
      <c r="Q611" s="25">
        <v>560</v>
      </c>
      <c r="R611" s="25" t="s">
        <v>87</v>
      </c>
      <c r="S611" s="25" t="s">
        <v>89</v>
      </c>
      <c r="T611" s="25">
        <v>0</v>
      </c>
      <c r="U611" s="25">
        <v>0</v>
      </c>
      <c r="V611" s="25">
        <v>0</v>
      </c>
      <c r="W611" s="25">
        <v>0</v>
      </c>
      <c r="X611" s="25">
        <v>1</v>
      </c>
      <c r="Y611" s="25">
        <v>0</v>
      </c>
      <c r="Z611" s="25">
        <v>0</v>
      </c>
      <c r="AA611" s="25">
        <v>0</v>
      </c>
      <c r="AB611" s="25">
        <v>0</v>
      </c>
      <c r="AC611" s="25">
        <v>0</v>
      </c>
      <c r="AD611" s="25">
        <v>0</v>
      </c>
      <c r="AE611" s="25">
        <v>1</v>
      </c>
      <c r="AF611" s="25" t="s">
        <v>132</v>
      </c>
    </row>
    <row r="612" spans="1:32" s="25" customFormat="1" x14ac:dyDescent="0.25">
      <c r="A612" s="25" t="s">
        <v>171</v>
      </c>
      <c r="B612" s="25">
        <f t="shared" si="22"/>
        <v>3670</v>
      </c>
      <c r="C612" s="25" t="s">
        <v>12</v>
      </c>
      <c r="D612" s="25">
        <v>0</v>
      </c>
      <c r="E612" s="25">
        <v>0</v>
      </c>
      <c r="F612" s="25">
        <v>256</v>
      </c>
      <c r="G612" s="25">
        <v>222</v>
      </c>
      <c r="H612" s="27">
        <v>0</v>
      </c>
      <c r="I612" s="27">
        <v>0</v>
      </c>
      <c r="J612" s="27">
        <v>0</v>
      </c>
      <c r="K612" s="27">
        <v>0</v>
      </c>
      <c r="L612" s="27">
        <v>1</v>
      </c>
      <c r="M612" s="27">
        <v>0</v>
      </c>
      <c r="N612" s="27">
        <v>0</v>
      </c>
      <c r="O612" s="27">
        <v>0</v>
      </c>
      <c r="P612" s="25">
        <v>700</v>
      </c>
      <c r="Q612" s="25">
        <v>560</v>
      </c>
      <c r="R612" s="25" t="s">
        <v>87</v>
      </c>
      <c r="S612" s="25" t="s">
        <v>89</v>
      </c>
      <c r="T612" s="25">
        <v>0</v>
      </c>
      <c r="U612" s="25">
        <v>0</v>
      </c>
      <c r="V612" s="25">
        <v>0</v>
      </c>
      <c r="W612" s="25">
        <v>0</v>
      </c>
      <c r="X612" s="25">
        <v>1</v>
      </c>
      <c r="Y612" s="25">
        <v>0</v>
      </c>
      <c r="Z612" s="25">
        <v>0</v>
      </c>
      <c r="AA612" s="25">
        <v>0</v>
      </c>
      <c r="AB612" s="25">
        <v>0</v>
      </c>
      <c r="AC612" s="25">
        <v>0</v>
      </c>
      <c r="AD612" s="25">
        <v>0</v>
      </c>
      <c r="AE612" s="25">
        <v>1</v>
      </c>
      <c r="AF612" s="25" t="s">
        <v>132</v>
      </c>
    </row>
    <row r="613" spans="1:32" s="25" customFormat="1" x14ac:dyDescent="0.25">
      <c r="A613" s="25" t="s">
        <v>171</v>
      </c>
      <c r="B613" s="25">
        <f t="shared" si="22"/>
        <v>3680</v>
      </c>
      <c r="C613" s="25" t="s">
        <v>12</v>
      </c>
      <c r="D613" s="25">
        <v>0</v>
      </c>
      <c r="E613" s="25">
        <v>0</v>
      </c>
      <c r="F613" s="25">
        <v>256</v>
      </c>
      <c r="G613" s="25">
        <v>222</v>
      </c>
      <c r="H613" s="27">
        <v>0</v>
      </c>
      <c r="I613" s="27">
        <v>0</v>
      </c>
      <c r="J613" s="27">
        <v>0</v>
      </c>
      <c r="K613" s="27">
        <v>0</v>
      </c>
      <c r="L613" s="27">
        <v>1</v>
      </c>
      <c r="M613" s="27">
        <v>0</v>
      </c>
      <c r="N613" s="27">
        <v>0</v>
      </c>
      <c r="O613" s="27">
        <v>0</v>
      </c>
      <c r="P613" s="25">
        <v>700</v>
      </c>
      <c r="Q613" s="25">
        <v>560</v>
      </c>
      <c r="R613" s="25" t="s">
        <v>87</v>
      </c>
      <c r="S613" s="25" t="s">
        <v>89</v>
      </c>
      <c r="T613" s="25">
        <v>0</v>
      </c>
      <c r="U613" s="25">
        <v>0</v>
      </c>
      <c r="V613" s="25">
        <v>0</v>
      </c>
      <c r="W613" s="25">
        <v>0</v>
      </c>
      <c r="X613" s="25">
        <v>1</v>
      </c>
      <c r="Y613" s="25">
        <v>0</v>
      </c>
      <c r="Z613" s="25">
        <v>0</v>
      </c>
      <c r="AA613" s="25">
        <v>0</v>
      </c>
      <c r="AB613" s="25">
        <v>0</v>
      </c>
      <c r="AC613" s="25">
        <v>0</v>
      </c>
      <c r="AD613" s="25">
        <v>0</v>
      </c>
      <c r="AE613" s="25">
        <v>1</v>
      </c>
      <c r="AF613" s="25" t="s">
        <v>132</v>
      </c>
    </row>
    <row r="614" spans="1:32" s="25" customFormat="1" x14ac:dyDescent="0.25">
      <c r="A614" s="25" t="s">
        <v>171</v>
      </c>
      <c r="B614" s="25">
        <f t="shared" si="22"/>
        <v>3690</v>
      </c>
      <c r="C614" s="25" t="s">
        <v>12</v>
      </c>
      <c r="D614" s="25">
        <v>0</v>
      </c>
      <c r="E614" s="25">
        <v>0</v>
      </c>
      <c r="F614" s="25">
        <v>256</v>
      </c>
      <c r="G614" s="25">
        <v>222</v>
      </c>
      <c r="H614" s="27">
        <v>0</v>
      </c>
      <c r="I614" s="27">
        <v>0</v>
      </c>
      <c r="J614" s="27">
        <v>0</v>
      </c>
      <c r="K614" s="27">
        <v>0</v>
      </c>
      <c r="L614" s="27">
        <v>1</v>
      </c>
      <c r="M614" s="27">
        <v>0</v>
      </c>
      <c r="N614" s="27">
        <v>0</v>
      </c>
      <c r="O614" s="27">
        <v>0</v>
      </c>
      <c r="P614" s="25">
        <v>700</v>
      </c>
      <c r="Q614" s="25">
        <v>560</v>
      </c>
      <c r="R614" s="25" t="s">
        <v>87</v>
      </c>
      <c r="S614" s="25" t="s">
        <v>89</v>
      </c>
      <c r="T614" s="25">
        <v>0</v>
      </c>
      <c r="U614" s="25">
        <v>0</v>
      </c>
      <c r="V614" s="25">
        <v>0</v>
      </c>
      <c r="W614" s="25">
        <v>0</v>
      </c>
      <c r="X614" s="25">
        <v>1</v>
      </c>
      <c r="Y614" s="25">
        <v>0</v>
      </c>
      <c r="Z614" s="25">
        <v>0</v>
      </c>
      <c r="AA614" s="25">
        <v>0</v>
      </c>
      <c r="AB614" s="25">
        <v>0</v>
      </c>
      <c r="AC614" s="25">
        <v>0</v>
      </c>
      <c r="AD614" s="25">
        <v>0</v>
      </c>
      <c r="AE614" s="25">
        <v>1</v>
      </c>
      <c r="AF614" s="25" t="s">
        <v>132</v>
      </c>
    </row>
    <row r="615" spans="1:32" s="25" customFormat="1" x14ac:dyDescent="0.25">
      <c r="A615" s="25" t="s">
        <v>171</v>
      </c>
      <c r="B615" s="25">
        <f t="shared" si="22"/>
        <v>3700</v>
      </c>
      <c r="C615" s="25" t="s">
        <v>12</v>
      </c>
      <c r="D615" s="25">
        <v>0</v>
      </c>
      <c r="E615" s="25">
        <v>0</v>
      </c>
      <c r="F615" s="25">
        <v>256</v>
      </c>
      <c r="G615" s="25">
        <v>222</v>
      </c>
      <c r="H615" s="27">
        <v>0</v>
      </c>
      <c r="I615" s="27">
        <v>0</v>
      </c>
      <c r="J615" s="27">
        <v>0</v>
      </c>
      <c r="K615" s="27">
        <v>0</v>
      </c>
      <c r="L615" s="27">
        <v>1</v>
      </c>
      <c r="M615" s="27">
        <v>0</v>
      </c>
      <c r="N615" s="27">
        <v>0</v>
      </c>
      <c r="O615" s="27">
        <v>0</v>
      </c>
      <c r="P615" s="25">
        <v>700</v>
      </c>
      <c r="Q615" s="25">
        <v>560</v>
      </c>
      <c r="R615" s="25" t="s">
        <v>87</v>
      </c>
      <c r="S615" s="25" t="s">
        <v>89</v>
      </c>
      <c r="T615" s="25">
        <v>0</v>
      </c>
      <c r="U615" s="25">
        <v>0</v>
      </c>
      <c r="V615" s="25">
        <v>0</v>
      </c>
      <c r="W615" s="25">
        <v>0</v>
      </c>
      <c r="X615" s="25">
        <v>1</v>
      </c>
      <c r="Y615" s="25">
        <v>0</v>
      </c>
      <c r="Z615" s="25">
        <v>0</v>
      </c>
      <c r="AA615" s="25">
        <v>0</v>
      </c>
      <c r="AB615" s="25">
        <v>0</v>
      </c>
      <c r="AC615" s="25">
        <v>0</v>
      </c>
      <c r="AD615" s="25">
        <v>0</v>
      </c>
      <c r="AE615" s="25">
        <v>1</v>
      </c>
      <c r="AF615" s="25" t="s">
        <v>132</v>
      </c>
    </row>
    <row r="616" spans="1:32" s="25" customFormat="1" x14ac:dyDescent="0.25">
      <c r="A616" s="25" t="s">
        <v>171</v>
      </c>
      <c r="B616" s="25">
        <f t="shared" si="22"/>
        <v>3710</v>
      </c>
      <c r="C616" s="25" t="s">
        <v>12</v>
      </c>
      <c r="D616" s="25">
        <v>0</v>
      </c>
      <c r="E616" s="25">
        <v>0</v>
      </c>
      <c r="F616" s="25">
        <v>256</v>
      </c>
      <c r="G616" s="25">
        <v>222</v>
      </c>
      <c r="H616" s="27">
        <v>0</v>
      </c>
      <c r="I616" s="27">
        <v>0</v>
      </c>
      <c r="J616" s="27">
        <v>0</v>
      </c>
      <c r="K616" s="27">
        <v>0</v>
      </c>
      <c r="L616" s="27">
        <v>1</v>
      </c>
      <c r="M616" s="27">
        <v>0</v>
      </c>
      <c r="N616" s="27">
        <v>0</v>
      </c>
      <c r="O616" s="27">
        <v>0</v>
      </c>
      <c r="P616" s="25">
        <v>700</v>
      </c>
      <c r="Q616" s="25">
        <v>560</v>
      </c>
      <c r="R616" s="25" t="s">
        <v>87</v>
      </c>
      <c r="S616" s="25" t="s">
        <v>89</v>
      </c>
      <c r="T616" s="25">
        <v>0</v>
      </c>
      <c r="U616" s="25">
        <v>0</v>
      </c>
      <c r="V616" s="25">
        <v>0</v>
      </c>
      <c r="W616" s="25">
        <v>0</v>
      </c>
      <c r="X616" s="25">
        <v>1</v>
      </c>
      <c r="Y616" s="25">
        <v>0</v>
      </c>
      <c r="Z616" s="25">
        <v>0</v>
      </c>
      <c r="AA616" s="25">
        <v>0</v>
      </c>
      <c r="AB616" s="25">
        <v>0</v>
      </c>
      <c r="AC616" s="25">
        <v>0</v>
      </c>
      <c r="AD616" s="25">
        <v>0</v>
      </c>
      <c r="AE616" s="25">
        <v>1</v>
      </c>
      <c r="AF616" s="25" t="s">
        <v>132</v>
      </c>
    </row>
    <row r="617" spans="1:32" s="25" customFormat="1" x14ac:dyDescent="0.25">
      <c r="A617" s="25" t="s">
        <v>171</v>
      </c>
      <c r="B617" s="25">
        <f t="shared" si="22"/>
        <v>3720</v>
      </c>
      <c r="C617" s="25" t="s">
        <v>12</v>
      </c>
      <c r="D617" s="25">
        <v>0</v>
      </c>
      <c r="E617" s="25">
        <v>0</v>
      </c>
      <c r="F617" s="25">
        <v>256</v>
      </c>
      <c r="G617" s="25">
        <v>222</v>
      </c>
      <c r="H617" s="27">
        <v>0</v>
      </c>
      <c r="I617" s="27">
        <v>0</v>
      </c>
      <c r="J617" s="27">
        <v>0</v>
      </c>
      <c r="K617" s="27">
        <v>0</v>
      </c>
      <c r="L617" s="27">
        <v>1</v>
      </c>
      <c r="M617" s="27">
        <v>0</v>
      </c>
      <c r="N617" s="27">
        <v>0</v>
      </c>
      <c r="O617" s="27">
        <v>0</v>
      </c>
      <c r="P617" s="25">
        <v>700</v>
      </c>
      <c r="Q617" s="25">
        <v>560</v>
      </c>
      <c r="R617" s="25" t="s">
        <v>87</v>
      </c>
      <c r="S617" s="25" t="s">
        <v>89</v>
      </c>
      <c r="T617" s="25">
        <v>0</v>
      </c>
      <c r="U617" s="25">
        <v>0</v>
      </c>
      <c r="V617" s="25">
        <v>0</v>
      </c>
      <c r="W617" s="25">
        <v>0</v>
      </c>
      <c r="X617" s="25">
        <v>1</v>
      </c>
      <c r="Y617" s="25">
        <v>0</v>
      </c>
      <c r="Z617" s="25">
        <v>0</v>
      </c>
      <c r="AA617" s="25">
        <v>0</v>
      </c>
      <c r="AB617" s="25">
        <v>0</v>
      </c>
      <c r="AC617" s="25">
        <v>0</v>
      </c>
      <c r="AD617" s="25">
        <v>0</v>
      </c>
      <c r="AE617" s="25">
        <v>1</v>
      </c>
      <c r="AF617" s="25" t="s">
        <v>132</v>
      </c>
    </row>
    <row r="618" spans="1:32" s="25" customFormat="1" x14ac:dyDescent="0.25">
      <c r="A618" s="25" t="s">
        <v>171</v>
      </c>
      <c r="B618" s="25">
        <f t="shared" si="22"/>
        <v>3730</v>
      </c>
      <c r="C618" s="25" t="s">
        <v>12</v>
      </c>
      <c r="D618" s="25">
        <v>0</v>
      </c>
      <c r="E618" s="25">
        <v>0</v>
      </c>
      <c r="F618" s="25">
        <v>256</v>
      </c>
      <c r="G618" s="25">
        <v>222</v>
      </c>
      <c r="H618" s="27">
        <v>0</v>
      </c>
      <c r="I618" s="27">
        <v>0</v>
      </c>
      <c r="J618" s="27">
        <v>0</v>
      </c>
      <c r="K618" s="27">
        <v>0</v>
      </c>
      <c r="L618" s="27">
        <v>1</v>
      </c>
      <c r="M618" s="27">
        <v>0</v>
      </c>
      <c r="N618" s="27">
        <v>0</v>
      </c>
      <c r="O618" s="27">
        <v>0</v>
      </c>
      <c r="P618" s="25">
        <v>700</v>
      </c>
      <c r="Q618" s="25">
        <v>560</v>
      </c>
      <c r="R618" s="25" t="s">
        <v>87</v>
      </c>
      <c r="S618" s="25" t="s">
        <v>89</v>
      </c>
      <c r="T618" s="25">
        <v>0</v>
      </c>
      <c r="U618" s="25">
        <v>0</v>
      </c>
      <c r="V618" s="25">
        <v>0</v>
      </c>
      <c r="W618" s="25">
        <v>0</v>
      </c>
      <c r="X618" s="25">
        <v>1</v>
      </c>
      <c r="Y618" s="25">
        <v>0</v>
      </c>
      <c r="Z618" s="25">
        <v>0</v>
      </c>
      <c r="AA618" s="25">
        <v>0</v>
      </c>
      <c r="AB618" s="25">
        <v>0</v>
      </c>
      <c r="AC618" s="25">
        <v>0</v>
      </c>
      <c r="AD618" s="25">
        <v>0</v>
      </c>
      <c r="AE618" s="25">
        <v>1</v>
      </c>
      <c r="AF618" s="25" t="s">
        <v>132</v>
      </c>
    </row>
    <row r="619" spans="1:32" s="25" customFormat="1" x14ac:dyDescent="0.25">
      <c r="A619" s="25" t="s">
        <v>171</v>
      </c>
      <c r="B619" s="25">
        <f t="shared" si="22"/>
        <v>3740</v>
      </c>
      <c r="C619" s="25" t="s">
        <v>12</v>
      </c>
      <c r="D619" s="25">
        <v>0</v>
      </c>
      <c r="E619" s="25">
        <v>0</v>
      </c>
      <c r="F619" s="25">
        <v>256</v>
      </c>
      <c r="G619" s="25">
        <v>222</v>
      </c>
      <c r="H619" s="27">
        <v>0</v>
      </c>
      <c r="I619" s="27">
        <v>0</v>
      </c>
      <c r="J619" s="27">
        <v>0</v>
      </c>
      <c r="K619" s="27">
        <v>0</v>
      </c>
      <c r="L619" s="27">
        <v>1</v>
      </c>
      <c r="M619" s="27">
        <v>0</v>
      </c>
      <c r="N619" s="27">
        <v>0</v>
      </c>
      <c r="O619" s="27">
        <v>0</v>
      </c>
      <c r="P619" s="25">
        <v>700</v>
      </c>
      <c r="Q619" s="25">
        <v>560</v>
      </c>
      <c r="R619" s="25" t="s">
        <v>87</v>
      </c>
      <c r="S619" s="25" t="s">
        <v>89</v>
      </c>
      <c r="T619" s="25">
        <v>0</v>
      </c>
      <c r="U619" s="25">
        <v>0</v>
      </c>
      <c r="V619" s="25">
        <v>0</v>
      </c>
      <c r="W619" s="25">
        <v>0</v>
      </c>
      <c r="X619" s="25">
        <v>1</v>
      </c>
      <c r="Y619" s="25">
        <v>0</v>
      </c>
      <c r="Z619" s="25">
        <v>0</v>
      </c>
      <c r="AA619" s="25">
        <v>0</v>
      </c>
      <c r="AB619" s="25">
        <v>0</v>
      </c>
      <c r="AC619" s="25">
        <v>0</v>
      </c>
      <c r="AD619" s="25">
        <v>0</v>
      </c>
      <c r="AE619" s="25">
        <v>1</v>
      </c>
      <c r="AF619" s="25" t="s">
        <v>132</v>
      </c>
    </row>
    <row r="620" spans="1:32" s="25" customFormat="1" x14ac:dyDescent="0.25">
      <c r="A620" s="25" t="s">
        <v>171</v>
      </c>
      <c r="B620" s="25">
        <f t="shared" si="22"/>
        <v>3750</v>
      </c>
      <c r="C620" s="25" t="s">
        <v>12</v>
      </c>
      <c r="D620" s="25">
        <v>0</v>
      </c>
      <c r="E620" s="25">
        <v>0</v>
      </c>
      <c r="F620" s="25">
        <v>256</v>
      </c>
      <c r="G620" s="25">
        <v>222</v>
      </c>
      <c r="H620" s="27">
        <v>0</v>
      </c>
      <c r="I620" s="27">
        <v>0</v>
      </c>
      <c r="J620" s="27">
        <v>0</v>
      </c>
      <c r="K620" s="27">
        <v>0</v>
      </c>
      <c r="L620" s="27">
        <v>1</v>
      </c>
      <c r="M620" s="27">
        <v>0</v>
      </c>
      <c r="N620" s="27">
        <v>0</v>
      </c>
      <c r="O620" s="27">
        <v>0</v>
      </c>
      <c r="P620" s="25">
        <v>700</v>
      </c>
      <c r="Q620" s="25">
        <v>560</v>
      </c>
      <c r="R620" s="25" t="s">
        <v>87</v>
      </c>
      <c r="S620" s="25" t="s">
        <v>89</v>
      </c>
      <c r="T620" s="25">
        <v>0</v>
      </c>
      <c r="U620" s="25">
        <v>0</v>
      </c>
      <c r="V620" s="25">
        <v>0</v>
      </c>
      <c r="W620" s="25">
        <v>0</v>
      </c>
      <c r="X620" s="25">
        <v>1</v>
      </c>
      <c r="Y620" s="25">
        <v>0</v>
      </c>
      <c r="Z620" s="25">
        <v>0</v>
      </c>
      <c r="AA620" s="25">
        <v>0</v>
      </c>
      <c r="AB620" s="25">
        <v>0</v>
      </c>
      <c r="AC620" s="25">
        <v>0</v>
      </c>
      <c r="AD620" s="25">
        <v>0</v>
      </c>
      <c r="AE620" s="25">
        <v>1</v>
      </c>
      <c r="AF620" s="25" t="s">
        <v>132</v>
      </c>
    </row>
    <row r="621" spans="1:32" s="25" customFormat="1" x14ac:dyDescent="0.25">
      <c r="A621" s="25" t="s">
        <v>171</v>
      </c>
      <c r="B621" s="25">
        <f t="shared" si="22"/>
        <v>3760</v>
      </c>
      <c r="C621" s="25" t="s">
        <v>12</v>
      </c>
      <c r="D621" s="25">
        <v>0</v>
      </c>
      <c r="E621" s="25">
        <v>0</v>
      </c>
      <c r="F621" s="25">
        <v>256</v>
      </c>
      <c r="G621" s="25">
        <v>222</v>
      </c>
      <c r="H621" s="27">
        <v>0</v>
      </c>
      <c r="I621" s="27">
        <v>0</v>
      </c>
      <c r="J621" s="27">
        <v>0</v>
      </c>
      <c r="K621" s="27">
        <v>0</v>
      </c>
      <c r="L621" s="27">
        <v>1</v>
      </c>
      <c r="M621" s="27">
        <v>0</v>
      </c>
      <c r="N621" s="27">
        <v>0</v>
      </c>
      <c r="O621" s="27">
        <v>0</v>
      </c>
      <c r="P621" s="25">
        <v>700</v>
      </c>
      <c r="Q621" s="25">
        <v>560</v>
      </c>
      <c r="R621" s="25" t="s">
        <v>87</v>
      </c>
      <c r="S621" s="25" t="s">
        <v>89</v>
      </c>
      <c r="T621" s="25">
        <v>0</v>
      </c>
      <c r="U621" s="25">
        <v>0</v>
      </c>
      <c r="V621" s="25">
        <v>0</v>
      </c>
      <c r="W621" s="25">
        <v>0</v>
      </c>
      <c r="X621" s="25">
        <v>1</v>
      </c>
      <c r="Y621" s="25">
        <v>0</v>
      </c>
      <c r="Z621" s="25">
        <v>0</v>
      </c>
      <c r="AA621" s="25">
        <v>0</v>
      </c>
      <c r="AB621" s="25">
        <v>0</v>
      </c>
      <c r="AC621" s="25">
        <v>0</v>
      </c>
      <c r="AD621" s="25">
        <v>0</v>
      </c>
      <c r="AE621" s="25">
        <v>1</v>
      </c>
      <c r="AF621" s="25" t="s">
        <v>132</v>
      </c>
    </row>
    <row r="622" spans="1:32" s="25" customFormat="1" x14ac:dyDescent="0.25">
      <c r="A622" s="25" t="s">
        <v>171</v>
      </c>
      <c r="B622" s="25">
        <f t="shared" si="22"/>
        <v>3770</v>
      </c>
      <c r="C622" s="25" t="s">
        <v>12</v>
      </c>
      <c r="D622" s="25">
        <v>0</v>
      </c>
      <c r="E622" s="25">
        <v>0</v>
      </c>
      <c r="F622" s="25">
        <v>256</v>
      </c>
      <c r="G622" s="25">
        <v>222</v>
      </c>
      <c r="H622" s="27">
        <v>0</v>
      </c>
      <c r="I622" s="27">
        <v>0</v>
      </c>
      <c r="J622" s="27">
        <v>0</v>
      </c>
      <c r="K622" s="27">
        <v>0</v>
      </c>
      <c r="L622" s="27">
        <v>1</v>
      </c>
      <c r="M622" s="27">
        <v>0</v>
      </c>
      <c r="N622" s="27">
        <v>0</v>
      </c>
      <c r="O622" s="27">
        <v>0</v>
      </c>
      <c r="P622" s="25">
        <v>700</v>
      </c>
      <c r="Q622" s="25">
        <v>560</v>
      </c>
      <c r="R622" s="25" t="s">
        <v>87</v>
      </c>
      <c r="S622" s="25" t="s">
        <v>89</v>
      </c>
      <c r="T622" s="25">
        <v>0</v>
      </c>
      <c r="U622" s="25">
        <v>0</v>
      </c>
      <c r="V622" s="25">
        <v>0</v>
      </c>
      <c r="W622" s="25">
        <v>0</v>
      </c>
      <c r="X622" s="25">
        <v>1</v>
      </c>
      <c r="Y622" s="25">
        <v>0</v>
      </c>
      <c r="Z622" s="25">
        <v>0</v>
      </c>
      <c r="AA622" s="25">
        <v>0</v>
      </c>
      <c r="AB622" s="25">
        <v>0</v>
      </c>
      <c r="AC622" s="25">
        <v>0</v>
      </c>
      <c r="AD622" s="25">
        <v>0</v>
      </c>
      <c r="AE622" s="25">
        <v>1</v>
      </c>
      <c r="AF622" s="25" t="s">
        <v>132</v>
      </c>
    </row>
    <row r="623" spans="1:32" s="25" customFormat="1" x14ac:dyDescent="0.25">
      <c r="A623" s="25" t="s">
        <v>171</v>
      </c>
      <c r="B623" s="25">
        <f t="shared" si="22"/>
        <v>3780</v>
      </c>
      <c r="C623" s="25" t="s">
        <v>12</v>
      </c>
      <c r="D623" s="25">
        <v>0</v>
      </c>
      <c r="E623" s="25">
        <v>0</v>
      </c>
      <c r="F623" s="25">
        <v>256</v>
      </c>
      <c r="G623" s="25">
        <v>222</v>
      </c>
      <c r="H623" s="27">
        <v>0</v>
      </c>
      <c r="I623" s="27">
        <v>0</v>
      </c>
      <c r="J623" s="27">
        <v>0</v>
      </c>
      <c r="K623" s="27">
        <v>0</v>
      </c>
      <c r="L623" s="27">
        <v>1</v>
      </c>
      <c r="M623" s="27">
        <v>0</v>
      </c>
      <c r="N623" s="27">
        <v>0</v>
      </c>
      <c r="O623" s="27">
        <v>0</v>
      </c>
      <c r="P623" s="25">
        <v>700</v>
      </c>
      <c r="Q623" s="25">
        <v>560</v>
      </c>
      <c r="R623" s="25" t="s">
        <v>87</v>
      </c>
      <c r="S623" s="25" t="s">
        <v>89</v>
      </c>
      <c r="T623" s="25">
        <v>0</v>
      </c>
      <c r="U623" s="25">
        <v>0</v>
      </c>
      <c r="V623" s="25">
        <v>0</v>
      </c>
      <c r="W623" s="25">
        <v>0</v>
      </c>
      <c r="X623" s="25">
        <v>1</v>
      </c>
      <c r="Y623" s="25">
        <v>0</v>
      </c>
      <c r="Z623" s="25">
        <v>0</v>
      </c>
      <c r="AA623" s="25">
        <v>0</v>
      </c>
      <c r="AB623" s="25">
        <v>0</v>
      </c>
      <c r="AC623" s="25">
        <v>0</v>
      </c>
      <c r="AD623" s="25">
        <v>0</v>
      </c>
      <c r="AE623" s="25">
        <v>1</v>
      </c>
      <c r="AF623" s="25" t="s">
        <v>132</v>
      </c>
    </row>
    <row r="624" spans="1:32" s="25" customFormat="1" x14ac:dyDescent="0.25">
      <c r="A624" s="25" t="s">
        <v>171</v>
      </c>
      <c r="B624" s="25">
        <f t="shared" si="22"/>
        <v>3790</v>
      </c>
      <c r="C624" s="25" t="s">
        <v>12</v>
      </c>
      <c r="D624" s="25">
        <v>0</v>
      </c>
      <c r="E624" s="25">
        <v>0</v>
      </c>
      <c r="F624" s="25">
        <v>256</v>
      </c>
      <c r="G624" s="25">
        <v>222</v>
      </c>
      <c r="H624" s="27">
        <v>0</v>
      </c>
      <c r="I624" s="27">
        <v>0</v>
      </c>
      <c r="J624" s="27">
        <v>0</v>
      </c>
      <c r="K624" s="27">
        <v>0</v>
      </c>
      <c r="L624" s="27">
        <v>1</v>
      </c>
      <c r="M624" s="27">
        <v>0</v>
      </c>
      <c r="N624" s="27">
        <v>0</v>
      </c>
      <c r="O624" s="27">
        <v>0</v>
      </c>
      <c r="P624" s="25">
        <v>700</v>
      </c>
      <c r="Q624" s="25">
        <v>560</v>
      </c>
      <c r="R624" s="25" t="s">
        <v>87</v>
      </c>
      <c r="S624" s="25" t="s">
        <v>89</v>
      </c>
      <c r="T624" s="25">
        <v>0</v>
      </c>
      <c r="U624" s="25">
        <v>0</v>
      </c>
      <c r="V624" s="25">
        <v>0</v>
      </c>
      <c r="W624" s="25">
        <v>0</v>
      </c>
      <c r="X624" s="25">
        <v>1</v>
      </c>
      <c r="Y624" s="25">
        <v>0</v>
      </c>
      <c r="Z624" s="25">
        <v>0</v>
      </c>
      <c r="AA624" s="25">
        <v>0</v>
      </c>
      <c r="AB624" s="25">
        <v>0</v>
      </c>
      <c r="AC624" s="25">
        <v>0</v>
      </c>
      <c r="AD624" s="25">
        <v>0</v>
      </c>
      <c r="AE624" s="25">
        <v>1</v>
      </c>
      <c r="AF624" s="25" t="s">
        <v>132</v>
      </c>
    </row>
    <row r="625" spans="1:32" s="25" customFormat="1" x14ac:dyDescent="0.25">
      <c r="A625" s="25" t="s">
        <v>171</v>
      </c>
      <c r="B625" s="25">
        <f t="shared" si="22"/>
        <v>3800</v>
      </c>
      <c r="C625" s="25" t="s">
        <v>12</v>
      </c>
      <c r="D625" s="25">
        <v>0</v>
      </c>
      <c r="E625" s="25">
        <v>0</v>
      </c>
      <c r="F625" s="25">
        <v>256</v>
      </c>
      <c r="G625" s="25">
        <v>222</v>
      </c>
      <c r="H625" s="27">
        <v>0</v>
      </c>
      <c r="I625" s="27">
        <v>0</v>
      </c>
      <c r="J625" s="27">
        <v>0</v>
      </c>
      <c r="K625" s="27">
        <v>0</v>
      </c>
      <c r="L625" s="27">
        <v>1</v>
      </c>
      <c r="M625" s="27">
        <v>0</v>
      </c>
      <c r="N625" s="27">
        <v>0</v>
      </c>
      <c r="O625" s="27">
        <v>0</v>
      </c>
      <c r="P625" s="25">
        <v>700</v>
      </c>
      <c r="Q625" s="25">
        <v>560</v>
      </c>
      <c r="R625" s="25" t="s">
        <v>87</v>
      </c>
      <c r="S625" s="25" t="s">
        <v>89</v>
      </c>
      <c r="T625" s="25">
        <v>0</v>
      </c>
      <c r="U625" s="25">
        <v>0</v>
      </c>
      <c r="V625" s="25">
        <v>0</v>
      </c>
      <c r="W625" s="25">
        <v>0</v>
      </c>
      <c r="X625" s="25">
        <v>1</v>
      </c>
      <c r="Y625" s="25">
        <v>0</v>
      </c>
      <c r="Z625" s="25">
        <v>0</v>
      </c>
      <c r="AA625" s="25">
        <v>0</v>
      </c>
      <c r="AB625" s="25">
        <v>0</v>
      </c>
      <c r="AC625" s="25">
        <v>0</v>
      </c>
      <c r="AD625" s="25">
        <v>0</v>
      </c>
      <c r="AE625" s="25">
        <v>1</v>
      </c>
      <c r="AF625" s="25" t="s">
        <v>132</v>
      </c>
    </row>
    <row r="626" spans="1:32" s="25" customFormat="1" x14ac:dyDescent="0.25">
      <c r="A626" s="25" t="s">
        <v>171</v>
      </c>
      <c r="B626" s="25">
        <f t="shared" si="22"/>
        <v>3810</v>
      </c>
      <c r="C626" s="25" t="s">
        <v>12</v>
      </c>
      <c r="D626" s="25">
        <v>0</v>
      </c>
      <c r="E626" s="25">
        <v>0</v>
      </c>
      <c r="F626" s="25">
        <v>256</v>
      </c>
      <c r="G626" s="25">
        <v>222</v>
      </c>
      <c r="H626" s="27">
        <v>0</v>
      </c>
      <c r="I626" s="27">
        <v>0</v>
      </c>
      <c r="J626" s="27">
        <v>0</v>
      </c>
      <c r="K626" s="27">
        <v>0</v>
      </c>
      <c r="L626" s="27">
        <v>1</v>
      </c>
      <c r="M626" s="27">
        <v>0</v>
      </c>
      <c r="N626" s="27">
        <v>0</v>
      </c>
      <c r="O626" s="27">
        <v>0</v>
      </c>
      <c r="P626" s="25">
        <v>700</v>
      </c>
      <c r="Q626" s="25">
        <v>560</v>
      </c>
      <c r="R626" s="25" t="s">
        <v>87</v>
      </c>
      <c r="S626" s="25" t="s">
        <v>89</v>
      </c>
      <c r="T626" s="25">
        <v>0</v>
      </c>
      <c r="U626" s="25">
        <v>0</v>
      </c>
      <c r="V626" s="25">
        <v>0</v>
      </c>
      <c r="W626" s="25">
        <v>0</v>
      </c>
      <c r="X626" s="25">
        <v>1</v>
      </c>
      <c r="Y626" s="25">
        <v>0</v>
      </c>
      <c r="Z626" s="25">
        <v>0</v>
      </c>
      <c r="AA626" s="25">
        <v>0</v>
      </c>
      <c r="AB626" s="25">
        <v>0</v>
      </c>
      <c r="AC626" s="25">
        <v>0</v>
      </c>
      <c r="AD626" s="25">
        <v>0</v>
      </c>
      <c r="AE626" s="25">
        <v>1</v>
      </c>
      <c r="AF626" s="25" t="s">
        <v>132</v>
      </c>
    </row>
    <row r="627" spans="1:32" s="25" customFormat="1" x14ac:dyDescent="0.25">
      <c r="A627" s="25" t="s">
        <v>171</v>
      </c>
      <c r="B627" s="25">
        <f t="shared" si="22"/>
        <v>3820</v>
      </c>
      <c r="C627" s="25" t="s">
        <v>12</v>
      </c>
      <c r="D627" s="25">
        <v>0</v>
      </c>
      <c r="E627" s="25">
        <v>0</v>
      </c>
      <c r="F627" s="25">
        <v>256</v>
      </c>
      <c r="G627" s="25">
        <v>222</v>
      </c>
      <c r="H627" s="27">
        <v>0</v>
      </c>
      <c r="I627" s="27">
        <v>0</v>
      </c>
      <c r="J627" s="27">
        <v>0</v>
      </c>
      <c r="K627" s="27">
        <v>0</v>
      </c>
      <c r="L627" s="27">
        <v>1</v>
      </c>
      <c r="M627" s="27">
        <v>0</v>
      </c>
      <c r="N627" s="27">
        <v>0</v>
      </c>
      <c r="O627" s="27">
        <v>0</v>
      </c>
      <c r="P627" s="25">
        <v>700</v>
      </c>
      <c r="Q627" s="25">
        <v>560</v>
      </c>
      <c r="R627" s="25" t="s">
        <v>87</v>
      </c>
      <c r="S627" s="25" t="s">
        <v>89</v>
      </c>
      <c r="T627" s="25">
        <v>0</v>
      </c>
      <c r="U627" s="25">
        <v>0</v>
      </c>
      <c r="V627" s="25">
        <v>0</v>
      </c>
      <c r="W627" s="25">
        <v>0</v>
      </c>
      <c r="X627" s="25">
        <v>1</v>
      </c>
      <c r="Y627" s="25">
        <v>0</v>
      </c>
      <c r="Z627" s="25">
        <v>0</v>
      </c>
      <c r="AA627" s="25">
        <v>0</v>
      </c>
      <c r="AB627" s="25">
        <v>0</v>
      </c>
      <c r="AC627" s="25">
        <v>0</v>
      </c>
      <c r="AD627" s="25">
        <v>0</v>
      </c>
      <c r="AE627" s="25">
        <v>1</v>
      </c>
      <c r="AF627" s="25" t="s">
        <v>132</v>
      </c>
    </row>
    <row r="628" spans="1:32" s="25" customFormat="1" x14ac:dyDescent="0.25">
      <c r="A628" s="25" t="s">
        <v>171</v>
      </c>
      <c r="B628" s="25">
        <f t="shared" si="22"/>
        <v>3830</v>
      </c>
      <c r="C628" s="25" t="s">
        <v>12</v>
      </c>
      <c r="D628" s="25">
        <v>0</v>
      </c>
      <c r="E628" s="25">
        <v>0</v>
      </c>
      <c r="F628" s="25">
        <v>256</v>
      </c>
      <c r="G628" s="25">
        <v>222</v>
      </c>
      <c r="H628" s="27">
        <v>0</v>
      </c>
      <c r="I628" s="27">
        <v>0</v>
      </c>
      <c r="J628" s="27">
        <v>0</v>
      </c>
      <c r="K628" s="27">
        <v>0</v>
      </c>
      <c r="L628" s="27">
        <v>1</v>
      </c>
      <c r="M628" s="27">
        <v>0</v>
      </c>
      <c r="N628" s="27">
        <v>0</v>
      </c>
      <c r="O628" s="27">
        <v>0</v>
      </c>
      <c r="P628" s="25">
        <v>700</v>
      </c>
      <c r="Q628" s="25">
        <v>560</v>
      </c>
      <c r="R628" s="25" t="s">
        <v>87</v>
      </c>
      <c r="S628" s="25" t="s">
        <v>89</v>
      </c>
      <c r="T628" s="25">
        <v>0</v>
      </c>
      <c r="U628" s="25">
        <v>0</v>
      </c>
      <c r="V628" s="25">
        <v>0</v>
      </c>
      <c r="W628" s="25">
        <v>0</v>
      </c>
      <c r="X628" s="25">
        <v>1</v>
      </c>
      <c r="Y628" s="25">
        <v>0</v>
      </c>
      <c r="Z628" s="25">
        <v>0</v>
      </c>
      <c r="AA628" s="25">
        <v>0</v>
      </c>
      <c r="AB628" s="25">
        <v>0</v>
      </c>
      <c r="AC628" s="25">
        <v>0</v>
      </c>
      <c r="AD628" s="25">
        <v>0</v>
      </c>
      <c r="AE628" s="25">
        <v>1</v>
      </c>
      <c r="AF628" s="25" t="s">
        <v>132</v>
      </c>
    </row>
    <row r="629" spans="1:32" s="25" customFormat="1" x14ac:dyDescent="0.25">
      <c r="A629" s="25" t="s">
        <v>171</v>
      </c>
      <c r="B629" s="25">
        <f t="shared" si="22"/>
        <v>3840</v>
      </c>
      <c r="C629" s="25" t="s">
        <v>12</v>
      </c>
      <c r="D629" s="25">
        <v>0</v>
      </c>
      <c r="E629" s="25">
        <v>0</v>
      </c>
      <c r="F629" s="25">
        <v>256</v>
      </c>
      <c r="G629" s="25">
        <v>222</v>
      </c>
      <c r="H629" s="27">
        <v>0</v>
      </c>
      <c r="I629" s="27">
        <v>0</v>
      </c>
      <c r="J629" s="27">
        <v>0</v>
      </c>
      <c r="K629" s="27">
        <v>0</v>
      </c>
      <c r="L629" s="27">
        <v>1</v>
      </c>
      <c r="M629" s="27">
        <v>0</v>
      </c>
      <c r="N629" s="27">
        <v>0</v>
      </c>
      <c r="O629" s="27">
        <v>0</v>
      </c>
      <c r="P629" s="25">
        <v>700</v>
      </c>
      <c r="Q629" s="25">
        <v>560</v>
      </c>
      <c r="R629" s="25" t="s">
        <v>87</v>
      </c>
      <c r="S629" s="25" t="s">
        <v>89</v>
      </c>
      <c r="T629" s="25">
        <v>0</v>
      </c>
      <c r="U629" s="25">
        <v>0</v>
      </c>
      <c r="V629" s="25">
        <v>0</v>
      </c>
      <c r="W629" s="25">
        <v>0</v>
      </c>
      <c r="X629" s="25">
        <v>1</v>
      </c>
      <c r="Y629" s="25">
        <v>0</v>
      </c>
      <c r="Z629" s="25">
        <v>0</v>
      </c>
      <c r="AA629" s="25">
        <v>0</v>
      </c>
      <c r="AB629" s="25">
        <v>0</v>
      </c>
      <c r="AC629" s="25">
        <v>0</v>
      </c>
      <c r="AD629" s="25">
        <v>0</v>
      </c>
      <c r="AE629" s="25">
        <v>1</v>
      </c>
      <c r="AF629" s="25" t="s">
        <v>132</v>
      </c>
    </row>
    <row r="630" spans="1:32" s="25" customFormat="1" x14ac:dyDescent="0.25">
      <c r="A630" s="25" t="s">
        <v>171</v>
      </c>
      <c r="B630" s="25">
        <f t="shared" si="22"/>
        <v>3850</v>
      </c>
      <c r="C630" s="25" t="s">
        <v>12</v>
      </c>
      <c r="D630" s="25">
        <v>0</v>
      </c>
      <c r="E630" s="25">
        <v>0</v>
      </c>
      <c r="F630" s="25">
        <v>256</v>
      </c>
      <c r="G630" s="25">
        <v>222</v>
      </c>
      <c r="H630" s="27">
        <v>0</v>
      </c>
      <c r="I630" s="27">
        <v>0</v>
      </c>
      <c r="J630" s="27">
        <v>0</v>
      </c>
      <c r="K630" s="27">
        <v>0</v>
      </c>
      <c r="L630" s="27">
        <v>1</v>
      </c>
      <c r="M630" s="27">
        <v>0</v>
      </c>
      <c r="N630" s="27">
        <v>0</v>
      </c>
      <c r="O630" s="27">
        <v>0</v>
      </c>
      <c r="P630" s="25">
        <v>700</v>
      </c>
      <c r="Q630" s="25">
        <v>560</v>
      </c>
      <c r="R630" s="25" t="s">
        <v>87</v>
      </c>
      <c r="S630" s="25" t="s">
        <v>89</v>
      </c>
      <c r="T630" s="25">
        <v>0</v>
      </c>
      <c r="U630" s="25">
        <v>0</v>
      </c>
      <c r="V630" s="25">
        <v>0</v>
      </c>
      <c r="W630" s="25">
        <v>0</v>
      </c>
      <c r="X630" s="25">
        <v>1</v>
      </c>
      <c r="Y630" s="25">
        <v>0</v>
      </c>
      <c r="Z630" s="25">
        <v>0</v>
      </c>
      <c r="AA630" s="25">
        <v>0</v>
      </c>
      <c r="AB630" s="25">
        <v>0</v>
      </c>
      <c r="AC630" s="25">
        <v>0</v>
      </c>
      <c r="AD630" s="25">
        <v>0</v>
      </c>
      <c r="AE630" s="25">
        <v>1</v>
      </c>
      <c r="AF630" s="25" t="s">
        <v>132</v>
      </c>
    </row>
    <row r="631" spans="1:32" s="25" customFormat="1" x14ac:dyDescent="0.25">
      <c r="A631" s="25" t="s">
        <v>171</v>
      </c>
      <c r="B631" s="25">
        <f t="shared" si="22"/>
        <v>3860</v>
      </c>
      <c r="C631" s="25" t="s">
        <v>12</v>
      </c>
      <c r="D631" s="25">
        <v>0</v>
      </c>
      <c r="E631" s="25">
        <v>0</v>
      </c>
      <c r="F631" s="25">
        <v>256</v>
      </c>
      <c r="G631" s="25">
        <v>222</v>
      </c>
      <c r="H631" s="27">
        <v>0</v>
      </c>
      <c r="I631" s="27">
        <v>0</v>
      </c>
      <c r="J631" s="27">
        <v>0</v>
      </c>
      <c r="K631" s="27">
        <v>0</v>
      </c>
      <c r="L631" s="27">
        <v>1</v>
      </c>
      <c r="M631" s="27">
        <v>0</v>
      </c>
      <c r="N631" s="27">
        <v>0</v>
      </c>
      <c r="O631" s="27">
        <v>0</v>
      </c>
      <c r="P631" s="25">
        <v>700</v>
      </c>
      <c r="Q631" s="25">
        <v>560</v>
      </c>
      <c r="R631" s="25" t="s">
        <v>87</v>
      </c>
      <c r="S631" s="25" t="s">
        <v>89</v>
      </c>
      <c r="T631" s="25">
        <v>0</v>
      </c>
      <c r="U631" s="25">
        <v>0</v>
      </c>
      <c r="V631" s="25">
        <v>0</v>
      </c>
      <c r="W631" s="25">
        <v>0</v>
      </c>
      <c r="X631" s="25">
        <v>1</v>
      </c>
      <c r="Y631" s="25">
        <v>0</v>
      </c>
      <c r="Z631" s="25">
        <v>0</v>
      </c>
      <c r="AA631" s="25">
        <v>0</v>
      </c>
      <c r="AB631" s="25">
        <v>0</v>
      </c>
      <c r="AC631" s="25">
        <v>0</v>
      </c>
      <c r="AD631" s="25">
        <v>0</v>
      </c>
      <c r="AE631" s="25">
        <v>1</v>
      </c>
      <c r="AF631" s="25" t="s">
        <v>132</v>
      </c>
    </row>
    <row r="632" spans="1:32" s="25" customFormat="1" x14ac:dyDescent="0.25">
      <c r="A632" s="25" t="s">
        <v>171</v>
      </c>
      <c r="B632" s="25">
        <f t="shared" si="22"/>
        <v>3870</v>
      </c>
      <c r="C632" s="25" t="s">
        <v>12</v>
      </c>
      <c r="D632" s="25">
        <v>0</v>
      </c>
      <c r="E632" s="25">
        <v>0</v>
      </c>
      <c r="F632" s="25">
        <v>256</v>
      </c>
      <c r="G632" s="25">
        <v>222</v>
      </c>
      <c r="H632" s="27">
        <v>0</v>
      </c>
      <c r="I632" s="27">
        <v>0</v>
      </c>
      <c r="J632" s="27">
        <v>0</v>
      </c>
      <c r="K632" s="27">
        <v>0</v>
      </c>
      <c r="L632" s="27">
        <v>1</v>
      </c>
      <c r="M632" s="27">
        <v>0</v>
      </c>
      <c r="N632" s="27">
        <v>0</v>
      </c>
      <c r="O632" s="27">
        <v>0</v>
      </c>
      <c r="P632" s="25">
        <v>700</v>
      </c>
      <c r="Q632" s="25">
        <v>560</v>
      </c>
      <c r="R632" s="25" t="s">
        <v>87</v>
      </c>
      <c r="S632" s="25" t="s">
        <v>89</v>
      </c>
      <c r="T632" s="25">
        <v>0</v>
      </c>
      <c r="U632" s="25">
        <v>0</v>
      </c>
      <c r="V632" s="25">
        <v>0</v>
      </c>
      <c r="W632" s="25">
        <v>0</v>
      </c>
      <c r="X632" s="25">
        <v>1</v>
      </c>
      <c r="Y632" s="25">
        <v>0</v>
      </c>
      <c r="Z632" s="25">
        <v>0</v>
      </c>
      <c r="AA632" s="25">
        <v>0</v>
      </c>
      <c r="AB632" s="25">
        <v>0</v>
      </c>
      <c r="AC632" s="25">
        <v>0</v>
      </c>
      <c r="AD632" s="25">
        <v>0</v>
      </c>
      <c r="AE632" s="25">
        <v>1</v>
      </c>
      <c r="AF632" s="25" t="s">
        <v>132</v>
      </c>
    </row>
    <row r="633" spans="1:32" s="25" customFormat="1" x14ac:dyDescent="0.25">
      <c r="A633" s="25" t="s">
        <v>171</v>
      </c>
      <c r="B633" s="25">
        <f t="shared" si="22"/>
        <v>3880</v>
      </c>
      <c r="C633" s="25" t="s">
        <v>12</v>
      </c>
      <c r="D633" s="25">
        <v>0</v>
      </c>
      <c r="E633" s="25">
        <v>0</v>
      </c>
      <c r="F633" s="25">
        <v>256</v>
      </c>
      <c r="G633" s="25">
        <v>222</v>
      </c>
      <c r="H633" s="27">
        <v>0</v>
      </c>
      <c r="I633" s="27">
        <v>0</v>
      </c>
      <c r="J633" s="27">
        <v>0</v>
      </c>
      <c r="K633" s="27">
        <v>0</v>
      </c>
      <c r="L633" s="27">
        <v>1</v>
      </c>
      <c r="M633" s="27">
        <v>0</v>
      </c>
      <c r="N633" s="27">
        <v>0</v>
      </c>
      <c r="O633" s="27">
        <v>0</v>
      </c>
      <c r="P633" s="25">
        <v>700</v>
      </c>
      <c r="Q633" s="25">
        <v>560</v>
      </c>
      <c r="R633" s="25" t="s">
        <v>87</v>
      </c>
      <c r="S633" s="25" t="s">
        <v>89</v>
      </c>
      <c r="T633" s="25">
        <v>0</v>
      </c>
      <c r="U633" s="25">
        <v>0</v>
      </c>
      <c r="V633" s="25">
        <v>0</v>
      </c>
      <c r="W633" s="25">
        <v>0</v>
      </c>
      <c r="X633" s="25">
        <v>1</v>
      </c>
      <c r="Y633" s="25">
        <v>0</v>
      </c>
      <c r="Z633" s="25">
        <v>0</v>
      </c>
      <c r="AA633" s="25">
        <v>0</v>
      </c>
      <c r="AB633" s="25">
        <v>0</v>
      </c>
      <c r="AC633" s="25">
        <v>0</v>
      </c>
      <c r="AD633" s="25">
        <v>0</v>
      </c>
      <c r="AE633" s="25">
        <v>1</v>
      </c>
      <c r="AF633" s="25" t="s">
        <v>132</v>
      </c>
    </row>
    <row r="634" spans="1:32" s="25" customFormat="1" x14ac:dyDescent="0.25">
      <c r="A634" s="25" t="s">
        <v>171</v>
      </c>
      <c r="B634" s="25">
        <f t="shared" si="22"/>
        <v>3890</v>
      </c>
      <c r="C634" s="25" t="s">
        <v>12</v>
      </c>
      <c r="D634" s="25">
        <v>0</v>
      </c>
      <c r="E634" s="25">
        <v>0</v>
      </c>
      <c r="F634" s="25">
        <v>256</v>
      </c>
      <c r="G634" s="25">
        <v>222</v>
      </c>
      <c r="H634" s="27">
        <v>0</v>
      </c>
      <c r="I634" s="27">
        <v>0</v>
      </c>
      <c r="J634" s="27">
        <v>0</v>
      </c>
      <c r="K634" s="27">
        <v>0</v>
      </c>
      <c r="L634" s="27">
        <v>1</v>
      </c>
      <c r="M634" s="27">
        <v>0</v>
      </c>
      <c r="N634" s="27">
        <v>0</v>
      </c>
      <c r="O634" s="27">
        <v>0</v>
      </c>
      <c r="P634" s="25">
        <v>700</v>
      </c>
      <c r="Q634" s="25">
        <v>560</v>
      </c>
      <c r="R634" s="25" t="s">
        <v>87</v>
      </c>
      <c r="S634" s="25" t="s">
        <v>89</v>
      </c>
      <c r="T634" s="25">
        <v>0</v>
      </c>
      <c r="U634" s="25">
        <v>0</v>
      </c>
      <c r="V634" s="25">
        <v>0</v>
      </c>
      <c r="W634" s="25">
        <v>0</v>
      </c>
      <c r="X634" s="25">
        <v>1</v>
      </c>
      <c r="Y634" s="25">
        <v>0</v>
      </c>
      <c r="Z634" s="25">
        <v>0</v>
      </c>
      <c r="AA634" s="25">
        <v>0</v>
      </c>
      <c r="AB634" s="25">
        <v>0</v>
      </c>
      <c r="AC634" s="25">
        <v>0</v>
      </c>
      <c r="AD634" s="25">
        <v>0</v>
      </c>
      <c r="AE634" s="25">
        <v>1</v>
      </c>
      <c r="AF634" s="25" t="s">
        <v>132</v>
      </c>
    </row>
    <row r="635" spans="1:32" s="25" customFormat="1" x14ac:dyDescent="0.25">
      <c r="A635" s="25" t="s">
        <v>171</v>
      </c>
      <c r="B635" s="25">
        <f t="shared" si="22"/>
        <v>3900</v>
      </c>
      <c r="C635" s="25" t="s">
        <v>12</v>
      </c>
      <c r="D635" s="25">
        <v>0</v>
      </c>
      <c r="E635" s="25">
        <v>0</v>
      </c>
      <c r="F635" s="25">
        <v>256</v>
      </c>
      <c r="G635" s="25">
        <v>222</v>
      </c>
      <c r="H635" s="27">
        <v>0</v>
      </c>
      <c r="I635" s="27">
        <v>0</v>
      </c>
      <c r="J635" s="27">
        <v>0</v>
      </c>
      <c r="K635" s="27">
        <v>0</v>
      </c>
      <c r="L635" s="27">
        <v>1</v>
      </c>
      <c r="M635" s="27">
        <v>0</v>
      </c>
      <c r="N635" s="27">
        <v>0</v>
      </c>
      <c r="O635" s="27">
        <v>0</v>
      </c>
      <c r="P635" s="25">
        <v>700</v>
      </c>
      <c r="Q635" s="25">
        <v>560</v>
      </c>
      <c r="R635" s="25" t="s">
        <v>87</v>
      </c>
      <c r="S635" s="25" t="s">
        <v>89</v>
      </c>
      <c r="T635" s="25">
        <v>0</v>
      </c>
      <c r="U635" s="25">
        <v>0</v>
      </c>
      <c r="V635" s="25">
        <v>0</v>
      </c>
      <c r="W635" s="25">
        <v>0</v>
      </c>
      <c r="X635" s="25">
        <v>1</v>
      </c>
      <c r="Y635" s="25">
        <v>0</v>
      </c>
      <c r="Z635" s="25">
        <v>0</v>
      </c>
      <c r="AA635" s="25">
        <v>0</v>
      </c>
      <c r="AB635" s="25">
        <v>0</v>
      </c>
      <c r="AC635" s="25">
        <v>0</v>
      </c>
      <c r="AD635" s="25">
        <v>0</v>
      </c>
      <c r="AE635" s="25">
        <v>1</v>
      </c>
      <c r="AF635" s="25" t="s">
        <v>132</v>
      </c>
    </row>
    <row r="636" spans="1:32" s="25" customFormat="1" x14ac:dyDescent="0.25">
      <c r="A636" s="25" t="s">
        <v>171</v>
      </c>
      <c r="B636" s="25">
        <f t="shared" si="22"/>
        <v>3910</v>
      </c>
      <c r="C636" s="25" t="s">
        <v>12</v>
      </c>
      <c r="D636" s="25">
        <v>0</v>
      </c>
      <c r="E636" s="25">
        <v>0</v>
      </c>
      <c r="F636" s="25">
        <v>256</v>
      </c>
      <c r="G636" s="25">
        <v>222</v>
      </c>
      <c r="H636" s="27">
        <v>0</v>
      </c>
      <c r="I636" s="27">
        <v>0</v>
      </c>
      <c r="J636" s="27">
        <v>0</v>
      </c>
      <c r="K636" s="27">
        <v>0</v>
      </c>
      <c r="L636" s="27">
        <v>1</v>
      </c>
      <c r="M636" s="27">
        <v>0</v>
      </c>
      <c r="N636" s="27">
        <v>0</v>
      </c>
      <c r="O636" s="27">
        <v>0</v>
      </c>
      <c r="P636" s="25">
        <v>700</v>
      </c>
      <c r="Q636" s="25">
        <v>560</v>
      </c>
      <c r="R636" s="25" t="s">
        <v>87</v>
      </c>
      <c r="S636" s="25" t="s">
        <v>89</v>
      </c>
      <c r="T636" s="25">
        <v>0</v>
      </c>
      <c r="U636" s="25">
        <v>0</v>
      </c>
      <c r="V636" s="25">
        <v>0</v>
      </c>
      <c r="W636" s="25">
        <v>0</v>
      </c>
      <c r="X636" s="25">
        <v>1</v>
      </c>
      <c r="Y636" s="25">
        <v>0</v>
      </c>
      <c r="Z636" s="25">
        <v>0</v>
      </c>
      <c r="AA636" s="25">
        <v>0</v>
      </c>
      <c r="AB636" s="25">
        <v>0</v>
      </c>
      <c r="AC636" s="25">
        <v>0</v>
      </c>
      <c r="AD636" s="25">
        <v>0</v>
      </c>
      <c r="AE636" s="25">
        <v>1</v>
      </c>
      <c r="AF636" s="25" t="s">
        <v>132</v>
      </c>
    </row>
    <row r="637" spans="1:32" s="25" customFormat="1" x14ac:dyDescent="0.25">
      <c r="A637" s="25" t="s">
        <v>171</v>
      </c>
      <c r="B637" s="25">
        <f t="shared" si="22"/>
        <v>3920</v>
      </c>
      <c r="C637" s="25" t="s">
        <v>12</v>
      </c>
      <c r="D637" s="25">
        <v>0</v>
      </c>
      <c r="E637" s="25">
        <v>0</v>
      </c>
      <c r="F637" s="25">
        <v>256</v>
      </c>
      <c r="G637" s="25">
        <v>222</v>
      </c>
      <c r="H637" s="27">
        <v>0</v>
      </c>
      <c r="I637" s="27">
        <v>0</v>
      </c>
      <c r="J637" s="27">
        <v>0</v>
      </c>
      <c r="K637" s="27">
        <v>0</v>
      </c>
      <c r="L637" s="27">
        <v>1</v>
      </c>
      <c r="M637" s="27">
        <v>0</v>
      </c>
      <c r="N637" s="27">
        <v>0</v>
      </c>
      <c r="O637" s="27">
        <v>0</v>
      </c>
      <c r="P637" s="25">
        <v>700</v>
      </c>
      <c r="Q637" s="25">
        <v>560</v>
      </c>
      <c r="R637" s="25" t="s">
        <v>87</v>
      </c>
      <c r="S637" s="25" t="s">
        <v>89</v>
      </c>
      <c r="T637" s="25">
        <v>0</v>
      </c>
      <c r="U637" s="25">
        <v>0</v>
      </c>
      <c r="V637" s="25">
        <v>0</v>
      </c>
      <c r="W637" s="25">
        <v>0</v>
      </c>
      <c r="X637" s="25">
        <v>1</v>
      </c>
      <c r="Y637" s="25">
        <v>0</v>
      </c>
      <c r="Z637" s="25">
        <v>0</v>
      </c>
      <c r="AA637" s="25">
        <v>0</v>
      </c>
      <c r="AB637" s="25">
        <v>0</v>
      </c>
      <c r="AC637" s="25">
        <v>0</v>
      </c>
      <c r="AD637" s="25">
        <v>0</v>
      </c>
      <c r="AE637" s="25">
        <v>1</v>
      </c>
      <c r="AF637" s="25" t="s">
        <v>132</v>
      </c>
    </row>
    <row r="638" spans="1:32" s="25" customFormat="1" x14ac:dyDescent="0.25">
      <c r="A638" s="25" t="s">
        <v>171</v>
      </c>
      <c r="B638" s="25">
        <f t="shared" si="22"/>
        <v>3930</v>
      </c>
      <c r="C638" s="25" t="s">
        <v>12</v>
      </c>
      <c r="D638" s="25">
        <v>0</v>
      </c>
      <c r="E638" s="25">
        <v>0</v>
      </c>
      <c r="F638" s="25">
        <v>256</v>
      </c>
      <c r="G638" s="25">
        <v>222</v>
      </c>
      <c r="H638" s="27">
        <v>0</v>
      </c>
      <c r="I638" s="27">
        <v>0</v>
      </c>
      <c r="J638" s="27">
        <v>0</v>
      </c>
      <c r="K638" s="27">
        <v>0</v>
      </c>
      <c r="L638" s="27">
        <v>1</v>
      </c>
      <c r="M638" s="27">
        <v>0</v>
      </c>
      <c r="N638" s="27">
        <v>0</v>
      </c>
      <c r="O638" s="27">
        <v>0</v>
      </c>
      <c r="P638" s="25">
        <v>700</v>
      </c>
      <c r="Q638" s="25">
        <v>560</v>
      </c>
      <c r="R638" s="25" t="s">
        <v>87</v>
      </c>
      <c r="S638" s="25" t="s">
        <v>89</v>
      </c>
      <c r="T638" s="25">
        <v>0</v>
      </c>
      <c r="U638" s="25">
        <v>0</v>
      </c>
      <c r="V638" s="25">
        <v>0</v>
      </c>
      <c r="W638" s="25">
        <v>0</v>
      </c>
      <c r="X638" s="25">
        <v>1</v>
      </c>
      <c r="Y638" s="25">
        <v>0</v>
      </c>
      <c r="Z638" s="25">
        <v>0</v>
      </c>
      <c r="AA638" s="25">
        <v>0</v>
      </c>
      <c r="AB638" s="25">
        <v>0</v>
      </c>
      <c r="AC638" s="25">
        <v>0</v>
      </c>
      <c r="AD638" s="25">
        <v>0</v>
      </c>
      <c r="AE638" s="25">
        <v>1</v>
      </c>
      <c r="AF638" s="25" t="s">
        <v>132</v>
      </c>
    </row>
    <row r="639" spans="1:32" s="25" customFormat="1" x14ac:dyDescent="0.25">
      <c r="A639" s="25" t="s">
        <v>171</v>
      </c>
      <c r="B639" s="25">
        <f t="shared" si="22"/>
        <v>3940</v>
      </c>
      <c r="C639" s="25" t="s">
        <v>12</v>
      </c>
      <c r="D639" s="25">
        <v>0</v>
      </c>
      <c r="E639" s="25">
        <v>0</v>
      </c>
      <c r="F639" s="25">
        <v>256</v>
      </c>
      <c r="G639" s="25">
        <v>222</v>
      </c>
      <c r="H639" s="27">
        <v>0</v>
      </c>
      <c r="I639" s="27">
        <v>0</v>
      </c>
      <c r="J639" s="27">
        <v>0</v>
      </c>
      <c r="K639" s="27">
        <v>0</v>
      </c>
      <c r="L639" s="27">
        <v>1</v>
      </c>
      <c r="M639" s="27">
        <v>0</v>
      </c>
      <c r="N639" s="27">
        <v>0</v>
      </c>
      <c r="O639" s="27">
        <v>0</v>
      </c>
      <c r="P639" s="25">
        <v>700</v>
      </c>
      <c r="Q639" s="25">
        <v>560</v>
      </c>
      <c r="R639" s="25" t="s">
        <v>87</v>
      </c>
      <c r="S639" s="25" t="s">
        <v>89</v>
      </c>
      <c r="T639" s="25">
        <v>0</v>
      </c>
      <c r="U639" s="25">
        <v>0</v>
      </c>
      <c r="V639" s="25">
        <v>0</v>
      </c>
      <c r="W639" s="25">
        <v>0</v>
      </c>
      <c r="X639" s="25">
        <v>1</v>
      </c>
      <c r="Y639" s="25">
        <v>0</v>
      </c>
      <c r="Z639" s="25">
        <v>0</v>
      </c>
      <c r="AA639" s="25">
        <v>0</v>
      </c>
      <c r="AB639" s="25">
        <v>0</v>
      </c>
      <c r="AC639" s="25">
        <v>0</v>
      </c>
      <c r="AD639" s="25">
        <v>0</v>
      </c>
      <c r="AE639" s="25">
        <v>1</v>
      </c>
      <c r="AF639" s="25" t="s">
        <v>132</v>
      </c>
    </row>
    <row r="640" spans="1:32" s="25" customFormat="1" x14ac:dyDescent="0.25">
      <c r="A640" s="25" t="s">
        <v>171</v>
      </c>
      <c r="B640" s="25">
        <f t="shared" si="22"/>
        <v>3950</v>
      </c>
      <c r="C640" s="25" t="s">
        <v>12</v>
      </c>
      <c r="D640" s="25">
        <v>0</v>
      </c>
      <c r="E640" s="25">
        <v>0</v>
      </c>
      <c r="F640" s="25">
        <v>256</v>
      </c>
      <c r="G640" s="25">
        <v>222</v>
      </c>
      <c r="H640" s="27">
        <v>0</v>
      </c>
      <c r="I640" s="27">
        <v>0</v>
      </c>
      <c r="J640" s="27">
        <v>0</v>
      </c>
      <c r="K640" s="27">
        <v>0</v>
      </c>
      <c r="L640" s="27">
        <v>1</v>
      </c>
      <c r="M640" s="27">
        <v>0</v>
      </c>
      <c r="N640" s="27">
        <v>0</v>
      </c>
      <c r="O640" s="27">
        <v>0</v>
      </c>
      <c r="P640" s="25">
        <v>700</v>
      </c>
      <c r="Q640" s="25">
        <v>560</v>
      </c>
      <c r="R640" s="25" t="s">
        <v>87</v>
      </c>
      <c r="S640" s="25" t="s">
        <v>89</v>
      </c>
      <c r="T640" s="25">
        <v>0</v>
      </c>
      <c r="U640" s="25">
        <v>0</v>
      </c>
      <c r="V640" s="25">
        <v>0</v>
      </c>
      <c r="W640" s="25">
        <v>0</v>
      </c>
      <c r="X640" s="25">
        <v>1</v>
      </c>
      <c r="Y640" s="25">
        <v>0</v>
      </c>
      <c r="Z640" s="25">
        <v>0</v>
      </c>
      <c r="AA640" s="25">
        <v>0</v>
      </c>
      <c r="AB640" s="25">
        <v>0</v>
      </c>
      <c r="AC640" s="25">
        <v>0</v>
      </c>
      <c r="AD640" s="25">
        <v>0</v>
      </c>
      <c r="AE640" s="25">
        <v>1</v>
      </c>
      <c r="AF640" s="25" t="s">
        <v>132</v>
      </c>
    </row>
    <row r="641" spans="1:32" s="25" customFormat="1" x14ac:dyDescent="0.25">
      <c r="A641" s="25" t="s">
        <v>171</v>
      </c>
      <c r="B641" s="25">
        <f t="shared" si="22"/>
        <v>3960</v>
      </c>
      <c r="C641" s="25" t="s">
        <v>12</v>
      </c>
      <c r="D641" s="25">
        <v>0</v>
      </c>
      <c r="E641" s="25">
        <v>0</v>
      </c>
      <c r="F641" s="25">
        <v>256</v>
      </c>
      <c r="G641" s="25">
        <v>222</v>
      </c>
      <c r="H641" s="27">
        <v>0</v>
      </c>
      <c r="I641" s="27">
        <v>0</v>
      </c>
      <c r="J641" s="27">
        <v>0</v>
      </c>
      <c r="K641" s="27">
        <v>0</v>
      </c>
      <c r="L641" s="27">
        <v>1</v>
      </c>
      <c r="M641" s="27">
        <v>0</v>
      </c>
      <c r="N641" s="27">
        <v>0</v>
      </c>
      <c r="O641" s="27">
        <v>0</v>
      </c>
      <c r="P641" s="25">
        <v>700</v>
      </c>
      <c r="Q641" s="25">
        <v>560</v>
      </c>
      <c r="R641" s="25" t="s">
        <v>87</v>
      </c>
      <c r="S641" s="25" t="s">
        <v>89</v>
      </c>
      <c r="T641" s="25">
        <v>0</v>
      </c>
      <c r="U641" s="25">
        <v>0</v>
      </c>
      <c r="V641" s="25">
        <v>0</v>
      </c>
      <c r="W641" s="25">
        <v>0</v>
      </c>
      <c r="X641" s="25">
        <v>1</v>
      </c>
      <c r="Y641" s="25">
        <v>0</v>
      </c>
      <c r="Z641" s="25">
        <v>0</v>
      </c>
      <c r="AA641" s="25">
        <v>0</v>
      </c>
      <c r="AB641" s="25">
        <v>0</v>
      </c>
      <c r="AC641" s="25">
        <v>0</v>
      </c>
      <c r="AD641" s="25">
        <v>0</v>
      </c>
      <c r="AE641" s="25">
        <v>1</v>
      </c>
      <c r="AF641" s="25" t="s">
        <v>132</v>
      </c>
    </row>
    <row r="642" spans="1:32" s="25" customFormat="1" x14ac:dyDescent="0.25">
      <c r="A642" s="25" t="s">
        <v>171</v>
      </c>
      <c r="B642" s="25">
        <f t="shared" si="22"/>
        <v>3970</v>
      </c>
      <c r="C642" s="25" t="s">
        <v>12</v>
      </c>
      <c r="D642" s="25">
        <v>0</v>
      </c>
      <c r="E642" s="25">
        <v>0</v>
      </c>
      <c r="F642" s="25">
        <v>256</v>
      </c>
      <c r="G642" s="25">
        <v>222</v>
      </c>
      <c r="H642" s="27">
        <v>0</v>
      </c>
      <c r="I642" s="27">
        <v>0</v>
      </c>
      <c r="J642" s="27">
        <v>0</v>
      </c>
      <c r="K642" s="27">
        <v>0</v>
      </c>
      <c r="L642" s="27">
        <v>1</v>
      </c>
      <c r="M642" s="27">
        <v>0</v>
      </c>
      <c r="N642" s="27">
        <v>0</v>
      </c>
      <c r="O642" s="27">
        <v>0</v>
      </c>
      <c r="P642" s="25">
        <v>700</v>
      </c>
      <c r="Q642" s="25">
        <v>560</v>
      </c>
      <c r="R642" s="25" t="s">
        <v>87</v>
      </c>
      <c r="S642" s="25" t="s">
        <v>89</v>
      </c>
      <c r="T642" s="25">
        <v>0</v>
      </c>
      <c r="U642" s="25">
        <v>0</v>
      </c>
      <c r="V642" s="25">
        <v>0</v>
      </c>
      <c r="W642" s="25">
        <v>0</v>
      </c>
      <c r="X642" s="25">
        <v>1</v>
      </c>
      <c r="Y642" s="25">
        <v>0</v>
      </c>
      <c r="Z642" s="25">
        <v>0</v>
      </c>
      <c r="AA642" s="25">
        <v>0</v>
      </c>
      <c r="AB642" s="25">
        <v>0</v>
      </c>
      <c r="AC642" s="25">
        <v>0</v>
      </c>
      <c r="AD642" s="25">
        <v>0</v>
      </c>
      <c r="AE642" s="25">
        <v>1</v>
      </c>
      <c r="AF642" s="25" t="s">
        <v>132</v>
      </c>
    </row>
    <row r="643" spans="1:32" s="25" customFormat="1" x14ac:dyDescent="0.25">
      <c r="A643" s="25" t="s">
        <v>171</v>
      </c>
      <c r="B643" s="25">
        <f t="shared" si="22"/>
        <v>3980</v>
      </c>
      <c r="C643" s="25" t="s">
        <v>12</v>
      </c>
      <c r="D643" s="25">
        <v>0</v>
      </c>
      <c r="E643" s="25">
        <v>0</v>
      </c>
      <c r="F643" s="25">
        <v>256</v>
      </c>
      <c r="G643" s="25">
        <v>222</v>
      </c>
      <c r="H643" s="27">
        <v>0</v>
      </c>
      <c r="I643" s="27">
        <v>0</v>
      </c>
      <c r="J643" s="27">
        <v>0</v>
      </c>
      <c r="K643" s="27">
        <v>0</v>
      </c>
      <c r="L643" s="27">
        <v>1</v>
      </c>
      <c r="M643" s="27">
        <v>0</v>
      </c>
      <c r="N643" s="27">
        <v>0</v>
      </c>
      <c r="O643" s="27">
        <v>0</v>
      </c>
      <c r="P643" s="25">
        <v>700</v>
      </c>
      <c r="Q643" s="25">
        <v>560</v>
      </c>
      <c r="R643" s="25" t="s">
        <v>87</v>
      </c>
      <c r="S643" s="25" t="s">
        <v>89</v>
      </c>
      <c r="T643" s="25">
        <v>0</v>
      </c>
      <c r="U643" s="25">
        <v>0</v>
      </c>
      <c r="V643" s="25">
        <v>0</v>
      </c>
      <c r="W643" s="25">
        <v>0</v>
      </c>
      <c r="X643" s="25">
        <v>1</v>
      </c>
      <c r="Y643" s="25">
        <v>0</v>
      </c>
      <c r="Z643" s="25">
        <v>0</v>
      </c>
      <c r="AA643" s="25">
        <v>0</v>
      </c>
      <c r="AB643" s="25">
        <v>0</v>
      </c>
      <c r="AC643" s="25">
        <v>0</v>
      </c>
      <c r="AD643" s="25">
        <v>0</v>
      </c>
      <c r="AE643" s="25">
        <v>1</v>
      </c>
      <c r="AF643" s="25" t="s">
        <v>132</v>
      </c>
    </row>
    <row r="644" spans="1:32" x14ac:dyDescent="0.25">
      <c r="A644" t="s">
        <v>171</v>
      </c>
      <c r="B644" s="25">
        <f t="shared" si="22"/>
        <v>3990</v>
      </c>
      <c r="C644" t="s">
        <v>12</v>
      </c>
      <c r="D644">
        <v>0</v>
      </c>
      <c r="E644">
        <v>0</v>
      </c>
      <c r="F644">
        <v>256</v>
      </c>
      <c r="G644">
        <v>222</v>
      </c>
      <c r="H644" s="27">
        <v>0</v>
      </c>
      <c r="I644" s="27">
        <v>0</v>
      </c>
      <c r="J644" s="27">
        <v>0</v>
      </c>
      <c r="K644" s="27">
        <v>0</v>
      </c>
      <c r="L644" s="27">
        <v>1</v>
      </c>
      <c r="M644" s="27">
        <v>0</v>
      </c>
      <c r="N644" s="27">
        <v>0</v>
      </c>
      <c r="O644" s="27">
        <v>0</v>
      </c>
      <c r="P644">
        <v>700</v>
      </c>
      <c r="Q644">
        <v>560</v>
      </c>
      <c r="R644" t="s">
        <v>87</v>
      </c>
      <c r="S644" t="s">
        <v>89</v>
      </c>
      <c r="T644">
        <v>0</v>
      </c>
      <c r="U644">
        <v>0</v>
      </c>
      <c r="V644">
        <v>0</v>
      </c>
      <c r="W644">
        <v>0</v>
      </c>
      <c r="X644">
        <v>1</v>
      </c>
      <c r="Y644">
        <v>0</v>
      </c>
      <c r="Z644">
        <v>0</v>
      </c>
      <c r="AA644">
        <v>0</v>
      </c>
      <c r="AB644">
        <v>0</v>
      </c>
      <c r="AC644">
        <v>0</v>
      </c>
      <c r="AD644">
        <v>0</v>
      </c>
      <c r="AE644">
        <v>1</v>
      </c>
      <c r="AF644" t="s">
        <v>132</v>
      </c>
    </row>
    <row r="645" spans="1:32" x14ac:dyDescent="0.25">
      <c r="A645" t="s">
        <v>171</v>
      </c>
      <c r="B645" s="25">
        <f t="shared" si="22"/>
        <v>4000</v>
      </c>
      <c r="C645" t="s">
        <v>12</v>
      </c>
      <c r="D645" t="s">
        <v>13</v>
      </c>
      <c r="E645" t="s">
        <v>13</v>
      </c>
      <c r="F645" t="s">
        <v>13</v>
      </c>
      <c r="G645" t="s">
        <v>13</v>
      </c>
      <c r="H645" s="27" t="s">
        <v>13</v>
      </c>
      <c r="I645" s="27" t="s">
        <v>13</v>
      </c>
      <c r="J645" s="27" t="s">
        <v>13</v>
      </c>
      <c r="K645" s="27" t="s">
        <v>13</v>
      </c>
      <c r="L645" s="27" t="s">
        <v>13</v>
      </c>
      <c r="M645" s="27" t="s">
        <v>13</v>
      </c>
      <c r="N645" s="27" t="s">
        <v>13</v>
      </c>
      <c r="O645" s="27" t="s">
        <v>13</v>
      </c>
      <c r="P645">
        <v>700</v>
      </c>
      <c r="Q645">
        <v>560</v>
      </c>
      <c r="R645" t="s">
        <v>87</v>
      </c>
      <c r="S645" t="s">
        <v>89</v>
      </c>
      <c r="T645">
        <v>0</v>
      </c>
      <c r="U645">
        <v>0</v>
      </c>
      <c r="V645">
        <v>0</v>
      </c>
      <c r="W645">
        <v>0</v>
      </c>
      <c r="X645">
        <v>1</v>
      </c>
      <c r="Y645">
        <v>0</v>
      </c>
      <c r="Z645">
        <v>0</v>
      </c>
      <c r="AA645">
        <v>0</v>
      </c>
      <c r="AB645">
        <v>0</v>
      </c>
      <c r="AC645">
        <v>0</v>
      </c>
      <c r="AD645">
        <v>0</v>
      </c>
      <c r="AE645">
        <v>1</v>
      </c>
      <c r="AF645" t="s">
        <v>128</v>
      </c>
    </row>
    <row r="646" spans="1:32" x14ac:dyDescent="0.25">
      <c r="A646" t="s">
        <v>171</v>
      </c>
      <c r="B646" s="25">
        <f t="shared" si="22"/>
        <v>4010</v>
      </c>
      <c r="C646" t="s">
        <v>12</v>
      </c>
      <c r="D646" t="s">
        <v>13</v>
      </c>
      <c r="E646" t="s">
        <v>13</v>
      </c>
      <c r="F646" t="s">
        <v>13</v>
      </c>
      <c r="G646" t="s">
        <v>13</v>
      </c>
      <c r="H646" s="27" t="s">
        <v>13</v>
      </c>
      <c r="I646" s="27" t="s">
        <v>13</v>
      </c>
      <c r="J646" s="27" t="s">
        <v>13</v>
      </c>
      <c r="K646" s="27" t="s">
        <v>13</v>
      </c>
      <c r="L646" s="27" t="s">
        <v>13</v>
      </c>
      <c r="M646" s="27" t="s">
        <v>13</v>
      </c>
      <c r="N646" s="27" t="s">
        <v>13</v>
      </c>
      <c r="O646" s="27" t="s">
        <v>13</v>
      </c>
      <c r="P646">
        <v>700</v>
      </c>
      <c r="Q646">
        <v>560</v>
      </c>
      <c r="R646" t="s">
        <v>87</v>
      </c>
      <c r="S646" t="s">
        <v>89</v>
      </c>
      <c r="T646">
        <v>0</v>
      </c>
      <c r="U646">
        <v>0</v>
      </c>
      <c r="V646">
        <v>0</v>
      </c>
      <c r="W646">
        <v>0</v>
      </c>
      <c r="X646">
        <v>1</v>
      </c>
      <c r="Y646">
        <v>0</v>
      </c>
      <c r="Z646">
        <v>0</v>
      </c>
      <c r="AA646">
        <v>0</v>
      </c>
      <c r="AB646">
        <v>0</v>
      </c>
      <c r="AC646">
        <v>0</v>
      </c>
      <c r="AD646">
        <v>0</v>
      </c>
      <c r="AE646">
        <v>1</v>
      </c>
      <c r="AF646" t="s">
        <v>129</v>
      </c>
    </row>
    <row r="647" spans="1:32" x14ac:dyDescent="0.25">
      <c r="A647" t="s">
        <v>171</v>
      </c>
      <c r="B647" s="25">
        <f t="shared" si="22"/>
        <v>4020</v>
      </c>
      <c r="C647" t="s">
        <v>12</v>
      </c>
      <c r="D647" t="s">
        <v>13</v>
      </c>
      <c r="E647" t="s">
        <v>13</v>
      </c>
      <c r="F647" t="s">
        <v>13</v>
      </c>
      <c r="G647" t="s">
        <v>13</v>
      </c>
      <c r="H647" s="27" t="s">
        <v>13</v>
      </c>
      <c r="I647" s="27" t="s">
        <v>13</v>
      </c>
      <c r="J647" s="27" t="s">
        <v>13</v>
      </c>
      <c r="K647" s="27" t="s">
        <v>13</v>
      </c>
      <c r="L647" s="27" t="s">
        <v>13</v>
      </c>
      <c r="M647" s="27" t="s">
        <v>13</v>
      </c>
      <c r="N647" s="27" t="s">
        <v>13</v>
      </c>
      <c r="O647" s="27" t="s">
        <v>13</v>
      </c>
      <c r="P647">
        <v>700</v>
      </c>
      <c r="Q647">
        <v>560</v>
      </c>
      <c r="R647" t="s">
        <v>87</v>
      </c>
      <c r="S647" t="s">
        <v>89</v>
      </c>
      <c r="T647">
        <v>0</v>
      </c>
      <c r="U647">
        <v>0</v>
      </c>
      <c r="V647">
        <v>0</v>
      </c>
      <c r="W647">
        <v>0</v>
      </c>
      <c r="X647">
        <v>1</v>
      </c>
      <c r="Y647">
        <v>0</v>
      </c>
      <c r="Z647">
        <v>0</v>
      </c>
      <c r="AA647">
        <v>0</v>
      </c>
      <c r="AB647">
        <v>0</v>
      </c>
      <c r="AC647">
        <v>0</v>
      </c>
      <c r="AD647">
        <v>0</v>
      </c>
      <c r="AE647">
        <v>1</v>
      </c>
      <c r="AF647" t="s">
        <v>130</v>
      </c>
    </row>
    <row r="648" spans="1:32" x14ac:dyDescent="0.25">
      <c r="A648" t="s">
        <v>171</v>
      </c>
      <c r="B648" s="25">
        <f t="shared" si="22"/>
        <v>4030</v>
      </c>
      <c r="C648" t="s">
        <v>12</v>
      </c>
      <c r="D648">
        <v>0</v>
      </c>
      <c r="E648">
        <v>0</v>
      </c>
      <c r="F648">
        <v>256</v>
      </c>
      <c r="G648">
        <v>222</v>
      </c>
      <c r="H648" s="27">
        <v>0</v>
      </c>
      <c r="I648" s="27">
        <v>0</v>
      </c>
      <c r="J648" s="27">
        <v>0</v>
      </c>
      <c r="K648" s="27">
        <v>0</v>
      </c>
      <c r="L648" s="27">
        <v>1</v>
      </c>
      <c r="M648" s="27">
        <v>0</v>
      </c>
      <c r="N648" s="27">
        <v>0</v>
      </c>
      <c r="O648" s="27">
        <v>0</v>
      </c>
      <c r="P648">
        <v>700</v>
      </c>
      <c r="Q648">
        <v>560</v>
      </c>
      <c r="R648" t="s">
        <v>87</v>
      </c>
      <c r="S648" t="s">
        <v>89</v>
      </c>
      <c r="T648">
        <v>0</v>
      </c>
      <c r="U648">
        <v>0</v>
      </c>
      <c r="V648">
        <v>0</v>
      </c>
      <c r="W648">
        <v>0</v>
      </c>
      <c r="X648">
        <v>1</v>
      </c>
      <c r="Y648">
        <v>0</v>
      </c>
      <c r="Z648">
        <v>0</v>
      </c>
      <c r="AA648">
        <v>0</v>
      </c>
      <c r="AB648">
        <v>0</v>
      </c>
      <c r="AC648">
        <v>0</v>
      </c>
      <c r="AD648">
        <v>0</v>
      </c>
      <c r="AE648">
        <v>1</v>
      </c>
      <c r="AF648" t="s">
        <v>131</v>
      </c>
    </row>
    <row r="649" spans="1:32" s="25" customFormat="1" x14ac:dyDescent="0.25">
      <c r="A649" s="25" t="s">
        <v>171</v>
      </c>
      <c r="B649" s="25">
        <f t="shared" ref="B649:B699" si="23">B648+10</f>
        <v>4040</v>
      </c>
      <c r="C649" s="25" t="s">
        <v>12</v>
      </c>
      <c r="D649" s="25">
        <v>0</v>
      </c>
      <c r="E649" s="25">
        <v>0</v>
      </c>
      <c r="F649" s="25">
        <v>256</v>
      </c>
      <c r="G649" s="25">
        <v>222</v>
      </c>
      <c r="H649" s="27">
        <v>0</v>
      </c>
      <c r="I649" s="27">
        <v>0</v>
      </c>
      <c r="J649" s="27">
        <v>0</v>
      </c>
      <c r="K649" s="27">
        <v>0</v>
      </c>
      <c r="L649" s="27">
        <v>1</v>
      </c>
      <c r="M649" s="27">
        <v>0</v>
      </c>
      <c r="N649" s="27">
        <v>0</v>
      </c>
      <c r="O649" s="27">
        <v>0</v>
      </c>
      <c r="P649" s="25">
        <v>700</v>
      </c>
      <c r="Q649" s="25">
        <v>560</v>
      </c>
      <c r="R649" s="25" t="s">
        <v>87</v>
      </c>
      <c r="S649" s="25" t="s">
        <v>89</v>
      </c>
      <c r="T649" s="25">
        <v>0</v>
      </c>
      <c r="U649" s="25">
        <v>0</v>
      </c>
      <c r="V649" s="25">
        <v>0</v>
      </c>
      <c r="W649" s="25">
        <v>0</v>
      </c>
      <c r="X649" s="25">
        <v>1</v>
      </c>
      <c r="Y649" s="25">
        <v>0</v>
      </c>
      <c r="Z649" s="25">
        <v>0</v>
      </c>
      <c r="AA649" s="25">
        <v>0</v>
      </c>
      <c r="AB649" s="25">
        <v>0</v>
      </c>
      <c r="AC649" s="25">
        <v>0</v>
      </c>
      <c r="AD649" s="25">
        <v>0</v>
      </c>
      <c r="AE649" s="25">
        <v>1</v>
      </c>
      <c r="AF649" s="25" t="s">
        <v>131</v>
      </c>
    </row>
    <row r="650" spans="1:32" s="25" customFormat="1" x14ac:dyDescent="0.25">
      <c r="A650" s="25" t="s">
        <v>171</v>
      </c>
      <c r="B650" s="25">
        <f t="shared" si="23"/>
        <v>4050</v>
      </c>
      <c r="C650" s="25" t="s">
        <v>12</v>
      </c>
      <c r="D650" s="25">
        <v>0</v>
      </c>
      <c r="E650" s="25">
        <v>0</v>
      </c>
      <c r="F650" s="25">
        <v>256</v>
      </c>
      <c r="G650" s="25">
        <v>222</v>
      </c>
      <c r="H650" s="27">
        <v>0</v>
      </c>
      <c r="I650" s="27">
        <v>0</v>
      </c>
      <c r="J650" s="27">
        <v>0</v>
      </c>
      <c r="K650" s="27">
        <v>0</v>
      </c>
      <c r="L650" s="27">
        <v>1</v>
      </c>
      <c r="M650" s="27">
        <v>0</v>
      </c>
      <c r="N650" s="27">
        <v>0</v>
      </c>
      <c r="O650" s="27">
        <v>0</v>
      </c>
      <c r="P650" s="25">
        <v>700</v>
      </c>
      <c r="Q650" s="25">
        <v>560</v>
      </c>
      <c r="R650" s="25" t="s">
        <v>87</v>
      </c>
      <c r="S650" s="25" t="s">
        <v>89</v>
      </c>
      <c r="T650" s="25">
        <v>0</v>
      </c>
      <c r="U650" s="25">
        <v>0</v>
      </c>
      <c r="V650" s="25">
        <v>0</v>
      </c>
      <c r="W650" s="25">
        <v>0</v>
      </c>
      <c r="X650" s="25">
        <v>1</v>
      </c>
      <c r="Y650" s="25">
        <v>0</v>
      </c>
      <c r="Z650" s="25">
        <v>0</v>
      </c>
      <c r="AA650" s="25">
        <v>0</v>
      </c>
      <c r="AB650" s="25">
        <v>0</v>
      </c>
      <c r="AC650" s="25">
        <v>0</v>
      </c>
      <c r="AD650" s="25">
        <v>0</v>
      </c>
      <c r="AE650" s="25">
        <v>1</v>
      </c>
      <c r="AF650" s="25" t="s">
        <v>131</v>
      </c>
    </row>
    <row r="651" spans="1:32" s="25" customFormat="1" x14ac:dyDescent="0.25">
      <c r="A651" s="25" t="s">
        <v>171</v>
      </c>
      <c r="B651" s="25">
        <f t="shared" si="23"/>
        <v>4060</v>
      </c>
      <c r="C651" s="25" t="s">
        <v>12</v>
      </c>
      <c r="D651" s="25">
        <v>0</v>
      </c>
      <c r="E651" s="25">
        <v>0</v>
      </c>
      <c r="F651" s="25">
        <v>256</v>
      </c>
      <c r="G651" s="25">
        <v>222</v>
      </c>
      <c r="H651" s="27">
        <v>0</v>
      </c>
      <c r="I651" s="27">
        <v>0</v>
      </c>
      <c r="J651" s="27">
        <v>0</v>
      </c>
      <c r="K651" s="27">
        <v>0</v>
      </c>
      <c r="L651" s="27">
        <v>1</v>
      </c>
      <c r="M651" s="27">
        <v>0</v>
      </c>
      <c r="N651" s="27">
        <v>0</v>
      </c>
      <c r="O651" s="27">
        <v>0</v>
      </c>
      <c r="P651" s="25">
        <v>700</v>
      </c>
      <c r="Q651" s="25">
        <v>560</v>
      </c>
      <c r="R651" s="25" t="s">
        <v>87</v>
      </c>
      <c r="S651" s="25" t="s">
        <v>89</v>
      </c>
      <c r="T651" s="25">
        <v>0</v>
      </c>
      <c r="U651" s="25">
        <v>0</v>
      </c>
      <c r="V651" s="25">
        <v>0</v>
      </c>
      <c r="W651" s="25">
        <v>0</v>
      </c>
      <c r="X651" s="25">
        <v>1</v>
      </c>
      <c r="Y651" s="25">
        <v>0</v>
      </c>
      <c r="Z651" s="25">
        <v>0</v>
      </c>
      <c r="AA651" s="25">
        <v>0</v>
      </c>
      <c r="AB651" s="25">
        <v>0</v>
      </c>
      <c r="AC651" s="25">
        <v>0</v>
      </c>
      <c r="AD651" s="25">
        <v>0</v>
      </c>
      <c r="AE651" s="25">
        <v>1</v>
      </c>
      <c r="AF651" s="25" t="s">
        <v>131</v>
      </c>
    </row>
    <row r="652" spans="1:32" s="25" customFormat="1" x14ac:dyDescent="0.25">
      <c r="A652" s="25" t="s">
        <v>171</v>
      </c>
      <c r="B652" s="25">
        <f t="shared" si="23"/>
        <v>4070</v>
      </c>
      <c r="C652" s="25" t="s">
        <v>12</v>
      </c>
      <c r="D652" s="25">
        <v>0</v>
      </c>
      <c r="E652" s="25">
        <v>0</v>
      </c>
      <c r="F652" s="25">
        <v>256</v>
      </c>
      <c r="G652" s="25">
        <v>222</v>
      </c>
      <c r="H652" s="27">
        <v>0</v>
      </c>
      <c r="I652" s="27">
        <v>0</v>
      </c>
      <c r="J652" s="27">
        <v>0</v>
      </c>
      <c r="K652" s="27">
        <v>0</v>
      </c>
      <c r="L652" s="27">
        <v>1</v>
      </c>
      <c r="M652" s="27">
        <v>0</v>
      </c>
      <c r="N652" s="27">
        <v>0</v>
      </c>
      <c r="O652" s="27">
        <v>0</v>
      </c>
      <c r="P652" s="25">
        <v>700</v>
      </c>
      <c r="Q652" s="25">
        <v>560</v>
      </c>
      <c r="R652" s="25" t="s">
        <v>87</v>
      </c>
      <c r="S652" s="25" t="s">
        <v>89</v>
      </c>
      <c r="T652" s="25">
        <v>0</v>
      </c>
      <c r="U652" s="25">
        <v>0</v>
      </c>
      <c r="V652" s="25">
        <v>0</v>
      </c>
      <c r="W652" s="25">
        <v>0</v>
      </c>
      <c r="X652" s="25">
        <v>1</v>
      </c>
      <c r="Y652" s="25">
        <v>0</v>
      </c>
      <c r="Z652" s="25">
        <v>0</v>
      </c>
      <c r="AA652" s="25">
        <v>0</v>
      </c>
      <c r="AB652" s="25">
        <v>0</v>
      </c>
      <c r="AC652" s="25">
        <v>0</v>
      </c>
      <c r="AD652" s="25">
        <v>0</v>
      </c>
      <c r="AE652" s="25">
        <v>1</v>
      </c>
      <c r="AF652" s="25" t="s">
        <v>131</v>
      </c>
    </row>
    <row r="653" spans="1:32" s="25" customFormat="1" x14ac:dyDescent="0.25">
      <c r="A653" s="25" t="s">
        <v>171</v>
      </c>
      <c r="B653" s="25">
        <f t="shared" si="23"/>
        <v>4080</v>
      </c>
      <c r="C653" s="25" t="s">
        <v>12</v>
      </c>
      <c r="D653" s="25">
        <v>0</v>
      </c>
      <c r="E653" s="25">
        <v>0</v>
      </c>
      <c r="F653" s="25">
        <v>256</v>
      </c>
      <c r="G653" s="25">
        <v>222</v>
      </c>
      <c r="H653" s="27">
        <v>0</v>
      </c>
      <c r="I653" s="27">
        <v>0</v>
      </c>
      <c r="J653" s="27">
        <v>0</v>
      </c>
      <c r="K653" s="27">
        <v>0</v>
      </c>
      <c r="L653" s="27">
        <v>1</v>
      </c>
      <c r="M653" s="27">
        <v>0</v>
      </c>
      <c r="N653" s="27">
        <v>0</v>
      </c>
      <c r="O653" s="27">
        <v>0</v>
      </c>
      <c r="P653" s="25">
        <v>700</v>
      </c>
      <c r="Q653" s="25">
        <v>560</v>
      </c>
      <c r="R653" s="25" t="s">
        <v>87</v>
      </c>
      <c r="S653" s="25" t="s">
        <v>89</v>
      </c>
      <c r="T653" s="25">
        <v>0</v>
      </c>
      <c r="U653" s="25">
        <v>0</v>
      </c>
      <c r="V653" s="25">
        <v>0</v>
      </c>
      <c r="W653" s="25">
        <v>0</v>
      </c>
      <c r="X653" s="25">
        <v>1</v>
      </c>
      <c r="Y653" s="25">
        <v>0</v>
      </c>
      <c r="Z653" s="25">
        <v>0</v>
      </c>
      <c r="AA653" s="25">
        <v>0</v>
      </c>
      <c r="AB653" s="25">
        <v>0</v>
      </c>
      <c r="AC653" s="25">
        <v>0</v>
      </c>
      <c r="AD653" s="25">
        <v>0</v>
      </c>
      <c r="AE653" s="25">
        <v>1</v>
      </c>
      <c r="AF653" s="25" t="s">
        <v>131</v>
      </c>
    </row>
    <row r="654" spans="1:32" s="25" customFormat="1" x14ac:dyDescent="0.25">
      <c r="A654" s="25" t="s">
        <v>171</v>
      </c>
      <c r="B654" s="25">
        <f t="shared" si="23"/>
        <v>4090</v>
      </c>
      <c r="C654" s="25" t="s">
        <v>12</v>
      </c>
      <c r="D654" s="25">
        <v>0</v>
      </c>
      <c r="E654" s="25">
        <v>0</v>
      </c>
      <c r="F654" s="25">
        <v>256</v>
      </c>
      <c r="G654" s="25">
        <v>222</v>
      </c>
      <c r="H654" s="27">
        <v>0</v>
      </c>
      <c r="I654" s="27">
        <v>0</v>
      </c>
      <c r="J654" s="27">
        <v>0</v>
      </c>
      <c r="K654" s="27">
        <v>0</v>
      </c>
      <c r="L654" s="27">
        <v>1</v>
      </c>
      <c r="M654" s="27">
        <v>0</v>
      </c>
      <c r="N654" s="27">
        <v>0</v>
      </c>
      <c r="O654" s="27">
        <v>0</v>
      </c>
      <c r="P654" s="25">
        <v>700</v>
      </c>
      <c r="Q654" s="25">
        <v>560</v>
      </c>
      <c r="R654" s="25" t="s">
        <v>87</v>
      </c>
      <c r="S654" s="25" t="s">
        <v>89</v>
      </c>
      <c r="T654" s="25">
        <v>0</v>
      </c>
      <c r="U654" s="25">
        <v>0</v>
      </c>
      <c r="V654" s="25">
        <v>0</v>
      </c>
      <c r="W654" s="25">
        <v>0</v>
      </c>
      <c r="X654" s="25">
        <v>1</v>
      </c>
      <c r="Y654" s="25">
        <v>0</v>
      </c>
      <c r="Z654" s="25">
        <v>0</v>
      </c>
      <c r="AA654" s="25">
        <v>0</v>
      </c>
      <c r="AB654" s="25">
        <v>0</v>
      </c>
      <c r="AC654" s="25">
        <v>0</v>
      </c>
      <c r="AD654" s="25">
        <v>0</v>
      </c>
      <c r="AE654" s="25">
        <v>1</v>
      </c>
      <c r="AF654" s="25" t="s">
        <v>131</v>
      </c>
    </row>
    <row r="655" spans="1:32" s="25" customFormat="1" x14ac:dyDescent="0.25">
      <c r="A655" s="25" t="s">
        <v>171</v>
      </c>
      <c r="B655" s="25">
        <f t="shared" si="23"/>
        <v>4100</v>
      </c>
      <c r="C655" s="25" t="s">
        <v>12</v>
      </c>
      <c r="D655" s="25">
        <v>0</v>
      </c>
      <c r="E655" s="25">
        <v>0</v>
      </c>
      <c r="F655" s="25">
        <v>256</v>
      </c>
      <c r="G655" s="25">
        <v>222</v>
      </c>
      <c r="H655" s="27">
        <v>0</v>
      </c>
      <c r="I655" s="27">
        <v>0</v>
      </c>
      <c r="J655" s="27">
        <v>0</v>
      </c>
      <c r="K655" s="27">
        <v>0</v>
      </c>
      <c r="L655" s="27">
        <v>1</v>
      </c>
      <c r="M655" s="27">
        <v>0</v>
      </c>
      <c r="N655" s="27">
        <v>0</v>
      </c>
      <c r="O655" s="27">
        <v>0</v>
      </c>
      <c r="P655" s="25">
        <v>700</v>
      </c>
      <c r="Q655" s="25">
        <v>560</v>
      </c>
      <c r="R655" s="25" t="s">
        <v>87</v>
      </c>
      <c r="S655" s="25" t="s">
        <v>89</v>
      </c>
      <c r="T655" s="25">
        <v>0</v>
      </c>
      <c r="U655" s="25">
        <v>0</v>
      </c>
      <c r="V655" s="25">
        <v>0</v>
      </c>
      <c r="W655" s="25">
        <v>0</v>
      </c>
      <c r="X655" s="25">
        <v>1</v>
      </c>
      <c r="Y655" s="25">
        <v>0</v>
      </c>
      <c r="Z655" s="25">
        <v>0</v>
      </c>
      <c r="AA655" s="25">
        <v>0</v>
      </c>
      <c r="AB655" s="25">
        <v>0</v>
      </c>
      <c r="AC655" s="25">
        <v>0</v>
      </c>
      <c r="AD655" s="25">
        <v>0</v>
      </c>
      <c r="AE655" s="25">
        <v>1</v>
      </c>
      <c r="AF655" s="25" t="s">
        <v>131</v>
      </c>
    </row>
    <row r="656" spans="1:32" s="25" customFormat="1" x14ac:dyDescent="0.25">
      <c r="A656" s="25" t="s">
        <v>171</v>
      </c>
      <c r="B656" s="25">
        <f t="shared" si="23"/>
        <v>4110</v>
      </c>
      <c r="C656" s="25" t="s">
        <v>12</v>
      </c>
      <c r="D656" s="25">
        <v>0</v>
      </c>
      <c r="E656" s="25">
        <v>0</v>
      </c>
      <c r="F656" s="25">
        <v>256</v>
      </c>
      <c r="G656" s="25">
        <v>222</v>
      </c>
      <c r="H656" s="27">
        <v>0</v>
      </c>
      <c r="I656" s="27">
        <v>0</v>
      </c>
      <c r="J656" s="27">
        <v>0</v>
      </c>
      <c r="K656" s="27">
        <v>0</v>
      </c>
      <c r="L656" s="27">
        <v>1</v>
      </c>
      <c r="M656" s="27">
        <v>0</v>
      </c>
      <c r="N656" s="27">
        <v>0</v>
      </c>
      <c r="O656" s="27">
        <v>0</v>
      </c>
      <c r="P656" s="25">
        <v>700</v>
      </c>
      <c r="Q656" s="25">
        <v>560</v>
      </c>
      <c r="R656" s="25" t="s">
        <v>87</v>
      </c>
      <c r="S656" s="25" t="s">
        <v>89</v>
      </c>
      <c r="T656" s="25">
        <v>0</v>
      </c>
      <c r="U656" s="25">
        <v>0</v>
      </c>
      <c r="V656" s="25">
        <v>0</v>
      </c>
      <c r="W656" s="25">
        <v>0</v>
      </c>
      <c r="X656" s="25">
        <v>1</v>
      </c>
      <c r="Y656" s="25">
        <v>0</v>
      </c>
      <c r="Z656" s="25">
        <v>0</v>
      </c>
      <c r="AA656" s="25">
        <v>0</v>
      </c>
      <c r="AB656" s="25">
        <v>0</v>
      </c>
      <c r="AC656" s="25">
        <v>0</v>
      </c>
      <c r="AD656" s="25">
        <v>0</v>
      </c>
      <c r="AE656" s="25">
        <v>1</v>
      </c>
      <c r="AF656" s="25" t="s">
        <v>131</v>
      </c>
    </row>
    <row r="657" spans="1:32" s="25" customFormat="1" x14ac:dyDescent="0.25">
      <c r="A657" s="25" t="s">
        <v>171</v>
      </c>
      <c r="B657" s="25">
        <f t="shared" si="23"/>
        <v>4120</v>
      </c>
      <c r="C657" s="25" t="s">
        <v>12</v>
      </c>
      <c r="D657" s="25">
        <v>0</v>
      </c>
      <c r="E657" s="25">
        <v>0</v>
      </c>
      <c r="F657" s="25">
        <v>256</v>
      </c>
      <c r="G657" s="25">
        <v>222</v>
      </c>
      <c r="H657" s="27">
        <v>0</v>
      </c>
      <c r="I657" s="27">
        <v>0</v>
      </c>
      <c r="J657" s="27">
        <v>0</v>
      </c>
      <c r="K657" s="27">
        <v>0</v>
      </c>
      <c r="L657" s="27">
        <v>1</v>
      </c>
      <c r="M657" s="27">
        <v>0</v>
      </c>
      <c r="N657" s="27">
        <v>0</v>
      </c>
      <c r="O657" s="27">
        <v>0</v>
      </c>
      <c r="P657" s="25">
        <v>700</v>
      </c>
      <c r="Q657" s="25">
        <v>560</v>
      </c>
      <c r="R657" s="25" t="s">
        <v>87</v>
      </c>
      <c r="S657" s="25" t="s">
        <v>89</v>
      </c>
      <c r="T657" s="25">
        <v>0</v>
      </c>
      <c r="U657" s="25">
        <v>0</v>
      </c>
      <c r="V657" s="25">
        <v>0</v>
      </c>
      <c r="W657" s="25">
        <v>0</v>
      </c>
      <c r="X657" s="25">
        <v>1</v>
      </c>
      <c r="Y657" s="25">
        <v>0</v>
      </c>
      <c r="Z657" s="25">
        <v>0</v>
      </c>
      <c r="AA657" s="25">
        <v>0</v>
      </c>
      <c r="AB657" s="25">
        <v>0</v>
      </c>
      <c r="AC657" s="25">
        <v>0</v>
      </c>
      <c r="AD657" s="25">
        <v>0</v>
      </c>
      <c r="AE657" s="25">
        <v>1</v>
      </c>
      <c r="AF657" s="25" t="s">
        <v>131</v>
      </c>
    </row>
    <row r="658" spans="1:32" s="25" customFormat="1" x14ac:dyDescent="0.25">
      <c r="A658" s="25" t="s">
        <v>171</v>
      </c>
      <c r="B658" s="25">
        <f t="shared" si="23"/>
        <v>4130</v>
      </c>
      <c r="C658" s="25" t="s">
        <v>12</v>
      </c>
      <c r="D658" s="25">
        <v>0</v>
      </c>
      <c r="E658" s="25">
        <v>0</v>
      </c>
      <c r="F658" s="25">
        <v>256</v>
      </c>
      <c r="G658" s="25">
        <v>222</v>
      </c>
      <c r="H658" s="27">
        <v>0</v>
      </c>
      <c r="I658" s="27">
        <v>0</v>
      </c>
      <c r="J658" s="27">
        <v>0</v>
      </c>
      <c r="K658" s="27">
        <v>0</v>
      </c>
      <c r="L658" s="27">
        <v>1</v>
      </c>
      <c r="M658" s="27">
        <v>0</v>
      </c>
      <c r="N658" s="27">
        <v>0</v>
      </c>
      <c r="O658" s="27">
        <v>0</v>
      </c>
      <c r="P658" s="25">
        <v>700</v>
      </c>
      <c r="Q658" s="25">
        <v>560</v>
      </c>
      <c r="R658" s="25" t="s">
        <v>87</v>
      </c>
      <c r="S658" s="25" t="s">
        <v>89</v>
      </c>
      <c r="T658" s="25">
        <v>0</v>
      </c>
      <c r="U658" s="25">
        <v>0</v>
      </c>
      <c r="V658" s="25">
        <v>0</v>
      </c>
      <c r="W658" s="25">
        <v>0</v>
      </c>
      <c r="X658" s="25">
        <v>1</v>
      </c>
      <c r="Y658" s="25">
        <v>0</v>
      </c>
      <c r="Z658" s="25">
        <v>0</v>
      </c>
      <c r="AA658" s="25">
        <v>0</v>
      </c>
      <c r="AB658" s="25">
        <v>0</v>
      </c>
      <c r="AC658" s="25">
        <v>0</v>
      </c>
      <c r="AD658" s="25">
        <v>0</v>
      </c>
      <c r="AE658" s="25">
        <v>1</v>
      </c>
      <c r="AF658" s="25" t="s">
        <v>131</v>
      </c>
    </row>
    <row r="659" spans="1:32" s="25" customFormat="1" x14ac:dyDescent="0.25">
      <c r="A659" s="25" t="s">
        <v>171</v>
      </c>
      <c r="B659" s="25">
        <f t="shared" si="23"/>
        <v>4140</v>
      </c>
      <c r="C659" s="25" t="s">
        <v>12</v>
      </c>
      <c r="D659" s="25">
        <v>0</v>
      </c>
      <c r="E659" s="25">
        <v>0</v>
      </c>
      <c r="F659" s="25">
        <v>256</v>
      </c>
      <c r="G659" s="25">
        <v>222</v>
      </c>
      <c r="H659" s="27">
        <v>0</v>
      </c>
      <c r="I659" s="27">
        <v>0</v>
      </c>
      <c r="J659" s="27">
        <v>0</v>
      </c>
      <c r="K659" s="27">
        <v>0</v>
      </c>
      <c r="L659" s="27">
        <v>1</v>
      </c>
      <c r="M659" s="27">
        <v>0</v>
      </c>
      <c r="N659" s="27">
        <v>0</v>
      </c>
      <c r="O659" s="27">
        <v>0</v>
      </c>
      <c r="P659" s="25">
        <v>700</v>
      </c>
      <c r="Q659" s="25">
        <v>560</v>
      </c>
      <c r="R659" s="25" t="s">
        <v>87</v>
      </c>
      <c r="S659" s="25" t="s">
        <v>89</v>
      </c>
      <c r="T659" s="25">
        <v>0</v>
      </c>
      <c r="U659" s="25">
        <v>0</v>
      </c>
      <c r="V659" s="25">
        <v>0</v>
      </c>
      <c r="W659" s="25">
        <v>0</v>
      </c>
      <c r="X659" s="25">
        <v>1</v>
      </c>
      <c r="Y659" s="25">
        <v>0</v>
      </c>
      <c r="Z659" s="25">
        <v>0</v>
      </c>
      <c r="AA659" s="25">
        <v>0</v>
      </c>
      <c r="AB659" s="25">
        <v>0</v>
      </c>
      <c r="AC659" s="25">
        <v>0</v>
      </c>
      <c r="AD659" s="25">
        <v>0</v>
      </c>
      <c r="AE659" s="25">
        <v>1</v>
      </c>
      <c r="AF659" s="25" t="s">
        <v>131</v>
      </c>
    </row>
    <row r="660" spans="1:32" s="25" customFormat="1" x14ac:dyDescent="0.25">
      <c r="A660" s="25" t="s">
        <v>171</v>
      </c>
      <c r="B660" s="25">
        <f t="shared" si="23"/>
        <v>4150</v>
      </c>
      <c r="C660" s="25" t="s">
        <v>12</v>
      </c>
      <c r="D660" s="25">
        <v>0</v>
      </c>
      <c r="E660" s="25">
        <v>0</v>
      </c>
      <c r="F660" s="25">
        <v>256</v>
      </c>
      <c r="G660" s="25">
        <v>222</v>
      </c>
      <c r="H660" s="27">
        <v>0</v>
      </c>
      <c r="I660" s="27">
        <v>0</v>
      </c>
      <c r="J660" s="27">
        <v>0</v>
      </c>
      <c r="K660" s="27">
        <v>0</v>
      </c>
      <c r="L660" s="27">
        <v>1</v>
      </c>
      <c r="M660" s="27">
        <v>0</v>
      </c>
      <c r="N660" s="27">
        <v>0</v>
      </c>
      <c r="O660" s="27">
        <v>0</v>
      </c>
      <c r="P660" s="25">
        <v>700</v>
      </c>
      <c r="Q660" s="25">
        <v>560</v>
      </c>
      <c r="R660" s="25" t="s">
        <v>87</v>
      </c>
      <c r="S660" s="25" t="s">
        <v>89</v>
      </c>
      <c r="T660" s="25">
        <v>0</v>
      </c>
      <c r="U660" s="25">
        <v>0</v>
      </c>
      <c r="V660" s="25">
        <v>0</v>
      </c>
      <c r="W660" s="25">
        <v>0</v>
      </c>
      <c r="X660" s="25">
        <v>1</v>
      </c>
      <c r="Y660" s="25">
        <v>0</v>
      </c>
      <c r="Z660" s="25">
        <v>0</v>
      </c>
      <c r="AA660" s="25">
        <v>0</v>
      </c>
      <c r="AB660" s="25">
        <v>0</v>
      </c>
      <c r="AC660" s="25">
        <v>0</v>
      </c>
      <c r="AD660" s="25">
        <v>0</v>
      </c>
      <c r="AE660" s="25">
        <v>1</v>
      </c>
      <c r="AF660" s="25" t="s">
        <v>131</v>
      </c>
    </row>
    <row r="661" spans="1:32" s="25" customFormat="1" x14ac:dyDescent="0.25">
      <c r="A661" s="25" t="s">
        <v>171</v>
      </c>
      <c r="B661" s="25">
        <f t="shared" si="23"/>
        <v>4160</v>
      </c>
      <c r="C661" s="25" t="s">
        <v>12</v>
      </c>
      <c r="D661" s="25">
        <v>0</v>
      </c>
      <c r="E661" s="25">
        <v>0</v>
      </c>
      <c r="F661" s="25">
        <v>256</v>
      </c>
      <c r="G661" s="25">
        <v>222</v>
      </c>
      <c r="H661" s="27">
        <v>0</v>
      </c>
      <c r="I661" s="27">
        <v>0</v>
      </c>
      <c r="J661" s="27">
        <v>0</v>
      </c>
      <c r="K661" s="27">
        <v>0</v>
      </c>
      <c r="L661" s="27">
        <v>1</v>
      </c>
      <c r="M661" s="27">
        <v>0</v>
      </c>
      <c r="N661" s="27">
        <v>0</v>
      </c>
      <c r="O661" s="27">
        <v>0</v>
      </c>
      <c r="P661" s="25">
        <v>700</v>
      </c>
      <c r="Q661" s="25">
        <v>560</v>
      </c>
      <c r="R661" s="25" t="s">
        <v>87</v>
      </c>
      <c r="S661" s="25" t="s">
        <v>89</v>
      </c>
      <c r="T661" s="25">
        <v>0</v>
      </c>
      <c r="U661" s="25">
        <v>0</v>
      </c>
      <c r="V661" s="25">
        <v>0</v>
      </c>
      <c r="W661" s="25">
        <v>0</v>
      </c>
      <c r="X661" s="25">
        <v>1</v>
      </c>
      <c r="Y661" s="25">
        <v>0</v>
      </c>
      <c r="Z661" s="25">
        <v>0</v>
      </c>
      <c r="AA661" s="25">
        <v>0</v>
      </c>
      <c r="AB661" s="25">
        <v>0</v>
      </c>
      <c r="AC661" s="25">
        <v>0</v>
      </c>
      <c r="AD661" s="25">
        <v>0</v>
      </c>
      <c r="AE661" s="25">
        <v>1</v>
      </c>
      <c r="AF661" s="25" t="s">
        <v>131</v>
      </c>
    </row>
    <row r="662" spans="1:32" s="25" customFormat="1" x14ac:dyDescent="0.25">
      <c r="A662" s="25" t="s">
        <v>171</v>
      </c>
      <c r="B662" s="25">
        <f t="shared" si="23"/>
        <v>4170</v>
      </c>
      <c r="C662" s="25" t="s">
        <v>12</v>
      </c>
      <c r="D662" s="25">
        <v>0</v>
      </c>
      <c r="E662" s="25">
        <v>0</v>
      </c>
      <c r="F662" s="25">
        <v>256</v>
      </c>
      <c r="G662" s="25">
        <v>222</v>
      </c>
      <c r="H662" s="27">
        <v>0</v>
      </c>
      <c r="I662" s="27">
        <v>0</v>
      </c>
      <c r="J662" s="27">
        <v>0</v>
      </c>
      <c r="K662" s="27">
        <v>0</v>
      </c>
      <c r="L662" s="27">
        <v>1</v>
      </c>
      <c r="M662" s="27">
        <v>0</v>
      </c>
      <c r="N662" s="27">
        <v>0</v>
      </c>
      <c r="O662" s="27">
        <v>0</v>
      </c>
      <c r="P662" s="25">
        <v>700</v>
      </c>
      <c r="Q662" s="25">
        <v>560</v>
      </c>
      <c r="R662" s="25" t="s">
        <v>87</v>
      </c>
      <c r="S662" s="25" t="s">
        <v>89</v>
      </c>
      <c r="T662" s="25">
        <v>0</v>
      </c>
      <c r="U662" s="25">
        <v>0</v>
      </c>
      <c r="V662" s="25">
        <v>0</v>
      </c>
      <c r="W662" s="25">
        <v>0</v>
      </c>
      <c r="X662" s="25">
        <v>1</v>
      </c>
      <c r="Y662" s="25">
        <v>0</v>
      </c>
      <c r="Z662" s="25">
        <v>0</v>
      </c>
      <c r="AA662" s="25">
        <v>0</v>
      </c>
      <c r="AB662" s="25">
        <v>0</v>
      </c>
      <c r="AC662" s="25">
        <v>0</v>
      </c>
      <c r="AD662" s="25">
        <v>0</v>
      </c>
      <c r="AE662" s="25">
        <v>1</v>
      </c>
      <c r="AF662" s="25" t="s">
        <v>131</v>
      </c>
    </row>
    <row r="663" spans="1:32" s="25" customFormat="1" x14ac:dyDescent="0.25">
      <c r="A663" s="25" t="s">
        <v>171</v>
      </c>
      <c r="B663" s="25">
        <f t="shared" si="23"/>
        <v>4180</v>
      </c>
      <c r="C663" s="25" t="s">
        <v>12</v>
      </c>
      <c r="D663" s="25">
        <v>0</v>
      </c>
      <c r="E663" s="25">
        <v>0</v>
      </c>
      <c r="F663" s="25">
        <v>256</v>
      </c>
      <c r="G663" s="25">
        <v>222</v>
      </c>
      <c r="H663" s="27">
        <v>0</v>
      </c>
      <c r="I663" s="27">
        <v>0</v>
      </c>
      <c r="J663" s="27">
        <v>0</v>
      </c>
      <c r="K663" s="27">
        <v>0</v>
      </c>
      <c r="L663" s="27">
        <v>1</v>
      </c>
      <c r="M663" s="27">
        <v>0</v>
      </c>
      <c r="N663" s="27">
        <v>0</v>
      </c>
      <c r="O663" s="27">
        <v>0</v>
      </c>
      <c r="P663" s="25">
        <v>700</v>
      </c>
      <c r="Q663" s="25">
        <v>560</v>
      </c>
      <c r="R663" s="25" t="s">
        <v>87</v>
      </c>
      <c r="S663" s="25" t="s">
        <v>89</v>
      </c>
      <c r="T663" s="25">
        <v>0</v>
      </c>
      <c r="U663" s="25">
        <v>0</v>
      </c>
      <c r="V663" s="25">
        <v>0</v>
      </c>
      <c r="W663" s="25">
        <v>0</v>
      </c>
      <c r="X663" s="25">
        <v>1</v>
      </c>
      <c r="Y663" s="25">
        <v>0</v>
      </c>
      <c r="Z663" s="25">
        <v>0</v>
      </c>
      <c r="AA663" s="25">
        <v>0</v>
      </c>
      <c r="AB663" s="25">
        <v>0</v>
      </c>
      <c r="AC663" s="25">
        <v>0</v>
      </c>
      <c r="AD663" s="25">
        <v>0</v>
      </c>
      <c r="AE663" s="25">
        <v>1</v>
      </c>
      <c r="AF663" s="25" t="s">
        <v>131</v>
      </c>
    </row>
    <row r="664" spans="1:32" s="25" customFormat="1" x14ac:dyDescent="0.25">
      <c r="A664" s="25" t="s">
        <v>171</v>
      </c>
      <c r="B664" s="25">
        <f t="shared" si="23"/>
        <v>4190</v>
      </c>
      <c r="C664" s="25" t="s">
        <v>12</v>
      </c>
      <c r="D664" s="25">
        <v>0</v>
      </c>
      <c r="E664" s="25">
        <v>0</v>
      </c>
      <c r="F664" s="25">
        <v>256</v>
      </c>
      <c r="G664" s="25">
        <v>222</v>
      </c>
      <c r="H664" s="27">
        <v>0</v>
      </c>
      <c r="I664" s="27">
        <v>0</v>
      </c>
      <c r="J664" s="27">
        <v>0</v>
      </c>
      <c r="K664" s="27">
        <v>0</v>
      </c>
      <c r="L664" s="27">
        <v>1</v>
      </c>
      <c r="M664" s="27">
        <v>0</v>
      </c>
      <c r="N664" s="27">
        <v>0</v>
      </c>
      <c r="O664" s="27">
        <v>0</v>
      </c>
      <c r="P664" s="25">
        <v>700</v>
      </c>
      <c r="Q664" s="25">
        <v>560</v>
      </c>
      <c r="R664" s="25" t="s">
        <v>87</v>
      </c>
      <c r="S664" s="25" t="s">
        <v>89</v>
      </c>
      <c r="T664" s="25">
        <v>0</v>
      </c>
      <c r="U664" s="25">
        <v>0</v>
      </c>
      <c r="V664" s="25">
        <v>0</v>
      </c>
      <c r="W664" s="25">
        <v>0</v>
      </c>
      <c r="X664" s="25">
        <v>1</v>
      </c>
      <c r="Y664" s="25">
        <v>0</v>
      </c>
      <c r="Z664" s="25">
        <v>0</v>
      </c>
      <c r="AA664" s="25">
        <v>0</v>
      </c>
      <c r="AB664" s="25">
        <v>0</v>
      </c>
      <c r="AC664" s="25">
        <v>0</v>
      </c>
      <c r="AD664" s="25">
        <v>0</v>
      </c>
      <c r="AE664" s="25">
        <v>1</v>
      </c>
      <c r="AF664" s="25" t="s">
        <v>131</v>
      </c>
    </row>
    <row r="665" spans="1:32" s="25" customFormat="1" x14ac:dyDescent="0.25">
      <c r="A665" s="25" t="s">
        <v>171</v>
      </c>
      <c r="B665" s="25">
        <f t="shared" si="23"/>
        <v>4200</v>
      </c>
      <c r="C665" s="25" t="s">
        <v>12</v>
      </c>
      <c r="D665" s="25">
        <v>0</v>
      </c>
      <c r="E665" s="25">
        <v>0</v>
      </c>
      <c r="F665" s="25">
        <v>256</v>
      </c>
      <c r="G665" s="25">
        <v>222</v>
      </c>
      <c r="H665" s="27">
        <v>0</v>
      </c>
      <c r="I665" s="27">
        <v>0</v>
      </c>
      <c r="J665" s="27">
        <v>0</v>
      </c>
      <c r="K665" s="27">
        <v>0</v>
      </c>
      <c r="L665" s="27">
        <v>1</v>
      </c>
      <c r="M665" s="27">
        <v>0</v>
      </c>
      <c r="N665" s="27">
        <v>0</v>
      </c>
      <c r="O665" s="27">
        <v>0</v>
      </c>
      <c r="P665" s="25">
        <v>700</v>
      </c>
      <c r="Q665" s="25">
        <v>560</v>
      </c>
      <c r="R665" s="25" t="s">
        <v>87</v>
      </c>
      <c r="S665" s="25" t="s">
        <v>89</v>
      </c>
      <c r="T665" s="25">
        <v>0</v>
      </c>
      <c r="U665" s="25">
        <v>0</v>
      </c>
      <c r="V665" s="25">
        <v>0</v>
      </c>
      <c r="W665" s="25">
        <v>0</v>
      </c>
      <c r="X665" s="25">
        <v>1</v>
      </c>
      <c r="Y665" s="25">
        <v>0</v>
      </c>
      <c r="Z665" s="25">
        <v>0</v>
      </c>
      <c r="AA665" s="25">
        <v>0</v>
      </c>
      <c r="AB665" s="25">
        <v>0</v>
      </c>
      <c r="AC665" s="25">
        <v>0</v>
      </c>
      <c r="AD665" s="25">
        <v>0</v>
      </c>
      <c r="AE665" s="25">
        <v>1</v>
      </c>
      <c r="AF665" s="25" t="s">
        <v>131</v>
      </c>
    </row>
    <row r="666" spans="1:32" s="25" customFormat="1" x14ac:dyDescent="0.25">
      <c r="A666" s="25" t="s">
        <v>171</v>
      </c>
      <c r="B666" s="25">
        <f t="shared" si="23"/>
        <v>4210</v>
      </c>
      <c r="C666" s="25" t="s">
        <v>12</v>
      </c>
      <c r="D666" s="25">
        <v>0</v>
      </c>
      <c r="E666" s="25">
        <v>0</v>
      </c>
      <c r="F666" s="25">
        <v>256</v>
      </c>
      <c r="G666" s="25">
        <v>222</v>
      </c>
      <c r="H666" s="27">
        <v>0</v>
      </c>
      <c r="I666" s="27">
        <v>0</v>
      </c>
      <c r="J666" s="27">
        <v>0</v>
      </c>
      <c r="K666" s="27">
        <v>0</v>
      </c>
      <c r="L666" s="27">
        <v>1</v>
      </c>
      <c r="M666" s="27">
        <v>0</v>
      </c>
      <c r="N666" s="27">
        <v>0</v>
      </c>
      <c r="O666" s="27">
        <v>0</v>
      </c>
      <c r="P666" s="25">
        <v>700</v>
      </c>
      <c r="Q666" s="25">
        <v>560</v>
      </c>
      <c r="R666" s="25" t="s">
        <v>87</v>
      </c>
      <c r="S666" s="25" t="s">
        <v>89</v>
      </c>
      <c r="T666" s="25">
        <v>0</v>
      </c>
      <c r="U666" s="25">
        <v>0</v>
      </c>
      <c r="V666" s="25">
        <v>0</v>
      </c>
      <c r="W666" s="25">
        <v>0</v>
      </c>
      <c r="X666" s="25">
        <v>1</v>
      </c>
      <c r="Y666" s="25">
        <v>0</v>
      </c>
      <c r="Z666" s="25">
        <v>0</v>
      </c>
      <c r="AA666" s="25">
        <v>0</v>
      </c>
      <c r="AB666" s="25">
        <v>0</v>
      </c>
      <c r="AC666" s="25">
        <v>0</v>
      </c>
      <c r="AD666" s="25">
        <v>0</v>
      </c>
      <c r="AE666" s="25">
        <v>1</v>
      </c>
      <c r="AF666" s="25" t="s">
        <v>131</v>
      </c>
    </row>
    <row r="667" spans="1:32" s="25" customFormat="1" x14ac:dyDescent="0.25">
      <c r="A667" s="25" t="s">
        <v>171</v>
      </c>
      <c r="B667" s="25">
        <f t="shared" si="23"/>
        <v>4220</v>
      </c>
      <c r="C667" s="25" t="s">
        <v>12</v>
      </c>
      <c r="D667" s="25">
        <v>0</v>
      </c>
      <c r="E667" s="25">
        <v>0</v>
      </c>
      <c r="F667" s="25">
        <v>256</v>
      </c>
      <c r="G667" s="25">
        <v>222</v>
      </c>
      <c r="H667" s="27">
        <v>0</v>
      </c>
      <c r="I667" s="27">
        <v>0</v>
      </c>
      <c r="J667" s="27">
        <v>0</v>
      </c>
      <c r="K667" s="27">
        <v>0</v>
      </c>
      <c r="L667" s="27">
        <v>1</v>
      </c>
      <c r="M667" s="27">
        <v>0</v>
      </c>
      <c r="N667" s="27">
        <v>0</v>
      </c>
      <c r="O667" s="27">
        <v>0</v>
      </c>
      <c r="P667" s="25">
        <v>700</v>
      </c>
      <c r="Q667" s="25">
        <v>560</v>
      </c>
      <c r="R667" s="25" t="s">
        <v>87</v>
      </c>
      <c r="S667" s="25" t="s">
        <v>89</v>
      </c>
      <c r="T667" s="25">
        <v>0</v>
      </c>
      <c r="U667" s="25">
        <v>0</v>
      </c>
      <c r="V667" s="25">
        <v>0</v>
      </c>
      <c r="W667" s="25">
        <v>0</v>
      </c>
      <c r="X667" s="25">
        <v>1</v>
      </c>
      <c r="Y667" s="25">
        <v>0</v>
      </c>
      <c r="Z667" s="25">
        <v>0</v>
      </c>
      <c r="AA667" s="25">
        <v>0</v>
      </c>
      <c r="AB667" s="25">
        <v>0</v>
      </c>
      <c r="AC667" s="25">
        <v>0</v>
      </c>
      <c r="AD667" s="25">
        <v>0</v>
      </c>
      <c r="AE667" s="25">
        <v>1</v>
      </c>
      <c r="AF667" s="25" t="s">
        <v>131</v>
      </c>
    </row>
    <row r="668" spans="1:32" s="25" customFormat="1" x14ac:dyDescent="0.25">
      <c r="A668" s="25" t="s">
        <v>171</v>
      </c>
      <c r="B668" s="25">
        <f t="shared" si="23"/>
        <v>4230</v>
      </c>
      <c r="C668" s="25" t="s">
        <v>12</v>
      </c>
      <c r="D668" s="25">
        <v>0</v>
      </c>
      <c r="E668" s="25">
        <v>0</v>
      </c>
      <c r="F668" s="25">
        <v>256</v>
      </c>
      <c r="G668" s="25">
        <v>222</v>
      </c>
      <c r="H668" s="27">
        <v>0</v>
      </c>
      <c r="I668" s="27">
        <v>0</v>
      </c>
      <c r="J668" s="27">
        <v>0</v>
      </c>
      <c r="K668" s="27">
        <v>0</v>
      </c>
      <c r="L668" s="27">
        <v>1</v>
      </c>
      <c r="M668" s="27">
        <v>0</v>
      </c>
      <c r="N668" s="27">
        <v>0</v>
      </c>
      <c r="O668" s="27">
        <v>0</v>
      </c>
      <c r="P668" s="25">
        <v>700</v>
      </c>
      <c r="Q668" s="25">
        <v>560</v>
      </c>
      <c r="R668" s="25" t="s">
        <v>87</v>
      </c>
      <c r="S668" s="25" t="s">
        <v>89</v>
      </c>
      <c r="T668" s="25">
        <v>0</v>
      </c>
      <c r="U668" s="25">
        <v>0</v>
      </c>
      <c r="V668" s="25">
        <v>0</v>
      </c>
      <c r="W668" s="25">
        <v>0</v>
      </c>
      <c r="X668" s="25">
        <v>1</v>
      </c>
      <c r="Y668" s="25">
        <v>0</v>
      </c>
      <c r="Z668" s="25">
        <v>0</v>
      </c>
      <c r="AA668" s="25">
        <v>0</v>
      </c>
      <c r="AB668" s="25">
        <v>0</v>
      </c>
      <c r="AC668" s="25">
        <v>0</v>
      </c>
      <c r="AD668" s="25">
        <v>0</v>
      </c>
      <c r="AE668" s="25">
        <v>1</v>
      </c>
      <c r="AF668" s="25" t="s">
        <v>131</v>
      </c>
    </row>
    <row r="669" spans="1:32" s="25" customFormat="1" x14ac:dyDescent="0.25">
      <c r="A669" s="25" t="s">
        <v>171</v>
      </c>
      <c r="B669" s="25">
        <f t="shared" si="23"/>
        <v>4240</v>
      </c>
      <c r="C669" s="25" t="s">
        <v>12</v>
      </c>
      <c r="D669" s="25">
        <v>0</v>
      </c>
      <c r="E669" s="25">
        <v>0</v>
      </c>
      <c r="F669" s="25">
        <v>256</v>
      </c>
      <c r="G669" s="25">
        <v>222</v>
      </c>
      <c r="H669" s="27">
        <v>0</v>
      </c>
      <c r="I669" s="27">
        <v>0</v>
      </c>
      <c r="J669" s="27">
        <v>0</v>
      </c>
      <c r="K669" s="27">
        <v>0</v>
      </c>
      <c r="L669" s="27">
        <v>1</v>
      </c>
      <c r="M669" s="27">
        <v>0</v>
      </c>
      <c r="N669" s="27">
        <v>0</v>
      </c>
      <c r="O669" s="27">
        <v>0</v>
      </c>
      <c r="P669" s="25">
        <v>700</v>
      </c>
      <c r="Q669" s="25">
        <v>560</v>
      </c>
      <c r="R669" s="25" t="s">
        <v>87</v>
      </c>
      <c r="S669" s="25" t="s">
        <v>89</v>
      </c>
      <c r="T669" s="25">
        <v>0</v>
      </c>
      <c r="U669" s="25">
        <v>0</v>
      </c>
      <c r="V669" s="25">
        <v>0</v>
      </c>
      <c r="W669" s="25">
        <v>0</v>
      </c>
      <c r="X669" s="25">
        <v>1</v>
      </c>
      <c r="Y669" s="25">
        <v>0</v>
      </c>
      <c r="Z669" s="25">
        <v>0</v>
      </c>
      <c r="AA669" s="25">
        <v>0</v>
      </c>
      <c r="AB669" s="25">
        <v>0</v>
      </c>
      <c r="AC669" s="25">
        <v>0</v>
      </c>
      <c r="AD669" s="25">
        <v>0</v>
      </c>
      <c r="AE669" s="25">
        <v>1</v>
      </c>
      <c r="AF669" s="25" t="s">
        <v>131</v>
      </c>
    </row>
    <row r="670" spans="1:32" s="25" customFormat="1" x14ac:dyDescent="0.25">
      <c r="A670" s="25" t="s">
        <v>171</v>
      </c>
      <c r="B670" s="25">
        <f t="shared" si="23"/>
        <v>4250</v>
      </c>
      <c r="C670" s="25" t="s">
        <v>12</v>
      </c>
      <c r="D670" s="25">
        <v>0</v>
      </c>
      <c r="E670" s="25">
        <v>0</v>
      </c>
      <c r="F670" s="25">
        <v>256</v>
      </c>
      <c r="G670" s="25">
        <v>222</v>
      </c>
      <c r="H670" s="27">
        <v>0</v>
      </c>
      <c r="I670" s="27">
        <v>0</v>
      </c>
      <c r="J670" s="27">
        <v>0</v>
      </c>
      <c r="K670" s="27">
        <v>0</v>
      </c>
      <c r="L670" s="27">
        <v>1</v>
      </c>
      <c r="M670" s="27">
        <v>0</v>
      </c>
      <c r="N670" s="27">
        <v>0</v>
      </c>
      <c r="O670" s="27">
        <v>0</v>
      </c>
      <c r="P670" s="25">
        <v>700</v>
      </c>
      <c r="Q670" s="25">
        <v>560</v>
      </c>
      <c r="R670" s="25" t="s">
        <v>87</v>
      </c>
      <c r="S670" s="25" t="s">
        <v>89</v>
      </c>
      <c r="T670" s="25">
        <v>0</v>
      </c>
      <c r="U670" s="25">
        <v>0</v>
      </c>
      <c r="V670" s="25">
        <v>0</v>
      </c>
      <c r="W670" s="25">
        <v>0</v>
      </c>
      <c r="X670" s="25">
        <v>1</v>
      </c>
      <c r="Y670" s="25">
        <v>0</v>
      </c>
      <c r="Z670" s="25">
        <v>0</v>
      </c>
      <c r="AA670" s="25">
        <v>0</v>
      </c>
      <c r="AB670" s="25">
        <v>0</v>
      </c>
      <c r="AC670" s="25">
        <v>0</v>
      </c>
      <c r="AD670" s="25">
        <v>0</v>
      </c>
      <c r="AE670" s="25">
        <v>1</v>
      </c>
      <c r="AF670" s="25" t="s">
        <v>131</v>
      </c>
    </row>
    <row r="671" spans="1:32" s="25" customFormat="1" x14ac:dyDescent="0.25">
      <c r="A671" s="25" t="s">
        <v>171</v>
      </c>
      <c r="B671" s="25">
        <f t="shared" si="23"/>
        <v>4260</v>
      </c>
      <c r="C671" s="25" t="s">
        <v>12</v>
      </c>
      <c r="D671" s="25">
        <v>0</v>
      </c>
      <c r="E671" s="25">
        <v>0</v>
      </c>
      <c r="F671" s="25">
        <v>256</v>
      </c>
      <c r="G671" s="25">
        <v>222</v>
      </c>
      <c r="H671" s="27">
        <v>0</v>
      </c>
      <c r="I671" s="27">
        <v>0</v>
      </c>
      <c r="J671" s="27">
        <v>0</v>
      </c>
      <c r="K671" s="27">
        <v>0</v>
      </c>
      <c r="L671" s="27">
        <v>1</v>
      </c>
      <c r="M671" s="27">
        <v>0</v>
      </c>
      <c r="N671" s="27">
        <v>0</v>
      </c>
      <c r="O671" s="27">
        <v>0</v>
      </c>
      <c r="P671" s="25">
        <v>700</v>
      </c>
      <c r="Q671" s="25">
        <v>560</v>
      </c>
      <c r="R671" s="25" t="s">
        <v>87</v>
      </c>
      <c r="S671" s="25" t="s">
        <v>89</v>
      </c>
      <c r="T671" s="25">
        <v>0</v>
      </c>
      <c r="U671" s="25">
        <v>0</v>
      </c>
      <c r="V671" s="25">
        <v>0</v>
      </c>
      <c r="W671" s="25">
        <v>0</v>
      </c>
      <c r="X671" s="25">
        <v>1</v>
      </c>
      <c r="Y671" s="25">
        <v>0</v>
      </c>
      <c r="Z671" s="25">
        <v>0</v>
      </c>
      <c r="AA671" s="25">
        <v>0</v>
      </c>
      <c r="AB671" s="25">
        <v>0</v>
      </c>
      <c r="AC671" s="25">
        <v>0</v>
      </c>
      <c r="AD671" s="25">
        <v>0</v>
      </c>
      <c r="AE671" s="25">
        <v>1</v>
      </c>
      <c r="AF671" s="25" t="s">
        <v>131</v>
      </c>
    </row>
    <row r="672" spans="1:32" s="25" customFormat="1" x14ac:dyDescent="0.25">
      <c r="A672" s="25" t="s">
        <v>171</v>
      </c>
      <c r="B672" s="25">
        <f t="shared" si="23"/>
        <v>4270</v>
      </c>
      <c r="C672" s="25" t="s">
        <v>12</v>
      </c>
      <c r="D672" s="25">
        <v>0</v>
      </c>
      <c r="E672" s="25">
        <v>0</v>
      </c>
      <c r="F672" s="25">
        <v>256</v>
      </c>
      <c r="G672" s="25">
        <v>222</v>
      </c>
      <c r="H672" s="27">
        <v>0</v>
      </c>
      <c r="I672" s="27">
        <v>0</v>
      </c>
      <c r="J672" s="27">
        <v>0</v>
      </c>
      <c r="K672" s="27">
        <v>0</v>
      </c>
      <c r="L672" s="27">
        <v>1</v>
      </c>
      <c r="M672" s="27">
        <v>0</v>
      </c>
      <c r="N672" s="27">
        <v>0</v>
      </c>
      <c r="O672" s="27">
        <v>0</v>
      </c>
      <c r="P672" s="25">
        <v>700</v>
      </c>
      <c r="Q672" s="25">
        <v>560</v>
      </c>
      <c r="R672" s="25" t="s">
        <v>87</v>
      </c>
      <c r="S672" s="25" t="s">
        <v>89</v>
      </c>
      <c r="T672" s="25">
        <v>0</v>
      </c>
      <c r="U672" s="25">
        <v>0</v>
      </c>
      <c r="V672" s="25">
        <v>0</v>
      </c>
      <c r="W672" s="25">
        <v>0</v>
      </c>
      <c r="X672" s="25">
        <v>1</v>
      </c>
      <c r="Y672" s="25">
        <v>0</v>
      </c>
      <c r="Z672" s="25">
        <v>0</v>
      </c>
      <c r="AA672" s="25">
        <v>0</v>
      </c>
      <c r="AB672" s="25">
        <v>0</v>
      </c>
      <c r="AC672" s="25">
        <v>0</v>
      </c>
      <c r="AD672" s="25">
        <v>0</v>
      </c>
      <c r="AE672" s="25">
        <v>1</v>
      </c>
      <c r="AF672" s="25" t="s">
        <v>131</v>
      </c>
    </row>
    <row r="673" spans="1:32" s="25" customFormat="1" x14ac:dyDescent="0.25">
      <c r="A673" s="25" t="s">
        <v>171</v>
      </c>
      <c r="B673" s="25">
        <f t="shared" si="23"/>
        <v>4280</v>
      </c>
      <c r="C673" s="25" t="s">
        <v>12</v>
      </c>
      <c r="D673" s="25">
        <v>0</v>
      </c>
      <c r="E673" s="25">
        <v>0</v>
      </c>
      <c r="F673" s="25">
        <v>256</v>
      </c>
      <c r="G673" s="25">
        <v>222</v>
      </c>
      <c r="H673" s="27">
        <v>0</v>
      </c>
      <c r="I673" s="27">
        <v>0</v>
      </c>
      <c r="J673" s="27">
        <v>0</v>
      </c>
      <c r="K673" s="27">
        <v>0</v>
      </c>
      <c r="L673" s="27">
        <v>1</v>
      </c>
      <c r="M673" s="27">
        <v>0</v>
      </c>
      <c r="N673" s="27">
        <v>0</v>
      </c>
      <c r="O673" s="27">
        <v>0</v>
      </c>
      <c r="P673" s="25">
        <v>700</v>
      </c>
      <c r="Q673" s="25">
        <v>560</v>
      </c>
      <c r="R673" s="25" t="s">
        <v>87</v>
      </c>
      <c r="S673" s="25" t="s">
        <v>89</v>
      </c>
      <c r="T673" s="25">
        <v>0</v>
      </c>
      <c r="U673" s="25">
        <v>0</v>
      </c>
      <c r="V673" s="25">
        <v>0</v>
      </c>
      <c r="W673" s="25">
        <v>0</v>
      </c>
      <c r="X673" s="25">
        <v>1</v>
      </c>
      <c r="Y673" s="25">
        <v>0</v>
      </c>
      <c r="Z673" s="25">
        <v>0</v>
      </c>
      <c r="AA673" s="25">
        <v>0</v>
      </c>
      <c r="AB673" s="25">
        <v>0</v>
      </c>
      <c r="AC673" s="25">
        <v>0</v>
      </c>
      <c r="AD673" s="25">
        <v>0</v>
      </c>
      <c r="AE673" s="25">
        <v>1</v>
      </c>
      <c r="AF673" s="25" t="s">
        <v>131</v>
      </c>
    </row>
    <row r="674" spans="1:32" s="25" customFormat="1" x14ac:dyDescent="0.25">
      <c r="A674" s="25" t="s">
        <v>171</v>
      </c>
      <c r="B674" s="25">
        <f t="shared" si="23"/>
        <v>4290</v>
      </c>
      <c r="C674" s="25" t="s">
        <v>12</v>
      </c>
      <c r="D674" s="25">
        <v>0</v>
      </c>
      <c r="E674" s="25">
        <v>0</v>
      </c>
      <c r="F674" s="25">
        <v>256</v>
      </c>
      <c r="G674" s="25">
        <v>222</v>
      </c>
      <c r="H674" s="27">
        <v>0</v>
      </c>
      <c r="I674" s="27">
        <v>0</v>
      </c>
      <c r="J674" s="27">
        <v>0</v>
      </c>
      <c r="K674" s="27">
        <v>0</v>
      </c>
      <c r="L674" s="27">
        <v>1</v>
      </c>
      <c r="M674" s="27">
        <v>0</v>
      </c>
      <c r="N674" s="27">
        <v>0</v>
      </c>
      <c r="O674" s="27">
        <v>0</v>
      </c>
      <c r="P674" s="25">
        <v>700</v>
      </c>
      <c r="Q674" s="25">
        <v>560</v>
      </c>
      <c r="R674" s="25" t="s">
        <v>87</v>
      </c>
      <c r="S674" s="25" t="s">
        <v>89</v>
      </c>
      <c r="T674" s="25">
        <v>0</v>
      </c>
      <c r="U674" s="25">
        <v>0</v>
      </c>
      <c r="V674" s="25">
        <v>0</v>
      </c>
      <c r="W674" s="25">
        <v>0</v>
      </c>
      <c r="X674" s="25">
        <v>1</v>
      </c>
      <c r="Y674" s="25">
        <v>0</v>
      </c>
      <c r="Z674" s="25">
        <v>0</v>
      </c>
      <c r="AA674" s="25">
        <v>0</v>
      </c>
      <c r="AB674" s="25">
        <v>0</v>
      </c>
      <c r="AC674" s="25">
        <v>0</v>
      </c>
      <c r="AD674" s="25">
        <v>0</v>
      </c>
      <c r="AE674" s="25">
        <v>1</v>
      </c>
      <c r="AF674" s="25" t="s">
        <v>131</v>
      </c>
    </row>
    <row r="675" spans="1:32" s="25" customFormat="1" x14ac:dyDescent="0.25">
      <c r="A675" s="25" t="s">
        <v>171</v>
      </c>
      <c r="B675" s="25">
        <f t="shared" si="23"/>
        <v>4300</v>
      </c>
      <c r="C675" s="25" t="s">
        <v>12</v>
      </c>
      <c r="D675" s="25">
        <v>0</v>
      </c>
      <c r="E675" s="25">
        <v>0</v>
      </c>
      <c r="F675" s="25">
        <v>256</v>
      </c>
      <c r="G675" s="25">
        <v>222</v>
      </c>
      <c r="H675" s="27">
        <v>0</v>
      </c>
      <c r="I675" s="27">
        <v>0</v>
      </c>
      <c r="J675" s="27">
        <v>0</v>
      </c>
      <c r="K675" s="27">
        <v>0</v>
      </c>
      <c r="L675" s="27">
        <v>1</v>
      </c>
      <c r="M675" s="27">
        <v>0</v>
      </c>
      <c r="N675" s="27">
        <v>0</v>
      </c>
      <c r="O675" s="27">
        <v>0</v>
      </c>
      <c r="P675" s="25">
        <v>700</v>
      </c>
      <c r="Q675" s="25">
        <v>560</v>
      </c>
      <c r="R675" s="25" t="s">
        <v>87</v>
      </c>
      <c r="S675" s="25" t="s">
        <v>89</v>
      </c>
      <c r="T675" s="25">
        <v>0</v>
      </c>
      <c r="U675" s="25">
        <v>0</v>
      </c>
      <c r="V675" s="25">
        <v>0</v>
      </c>
      <c r="W675" s="25">
        <v>0</v>
      </c>
      <c r="X675" s="25">
        <v>1</v>
      </c>
      <c r="Y675" s="25">
        <v>0</v>
      </c>
      <c r="Z675" s="25">
        <v>0</v>
      </c>
      <c r="AA675" s="25">
        <v>0</v>
      </c>
      <c r="AB675" s="25">
        <v>0</v>
      </c>
      <c r="AC675" s="25">
        <v>0</v>
      </c>
      <c r="AD675" s="25">
        <v>0</v>
      </c>
      <c r="AE675" s="25">
        <v>1</v>
      </c>
      <c r="AF675" s="25" t="s">
        <v>131</v>
      </c>
    </row>
    <row r="676" spans="1:32" s="25" customFormat="1" x14ac:dyDescent="0.25">
      <c r="A676" s="25" t="s">
        <v>171</v>
      </c>
      <c r="B676" s="25">
        <f t="shared" si="23"/>
        <v>4310</v>
      </c>
      <c r="C676" s="25" t="s">
        <v>12</v>
      </c>
      <c r="D676" s="25">
        <v>0</v>
      </c>
      <c r="E676" s="25">
        <v>0</v>
      </c>
      <c r="F676" s="25">
        <v>256</v>
      </c>
      <c r="G676" s="25">
        <v>222</v>
      </c>
      <c r="H676" s="27">
        <v>0</v>
      </c>
      <c r="I676" s="27">
        <v>0</v>
      </c>
      <c r="J676" s="27">
        <v>0</v>
      </c>
      <c r="K676" s="27">
        <v>0</v>
      </c>
      <c r="L676" s="27">
        <v>1</v>
      </c>
      <c r="M676" s="27">
        <v>0</v>
      </c>
      <c r="N676" s="27">
        <v>0</v>
      </c>
      <c r="O676" s="27">
        <v>0</v>
      </c>
      <c r="P676" s="25">
        <v>700</v>
      </c>
      <c r="Q676" s="25">
        <v>560</v>
      </c>
      <c r="R676" s="25" t="s">
        <v>87</v>
      </c>
      <c r="S676" s="25" t="s">
        <v>89</v>
      </c>
      <c r="T676" s="25">
        <v>0</v>
      </c>
      <c r="U676" s="25">
        <v>0</v>
      </c>
      <c r="V676" s="25">
        <v>0</v>
      </c>
      <c r="W676" s="25">
        <v>0</v>
      </c>
      <c r="X676" s="25">
        <v>1</v>
      </c>
      <c r="Y676" s="25">
        <v>0</v>
      </c>
      <c r="Z676" s="25">
        <v>0</v>
      </c>
      <c r="AA676" s="25">
        <v>0</v>
      </c>
      <c r="AB676" s="25">
        <v>0</v>
      </c>
      <c r="AC676" s="25">
        <v>0</v>
      </c>
      <c r="AD676" s="25">
        <v>0</v>
      </c>
      <c r="AE676" s="25">
        <v>1</v>
      </c>
      <c r="AF676" s="25" t="s">
        <v>131</v>
      </c>
    </row>
    <row r="677" spans="1:32" s="25" customFormat="1" x14ac:dyDescent="0.25">
      <c r="A677" s="25" t="s">
        <v>171</v>
      </c>
      <c r="B677" s="25">
        <f t="shared" si="23"/>
        <v>4320</v>
      </c>
      <c r="C677" s="25" t="s">
        <v>12</v>
      </c>
      <c r="D677" s="25">
        <v>0</v>
      </c>
      <c r="E677" s="25">
        <v>0</v>
      </c>
      <c r="F677" s="25">
        <v>256</v>
      </c>
      <c r="G677" s="25">
        <v>222</v>
      </c>
      <c r="H677" s="27">
        <v>0</v>
      </c>
      <c r="I677" s="27">
        <v>0</v>
      </c>
      <c r="J677" s="27">
        <v>0</v>
      </c>
      <c r="K677" s="27">
        <v>0</v>
      </c>
      <c r="L677" s="27">
        <v>1</v>
      </c>
      <c r="M677" s="27">
        <v>0</v>
      </c>
      <c r="N677" s="27">
        <v>0</v>
      </c>
      <c r="O677" s="27">
        <v>0</v>
      </c>
      <c r="P677" s="25">
        <v>700</v>
      </c>
      <c r="Q677" s="25">
        <v>560</v>
      </c>
      <c r="R677" s="25" t="s">
        <v>87</v>
      </c>
      <c r="S677" s="25" t="s">
        <v>89</v>
      </c>
      <c r="T677" s="25">
        <v>0</v>
      </c>
      <c r="U677" s="25">
        <v>0</v>
      </c>
      <c r="V677" s="25">
        <v>0</v>
      </c>
      <c r="W677" s="25">
        <v>0</v>
      </c>
      <c r="X677" s="25">
        <v>1</v>
      </c>
      <c r="Y677" s="25">
        <v>0</v>
      </c>
      <c r="Z677" s="25">
        <v>0</v>
      </c>
      <c r="AA677" s="25">
        <v>0</v>
      </c>
      <c r="AB677" s="25">
        <v>0</v>
      </c>
      <c r="AC677" s="25">
        <v>0</v>
      </c>
      <c r="AD677" s="25">
        <v>0</v>
      </c>
      <c r="AE677" s="25">
        <v>1</v>
      </c>
      <c r="AF677" s="25" t="s">
        <v>131</v>
      </c>
    </row>
    <row r="678" spans="1:32" s="25" customFormat="1" x14ac:dyDescent="0.25">
      <c r="A678" s="25" t="s">
        <v>171</v>
      </c>
      <c r="B678" s="25">
        <f t="shared" si="23"/>
        <v>4330</v>
      </c>
      <c r="C678" s="25" t="s">
        <v>12</v>
      </c>
      <c r="D678" s="25">
        <v>0</v>
      </c>
      <c r="E678" s="25">
        <v>0</v>
      </c>
      <c r="F678" s="25">
        <v>256</v>
      </c>
      <c r="G678" s="25">
        <v>222</v>
      </c>
      <c r="H678" s="27">
        <v>0</v>
      </c>
      <c r="I678" s="27">
        <v>0</v>
      </c>
      <c r="J678" s="27">
        <v>0</v>
      </c>
      <c r="K678" s="27">
        <v>0</v>
      </c>
      <c r="L678" s="27">
        <v>1</v>
      </c>
      <c r="M678" s="27">
        <v>0</v>
      </c>
      <c r="N678" s="27">
        <v>0</v>
      </c>
      <c r="O678" s="27">
        <v>0</v>
      </c>
      <c r="P678" s="25">
        <v>700</v>
      </c>
      <c r="Q678" s="25">
        <v>560</v>
      </c>
      <c r="R678" s="25" t="s">
        <v>87</v>
      </c>
      <c r="S678" s="25" t="s">
        <v>89</v>
      </c>
      <c r="T678" s="25">
        <v>0</v>
      </c>
      <c r="U678" s="25">
        <v>0</v>
      </c>
      <c r="V678" s="25">
        <v>0</v>
      </c>
      <c r="W678" s="25">
        <v>0</v>
      </c>
      <c r="X678" s="25">
        <v>1</v>
      </c>
      <c r="Y678" s="25">
        <v>0</v>
      </c>
      <c r="Z678" s="25">
        <v>0</v>
      </c>
      <c r="AA678" s="25">
        <v>0</v>
      </c>
      <c r="AB678" s="25">
        <v>0</v>
      </c>
      <c r="AC678" s="25">
        <v>0</v>
      </c>
      <c r="AD678" s="25">
        <v>0</v>
      </c>
      <c r="AE678" s="25">
        <v>1</v>
      </c>
      <c r="AF678" s="25" t="s">
        <v>131</v>
      </c>
    </row>
    <row r="679" spans="1:32" s="25" customFormat="1" x14ac:dyDescent="0.25">
      <c r="A679" s="25" t="s">
        <v>171</v>
      </c>
      <c r="B679" s="25">
        <f t="shared" si="23"/>
        <v>4340</v>
      </c>
      <c r="C679" s="25" t="s">
        <v>12</v>
      </c>
      <c r="D679" s="25">
        <v>0</v>
      </c>
      <c r="E679" s="25">
        <v>0</v>
      </c>
      <c r="F679" s="25">
        <v>256</v>
      </c>
      <c r="G679" s="25">
        <v>222</v>
      </c>
      <c r="H679" s="27">
        <v>0</v>
      </c>
      <c r="I679" s="27">
        <v>0</v>
      </c>
      <c r="J679" s="27">
        <v>0</v>
      </c>
      <c r="K679" s="27">
        <v>0</v>
      </c>
      <c r="L679" s="27">
        <v>1</v>
      </c>
      <c r="M679" s="27">
        <v>0</v>
      </c>
      <c r="N679" s="27">
        <v>0</v>
      </c>
      <c r="O679" s="27">
        <v>0</v>
      </c>
      <c r="P679" s="25">
        <v>700</v>
      </c>
      <c r="Q679" s="25">
        <v>560</v>
      </c>
      <c r="R679" s="25" t="s">
        <v>87</v>
      </c>
      <c r="S679" s="25" t="s">
        <v>89</v>
      </c>
      <c r="T679" s="25">
        <v>0</v>
      </c>
      <c r="U679" s="25">
        <v>0</v>
      </c>
      <c r="V679" s="25">
        <v>0</v>
      </c>
      <c r="W679" s="25">
        <v>0</v>
      </c>
      <c r="X679" s="25">
        <v>1</v>
      </c>
      <c r="Y679" s="25">
        <v>0</v>
      </c>
      <c r="Z679" s="25">
        <v>0</v>
      </c>
      <c r="AA679" s="25">
        <v>0</v>
      </c>
      <c r="AB679" s="25">
        <v>0</v>
      </c>
      <c r="AC679" s="25">
        <v>0</v>
      </c>
      <c r="AD679" s="25">
        <v>0</v>
      </c>
      <c r="AE679" s="25">
        <v>1</v>
      </c>
      <c r="AF679" s="25" t="s">
        <v>131</v>
      </c>
    </row>
    <row r="680" spans="1:32" s="25" customFormat="1" x14ac:dyDescent="0.25">
      <c r="A680" s="25" t="s">
        <v>171</v>
      </c>
      <c r="B680" s="25">
        <f t="shared" si="23"/>
        <v>4350</v>
      </c>
      <c r="C680" s="25" t="s">
        <v>12</v>
      </c>
      <c r="D680" s="25">
        <v>0</v>
      </c>
      <c r="E680" s="25">
        <v>0</v>
      </c>
      <c r="F680" s="25">
        <v>256</v>
      </c>
      <c r="G680" s="25">
        <v>222</v>
      </c>
      <c r="H680" s="27">
        <v>0</v>
      </c>
      <c r="I680" s="27">
        <v>0</v>
      </c>
      <c r="J680" s="27">
        <v>0</v>
      </c>
      <c r="K680" s="27">
        <v>0</v>
      </c>
      <c r="L680" s="27">
        <v>1</v>
      </c>
      <c r="M680" s="27">
        <v>0</v>
      </c>
      <c r="N680" s="27">
        <v>0</v>
      </c>
      <c r="O680" s="27">
        <v>0</v>
      </c>
      <c r="P680" s="25">
        <v>700</v>
      </c>
      <c r="Q680" s="25">
        <v>560</v>
      </c>
      <c r="R680" s="25" t="s">
        <v>87</v>
      </c>
      <c r="S680" s="25" t="s">
        <v>89</v>
      </c>
      <c r="T680" s="25">
        <v>0</v>
      </c>
      <c r="U680" s="25">
        <v>0</v>
      </c>
      <c r="V680" s="25">
        <v>0</v>
      </c>
      <c r="W680" s="25">
        <v>0</v>
      </c>
      <c r="X680" s="25">
        <v>1</v>
      </c>
      <c r="Y680" s="25">
        <v>0</v>
      </c>
      <c r="Z680" s="25">
        <v>0</v>
      </c>
      <c r="AA680" s="25">
        <v>0</v>
      </c>
      <c r="AB680" s="25">
        <v>0</v>
      </c>
      <c r="AC680" s="25">
        <v>0</v>
      </c>
      <c r="AD680" s="25">
        <v>0</v>
      </c>
      <c r="AE680" s="25">
        <v>1</v>
      </c>
      <c r="AF680" s="25" t="s">
        <v>131</v>
      </c>
    </row>
    <row r="681" spans="1:32" s="25" customFormat="1" x14ac:dyDescent="0.25">
      <c r="A681" s="25" t="s">
        <v>171</v>
      </c>
      <c r="B681" s="25">
        <f t="shared" si="23"/>
        <v>4360</v>
      </c>
      <c r="C681" s="25" t="s">
        <v>12</v>
      </c>
      <c r="D681" s="25">
        <v>0</v>
      </c>
      <c r="E681" s="25">
        <v>0</v>
      </c>
      <c r="F681" s="25">
        <v>256</v>
      </c>
      <c r="G681" s="25">
        <v>222</v>
      </c>
      <c r="H681" s="27">
        <v>0</v>
      </c>
      <c r="I681" s="27">
        <v>0</v>
      </c>
      <c r="J681" s="27">
        <v>0</v>
      </c>
      <c r="K681" s="27">
        <v>0</v>
      </c>
      <c r="L681" s="27">
        <v>1</v>
      </c>
      <c r="M681" s="27">
        <v>0</v>
      </c>
      <c r="N681" s="27">
        <v>0</v>
      </c>
      <c r="O681" s="27">
        <v>0</v>
      </c>
      <c r="P681" s="25">
        <v>700</v>
      </c>
      <c r="Q681" s="25">
        <v>560</v>
      </c>
      <c r="R681" s="25" t="s">
        <v>87</v>
      </c>
      <c r="S681" s="25" t="s">
        <v>89</v>
      </c>
      <c r="T681" s="25">
        <v>0</v>
      </c>
      <c r="U681" s="25">
        <v>0</v>
      </c>
      <c r="V681" s="25">
        <v>0</v>
      </c>
      <c r="W681" s="25">
        <v>0</v>
      </c>
      <c r="X681" s="25">
        <v>1</v>
      </c>
      <c r="Y681" s="25">
        <v>0</v>
      </c>
      <c r="Z681" s="25">
        <v>0</v>
      </c>
      <c r="AA681" s="25">
        <v>0</v>
      </c>
      <c r="AB681" s="25">
        <v>0</v>
      </c>
      <c r="AC681" s="25">
        <v>0</v>
      </c>
      <c r="AD681" s="25">
        <v>0</v>
      </c>
      <c r="AE681" s="25">
        <v>1</v>
      </c>
      <c r="AF681" s="25" t="s">
        <v>131</v>
      </c>
    </row>
    <row r="682" spans="1:32" s="25" customFormat="1" x14ac:dyDescent="0.25">
      <c r="A682" s="25" t="s">
        <v>171</v>
      </c>
      <c r="B682" s="25">
        <f t="shared" si="23"/>
        <v>4370</v>
      </c>
      <c r="C682" s="25" t="s">
        <v>12</v>
      </c>
      <c r="D682" s="25">
        <v>0</v>
      </c>
      <c r="E682" s="25">
        <v>0</v>
      </c>
      <c r="F682" s="25">
        <v>256</v>
      </c>
      <c r="G682" s="25">
        <v>222</v>
      </c>
      <c r="H682" s="27">
        <v>0</v>
      </c>
      <c r="I682" s="27">
        <v>0</v>
      </c>
      <c r="J682" s="27">
        <v>0</v>
      </c>
      <c r="K682" s="27">
        <v>0</v>
      </c>
      <c r="L682" s="27">
        <v>1</v>
      </c>
      <c r="M682" s="27">
        <v>0</v>
      </c>
      <c r="N682" s="27">
        <v>0</v>
      </c>
      <c r="O682" s="27">
        <v>0</v>
      </c>
      <c r="P682" s="25">
        <v>700</v>
      </c>
      <c r="Q682" s="25">
        <v>560</v>
      </c>
      <c r="R682" s="25" t="s">
        <v>87</v>
      </c>
      <c r="S682" s="25" t="s">
        <v>89</v>
      </c>
      <c r="T682" s="25">
        <v>0</v>
      </c>
      <c r="U682" s="25">
        <v>0</v>
      </c>
      <c r="V682" s="25">
        <v>0</v>
      </c>
      <c r="W682" s="25">
        <v>0</v>
      </c>
      <c r="X682" s="25">
        <v>1</v>
      </c>
      <c r="Y682" s="25">
        <v>0</v>
      </c>
      <c r="Z682" s="25">
        <v>0</v>
      </c>
      <c r="AA682" s="25">
        <v>0</v>
      </c>
      <c r="AB682" s="25">
        <v>0</v>
      </c>
      <c r="AC682" s="25">
        <v>0</v>
      </c>
      <c r="AD682" s="25">
        <v>0</v>
      </c>
      <c r="AE682" s="25">
        <v>1</v>
      </c>
      <c r="AF682" s="25" t="s">
        <v>131</v>
      </c>
    </row>
    <row r="683" spans="1:32" s="25" customFormat="1" x14ac:dyDescent="0.25">
      <c r="A683" s="25" t="s">
        <v>171</v>
      </c>
      <c r="B683" s="25">
        <f t="shared" si="23"/>
        <v>4380</v>
      </c>
      <c r="C683" s="25" t="s">
        <v>12</v>
      </c>
      <c r="D683" s="25">
        <v>0</v>
      </c>
      <c r="E683" s="25">
        <v>0</v>
      </c>
      <c r="F683" s="25">
        <v>256</v>
      </c>
      <c r="G683" s="25">
        <v>222</v>
      </c>
      <c r="H683" s="27">
        <v>0</v>
      </c>
      <c r="I683" s="27">
        <v>0</v>
      </c>
      <c r="J683" s="27">
        <v>0</v>
      </c>
      <c r="K683" s="27">
        <v>0</v>
      </c>
      <c r="L683" s="27">
        <v>1</v>
      </c>
      <c r="M683" s="27">
        <v>0</v>
      </c>
      <c r="N683" s="27">
        <v>0</v>
      </c>
      <c r="O683" s="27">
        <v>0</v>
      </c>
      <c r="P683" s="25">
        <v>700</v>
      </c>
      <c r="Q683" s="25">
        <v>560</v>
      </c>
      <c r="R683" s="25" t="s">
        <v>87</v>
      </c>
      <c r="S683" s="25" t="s">
        <v>89</v>
      </c>
      <c r="T683" s="25">
        <v>0</v>
      </c>
      <c r="U683" s="25">
        <v>0</v>
      </c>
      <c r="V683" s="25">
        <v>0</v>
      </c>
      <c r="W683" s="25">
        <v>0</v>
      </c>
      <c r="X683" s="25">
        <v>1</v>
      </c>
      <c r="Y683" s="25">
        <v>0</v>
      </c>
      <c r="Z683" s="25">
        <v>0</v>
      </c>
      <c r="AA683" s="25">
        <v>0</v>
      </c>
      <c r="AB683" s="25">
        <v>0</v>
      </c>
      <c r="AC683" s="25">
        <v>0</v>
      </c>
      <c r="AD683" s="25">
        <v>0</v>
      </c>
      <c r="AE683" s="25">
        <v>1</v>
      </c>
      <c r="AF683" s="25" t="s">
        <v>131</v>
      </c>
    </row>
    <row r="684" spans="1:32" s="25" customFormat="1" x14ac:dyDescent="0.25">
      <c r="A684" s="25" t="s">
        <v>171</v>
      </c>
      <c r="B684" s="25">
        <f t="shared" si="23"/>
        <v>4390</v>
      </c>
      <c r="C684" s="25" t="s">
        <v>12</v>
      </c>
      <c r="D684" s="25">
        <v>0</v>
      </c>
      <c r="E684" s="25">
        <v>0</v>
      </c>
      <c r="F684" s="25">
        <v>256</v>
      </c>
      <c r="G684" s="25">
        <v>222</v>
      </c>
      <c r="H684" s="27">
        <v>0</v>
      </c>
      <c r="I684" s="27">
        <v>0</v>
      </c>
      <c r="J684" s="27">
        <v>0</v>
      </c>
      <c r="K684" s="27">
        <v>0</v>
      </c>
      <c r="L684" s="27">
        <v>1</v>
      </c>
      <c r="M684" s="27">
        <v>0</v>
      </c>
      <c r="N684" s="27">
        <v>0</v>
      </c>
      <c r="O684" s="27">
        <v>0</v>
      </c>
      <c r="P684" s="25">
        <v>700</v>
      </c>
      <c r="Q684" s="25">
        <v>560</v>
      </c>
      <c r="R684" s="25" t="s">
        <v>87</v>
      </c>
      <c r="S684" s="25" t="s">
        <v>89</v>
      </c>
      <c r="T684" s="25">
        <v>0</v>
      </c>
      <c r="U684" s="25">
        <v>0</v>
      </c>
      <c r="V684" s="25">
        <v>0</v>
      </c>
      <c r="W684" s="25">
        <v>0</v>
      </c>
      <c r="X684" s="25">
        <v>1</v>
      </c>
      <c r="Y684" s="25">
        <v>0</v>
      </c>
      <c r="Z684" s="25">
        <v>0</v>
      </c>
      <c r="AA684" s="25">
        <v>0</v>
      </c>
      <c r="AB684" s="25">
        <v>0</v>
      </c>
      <c r="AC684" s="25">
        <v>0</v>
      </c>
      <c r="AD684" s="25">
        <v>0</v>
      </c>
      <c r="AE684" s="25">
        <v>1</v>
      </c>
      <c r="AF684" s="25" t="s">
        <v>131</v>
      </c>
    </row>
    <row r="685" spans="1:32" s="25" customFormat="1" x14ac:dyDescent="0.25">
      <c r="A685" s="25" t="s">
        <v>171</v>
      </c>
      <c r="B685" s="25">
        <f t="shared" si="23"/>
        <v>4400</v>
      </c>
      <c r="C685" s="25" t="s">
        <v>12</v>
      </c>
      <c r="D685" s="25">
        <v>0</v>
      </c>
      <c r="E685" s="25">
        <v>0</v>
      </c>
      <c r="F685" s="25">
        <v>256</v>
      </c>
      <c r="G685" s="25">
        <v>222</v>
      </c>
      <c r="H685" s="27">
        <v>0</v>
      </c>
      <c r="I685" s="27">
        <v>0</v>
      </c>
      <c r="J685" s="27">
        <v>0</v>
      </c>
      <c r="K685" s="27">
        <v>0</v>
      </c>
      <c r="L685" s="27">
        <v>1</v>
      </c>
      <c r="M685" s="27">
        <v>0</v>
      </c>
      <c r="N685" s="27">
        <v>0</v>
      </c>
      <c r="O685" s="27">
        <v>0</v>
      </c>
      <c r="P685" s="25">
        <v>700</v>
      </c>
      <c r="Q685" s="25">
        <v>560</v>
      </c>
      <c r="R685" s="25" t="s">
        <v>87</v>
      </c>
      <c r="S685" s="25" t="s">
        <v>89</v>
      </c>
      <c r="T685" s="25">
        <v>0</v>
      </c>
      <c r="U685" s="25">
        <v>0</v>
      </c>
      <c r="V685" s="25">
        <v>0</v>
      </c>
      <c r="W685" s="25">
        <v>0</v>
      </c>
      <c r="X685" s="25">
        <v>1</v>
      </c>
      <c r="Y685" s="25">
        <v>0</v>
      </c>
      <c r="Z685" s="25">
        <v>0</v>
      </c>
      <c r="AA685" s="25">
        <v>0</v>
      </c>
      <c r="AB685" s="25">
        <v>0</v>
      </c>
      <c r="AC685" s="25">
        <v>0</v>
      </c>
      <c r="AD685" s="25">
        <v>0</v>
      </c>
      <c r="AE685" s="25">
        <v>1</v>
      </c>
      <c r="AF685" s="25" t="s">
        <v>131</v>
      </c>
    </row>
    <row r="686" spans="1:32" s="25" customFormat="1" x14ac:dyDescent="0.25">
      <c r="A686" s="25" t="s">
        <v>171</v>
      </c>
      <c r="B686" s="25">
        <f t="shared" si="23"/>
        <v>4410</v>
      </c>
      <c r="C686" s="25" t="s">
        <v>12</v>
      </c>
      <c r="D686" s="25">
        <v>0</v>
      </c>
      <c r="E686" s="25">
        <v>0</v>
      </c>
      <c r="F686" s="25">
        <v>256</v>
      </c>
      <c r="G686" s="25">
        <v>222</v>
      </c>
      <c r="H686" s="27">
        <v>0</v>
      </c>
      <c r="I686" s="27">
        <v>0</v>
      </c>
      <c r="J686" s="27">
        <v>0</v>
      </c>
      <c r="K686" s="27">
        <v>0</v>
      </c>
      <c r="L686" s="27">
        <v>1</v>
      </c>
      <c r="M686" s="27">
        <v>0</v>
      </c>
      <c r="N686" s="27">
        <v>0</v>
      </c>
      <c r="O686" s="27">
        <v>0</v>
      </c>
      <c r="P686" s="25">
        <v>700</v>
      </c>
      <c r="Q686" s="25">
        <v>560</v>
      </c>
      <c r="R686" s="25" t="s">
        <v>87</v>
      </c>
      <c r="S686" s="25" t="s">
        <v>89</v>
      </c>
      <c r="T686" s="25">
        <v>0</v>
      </c>
      <c r="U686" s="25">
        <v>0</v>
      </c>
      <c r="V686" s="25">
        <v>0</v>
      </c>
      <c r="W686" s="25">
        <v>0</v>
      </c>
      <c r="X686" s="25">
        <v>1</v>
      </c>
      <c r="Y686" s="25">
        <v>0</v>
      </c>
      <c r="Z686" s="25">
        <v>0</v>
      </c>
      <c r="AA686" s="25">
        <v>0</v>
      </c>
      <c r="AB686" s="25">
        <v>0</v>
      </c>
      <c r="AC686" s="25">
        <v>0</v>
      </c>
      <c r="AD686" s="25">
        <v>0</v>
      </c>
      <c r="AE686" s="25">
        <v>1</v>
      </c>
      <c r="AF686" s="25" t="s">
        <v>131</v>
      </c>
    </row>
    <row r="687" spans="1:32" s="25" customFormat="1" x14ac:dyDescent="0.25">
      <c r="A687" s="25" t="s">
        <v>171</v>
      </c>
      <c r="B687" s="25">
        <f t="shared" si="23"/>
        <v>4420</v>
      </c>
      <c r="C687" s="25" t="s">
        <v>12</v>
      </c>
      <c r="D687" s="25">
        <v>0</v>
      </c>
      <c r="E687" s="25">
        <v>0</v>
      </c>
      <c r="F687" s="25">
        <v>256</v>
      </c>
      <c r="G687" s="25">
        <v>222</v>
      </c>
      <c r="H687" s="27">
        <v>0</v>
      </c>
      <c r="I687" s="27">
        <v>0</v>
      </c>
      <c r="J687" s="27">
        <v>0</v>
      </c>
      <c r="K687" s="27">
        <v>0</v>
      </c>
      <c r="L687" s="27">
        <v>1</v>
      </c>
      <c r="M687" s="27">
        <v>0</v>
      </c>
      <c r="N687" s="27">
        <v>0</v>
      </c>
      <c r="O687" s="27">
        <v>0</v>
      </c>
      <c r="P687" s="25">
        <v>700</v>
      </c>
      <c r="Q687" s="25">
        <v>560</v>
      </c>
      <c r="R687" s="25" t="s">
        <v>87</v>
      </c>
      <c r="S687" s="25" t="s">
        <v>89</v>
      </c>
      <c r="T687" s="25">
        <v>0</v>
      </c>
      <c r="U687" s="25">
        <v>0</v>
      </c>
      <c r="V687" s="25">
        <v>0</v>
      </c>
      <c r="W687" s="25">
        <v>0</v>
      </c>
      <c r="X687" s="25">
        <v>1</v>
      </c>
      <c r="Y687" s="25">
        <v>0</v>
      </c>
      <c r="Z687" s="25">
        <v>0</v>
      </c>
      <c r="AA687" s="25">
        <v>0</v>
      </c>
      <c r="AB687" s="25">
        <v>0</v>
      </c>
      <c r="AC687" s="25">
        <v>0</v>
      </c>
      <c r="AD687" s="25">
        <v>0</v>
      </c>
      <c r="AE687" s="25">
        <v>1</v>
      </c>
      <c r="AF687" s="25" t="s">
        <v>131</v>
      </c>
    </row>
    <row r="688" spans="1:32" s="25" customFormat="1" x14ac:dyDescent="0.25">
      <c r="A688" s="25" t="s">
        <v>171</v>
      </c>
      <c r="B688" s="25">
        <f t="shared" si="23"/>
        <v>4430</v>
      </c>
      <c r="C688" s="25" t="s">
        <v>12</v>
      </c>
      <c r="D688" s="25">
        <v>0</v>
      </c>
      <c r="E688" s="25">
        <v>0</v>
      </c>
      <c r="F688" s="25">
        <v>256</v>
      </c>
      <c r="G688" s="25">
        <v>222</v>
      </c>
      <c r="H688" s="27">
        <v>0</v>
      </c>
      <c r="I688" s="27">
        <v>0</v>
      </c>
      <c r="J688" s="27">
        <v>0</v>
      </c>
      <c r="K688" s="27">
        <v>0</v>
      </c>
      <c r="L688" s="27">
        <v>1</v>
      </c>
      <c r="M688" s="27">
        <v>0</v>
      </c>
      <c r="N688" s="27">
        <v>0</v>
      </c>
      <c r="O688" s="27">
        <v>0</v>
      </c>
      <c r="P688" s="25">
        <v>700</v>
      </c>
      <c r="Q688" s="25">
        <v>560</v>
      </c>
      <c r="R688" s="25" t="s">
        <v>87</v>
      </c>
      <c r="S688" s="25" t="s">
        <v>89</v>
      </c>
      <c r="T688" s="25">
        <v>0</v>
      </c>
      <c r="U688" s="25">
        <v>0</v>
      </c>
      <c r="V688" s="25">
        <v>0</v>
      </c>
      <c r="W688" s="25">
        <v>0</v>
      </c>
      <c r="X688" s="25">
        <v>1</v>
      </c>
      <c r="Y688" s="25">
        <v>0</v>
      </c>
      <c r="Z688" s="25">
        <v>0</v>
      </c>
      <c r="AA688" s="25">
        <v>0</v>
      </c>
      <c r="AB688" s="25">
        <v>0</v>
      </c>
      <c r="AC688" s="25">
        <v>0</v>
      </c>
      <c r="AD688" s="25">
        <v>0</v>
      </c>
      <c r="AE688" s="25">
        <v>1</v>
      </c>
      <c r="AF688" s="25" t="s">
        <v>131</v>
      </c>
    </row>
    <row r="689" spans="1:32" s="25" customFormat="1" x14ac:dyDescent="0.25">
      <c r="A689" s="25" t="s">
        <v>171</v>
      </c>
      <c r="B689" s="25">
        <f t="shared" si="23"/>
        <v>4440</v>
      </c>
      <c r="C689" s="25" t="s">
        <v>12</v>
      </c>
      <c r="D689" s="25">
        <v>0</v>
      </c>
      <c r="E689" s="25">
        <v>0</v>
      </c>
      <c r="F689" s="25">
        <v>256</v>
      </c>
      <c r="G689" s="25">
        <v>222</v>
      </c>
      <c r="H689" s="27">
        <v>0</v>
      </c>
      <c r="I689" s="27">
        <v>0</v>
      </c>
      <c r="J689" s="27">
        <v>0</v>
      </c>
      <c r="K689" s="27">
        <v>0</v>
      </c>
      <c r="L689" s="27">
        <v>1</v>
      </c>
      <c r="M689" s="27">
        <v>0</v>
      </c>
      <c r="N689" s="27">
        <v>0</v>
      </c>
      <c r="O689" s="27">
        <v>0</v>
      </c>
      <c r="P689" s="25">
        <v>700</v>
      </c>
      <c r="Q689" s="25">
        <v>560</v>
      </c>
      <c r="R689" s="25" t="s">
        <v>87</v>
      </c>
      <c r="S689" s="25" t="s">
        <v>89</v>
      </c>
      <c r="T689" s="25">
        <v>0</v>
      </c>
      <c r="U689" s="25">
        <v>0</v>
      </c>
      <c r="V689" s="25">
        <v>0</v>
      </c>
      <c r="W689" s="25">
        <v>0</v>
      </c>
      <c r="X689" s="25">
        <v>1</v>
      </c>
      <c r="Y689" s="25">
        <v>0</v>
      </c>
      <c r="Z689" s="25">
        <v>0</v>
      </c>
      <c r="AA689" s="25">
        <v>0</v>
      </c>
      <c r="AB689" s="25">
        <v>0</v>
      </c>
      <c r="AC689" s="25">
        <v>0</v>
      </c>
      <c r="AD689" s="25">
        <v>0</v>
      </c>
      <c r="AE689" s="25">
        <v>1</v>
      </c>
      <c r="AF689" s="25" t="s">
        <v>131</v>
      </c>
    </row>
    <row r="690" spans="1:32" s="25" customFormat="1" x14ac:dyDescent="0.25">
      <c r="A690" s="25" t="s">
        <v>171</v>
      </c>
      <c r="B690" s="25">
        <f t="shared" si="23"/>
        <v>4450</v>
      </c>
      <c r="C690" s="25" t="s">
        <v>12</v>
      </c>
      <c r="D690" s="25">
        <v>0</v>
      </c>
      <c r="E690" s="25">
        <v>0</v>
      </c>
      <c r="F690" s="25">
        <v>256</v>
      </c>
      <c r="G690" s="25">
        <v>222</v>
      </c>
      <c r="H690" s="27">
        <v>0</v>
      </c>
      <c r="I690" s="27">
        <v>0</v>
      </c>
      <c r="J690" s="27">
        <v>0</v>
      </c>
      <c r="K690" s="27">
        <v>0</v>
      </c>
      <c r="L690" s="27">
        <v>1</v>
      </c>
      <c r="M690" s="27">
        <v>0</v>
      </c>
      <c r="N690" s="27">
        <v>0</v>
      </c>
      <c r="O690" s="27">
        <v>0</v>
      </c>
      <c r="P690" s="25">
        <v>700</v>
      </c>
      <c r="Q690" s="25">
        <v>560</v>
      </c>
      <c r="R690" s="25" t="s">
        <v>87</v>
      </c>
      <c r="S690" s="25" t="s">
        <v>89</v>
      </c>
      <c r="T690" s="25">
        <v>0</v>
      </c>
      <c r="U690" s="25">
        <v>0</v>
      </c>
      <c r="V690" s="25">
        <v>0</v>
      </c>
      <c r="W690" s="25">
        <v>0</v>
      </c>
      <c r="X690" s="25">
        <v>1</v>
      </c>
      <c r="Y690" s="25">
        <v>0</v>
      </c>
      <c r="Z690" s="25">
        <v>0</v>
      </c>
      <c r="AA690" s="25">
        <v>0</v>
      </c>
      <c r="AB690" s="25">
        <v>0</v>
      </c>
      <c r="AC690" s="25">
        <v>0</v>
      </c>
      <c r="AD690" s="25">
        <v>0</v>
      </c>
      <c r="AE690" s="25">
        <v>1</v>
      </c>
      <c r="AF690" s="25" t="s">
        <v>131</v>
      </c>
    </row>
    <row r="691" spans="1:32" s="25" customFormat="1" x14ac:dyDescent="0.25">
      <c r="A691" s="25" t="s">
        <v>171</v>
      </c>
      <c r="B691" s="25">
        <f t="shared" si="23"/>
        <v>4460</v>
      </c>
      <c r="C691" s="25" t="s">
        <v>12</v>
      </c>
      <c r="D691" s="25">
        <v>0</v>
      </c>
      <c r="E691" s="25">
        <v>0</v>
      </c>
      <c r="F691" s="25">
        <v>256</v>
      </c>
      <c r="G691" s="25">
        <v>222</v>
      </c>
      <c r="H691" s="27">
        <v>0</v>
      </c>
      <c r="I691" s="27">
        <v>0</v>
      </c>
      <c r="J691" s="27">
        <v>0</v>
      </c>
      <c r="K691" s="27">
        <v>0</v>
      </c>
      <c r="L691" s="27">
        <v>1</v>
      </c>
      <c r="M691" s="27">
        <v>0</v>
      </c>
      <c r="N691" s="27">
        <v>0</v>
      </c>
      <c r="O691" s="27">
        <v>0</v>
      </c>
      <c r="P691" s="25">
        <v>700</v>
      </c>
      <c r="Q691" s="25">
        <v>560</v>
      </c>
      <c r="R691" s="25" t="s">
        <v>87</v>
      </c>
      <c r="S691" s="25" t="s">
        <v>89</v>
      </c>
      <c r="T691" s="25">
        <v>0</v>
      </c>
      <c r="U691" s="25">
        <v>0</v>
      </c>
      <c r="V691" s="25">
        <v>0</v>
      </c>
      <c r="W691" s="25">
        <v>0</v>
      </c>
      <c r="X691" s="25">
        <v>1</v>
      </c>
      <c r="Y691" s="25">
        <v>0</v>
      </c>
      <c r="Z691" s="25">
        <v>0</v>
      </c>
      <c r="AA691" s="25">
        <v>0</v>
      </c>
      <c r="AB691" s="25">
        <v>0</v>
      </c>
      <c r="AC691" s="25">
        <v>0</v>
      </c>
      <c r="AD691" s="25">
        <v>0</v>
      </c>
      <c r="AE691" s="25">
        <v>1</v>
      </c>
      <c r="AF691" s="25" t="s">
        <v>131</v>
      </c>
    </row>
    <row r="692" spans="1:32" s="25" customFormat="1" x14ac:dyDescent="0.25">
      <c r="A692" s="25" t="s">
        <v>171</v>
      </c>
      <c r="B692" s="25">
        <f t="shared" si="23"/>
        <v>4470</v>
      </c>
      <c r="C692" s="25" t="s">
        <v>12</v>
      </c>
      <c r="D692" s="25">
        <v>0</v>
      </c>
      <c r="E692" s="25">
        <v>0</v>
      </c>
      <c r="F692" s="25">
        <v>256</v>
      </c>
      <c r="G692" s="25">
        <v>222</v>
      </c>
      <c r="H692" s="27">
        <v>0</v>
      </c>
      <c r="I692" s="27">
        <v>0</v>
      </c>
      <c r="J692" s="27">
        <v>0</v>
      </c>
      <c r="K692" s="27">
        <v>0</v>
      </c>
      <c r="L692" s="27">
        <v>1</v>
      </c>
      <c r="M692" s="27">
        <v>0</v>
      </c>
      <c r="N692" s="27">
        <v>0</v>
      </c>
      <c r="O692" s="27">
        <v>0</v>
      </c>
      <c r="P692" s="25">
        <v>700</v>
      </c>
      <c r="Q692" s="25">
        <v>560</v>
      </c>
      <c r="R692" s="25" t="s">
        <v>87</v>
      </c>
      <c r="S692" s="25" t="s">
        <v>89</v>
      </c>
      <c r="T692" s="25">
        <v>0</v>
      </c>
      <c r="U692" s="25">
        <v>0</v>
      </c>
      <c r="V692" s="25">
        <v>0</v>
      </c>
      <c r="W692" s="25">
        <v>0</v>
      </c>
      <c r="X692" s="25">
        <v>1</v>
      </c>
      <c r="Y692" s="25">
        <v>0</v>
      </c>
      <c r="Z692" s="25">
        <v>0</v>
      </c>
      <c r="AA692" s="25">
        <v>0</v>
      </c>
      <c r="AB692" s="25">
        <v>0</v>
      </c>
      <c r="AC692" s="25">
        <v>0</v>
      </c>
      <c r="AD692" s="25">
        <v>0</v>
      </c>
      <c r="AE692" s="25">
        <v>1</v>
      </c>
      <c r="AF692" s="25" t="s">
        <v>131</v>
      </c>
    </row>
    <row r="693" spans="1:32" s="25" customFormat="1" x14ac:dyDescent="0.25">
      <c r="A693" s="25" t="s">
        <v>171</v>
      </c>
      <c r="B693" s="25">
        <f t="shared" si="23"/>
        <v>4480</v>
      </c>
      <c r="C693" s="25" t="s">
        <v>12</v>
      </c>
      <c r="D693" s="25">
        <v>0</v>
      </c>
      <c r="E693" s="25">
        <v>0</v>
      </c>
      <c r="F693" s="25">
        <v>256</v>
      </c>
      <c r="G693" s="25">
        <v>222</v>
      </c>
      <c r="H693" s="27">
        <v>0</v>
      </c>
      <c r="I693" s="27">
        <v>0</v>
      </c>
      <c r="J693" s="27">
        <v>0</v>
      </c>
      <c r="K693" s="27">
        <v>0</v>
      </c>
      <c r="L693" s="27">
        <v>1</v>
      </c>
      <c r="M693" s="27">
        <v>0</v>
      </c>
      <c r="N693" s="27">
        <v>0</v>
      </c>
      <c r="O693" s="27">
        <v>0</v>
      </c>
      <c r="P693" s="25">
        <v>700</v>
      </c>
      <c r="Q693" s="25">
        <v>560</v>
      </c>
      <c r="R693" s="25" t="s">
        <v>87</v>
      </c>
      <c r="S693" s="25" t="s">
        <v>89</v>
      </c>
      <c r="T693" s="25">
        <v>0</v>
      </c>
      <c r="U693" s="25">
        <v>0</v>
      </c>
      <c r="V693" s="25">
        <v>0</v>
      </c>
      <c r="W693" s="25">
        <v>0</v>
      </c>
      <c r="X693" s="25">
        <v>1</v>
      </c>
      <c r="Y693" s="25">
        <v>0</v>
      </c>
      <c r="Z693" s="25">
        <v>0</v>
      </c>
      <c r="AA693" s="25">
        <v>0</v>
      </c>
      <c r="AB693" s="25">
        <v>0</v>
      </c>
      <c r="AC693" s="25">
        <v>0</v>
      </c>
      <c r="AD693" s="25">
        <v>0</v>
      </c>
      <c r="AE693" s="25">
        <v>1</v>
      </c>
      <c r="AF693" s="25" t="s">
        <v>131</v>
      </c>
    </row>
    <row r="694" spans="1:32" s="25" customFormat="1" x14ac:dyDescent="0.25">
      <c r="A694" s="25" t="s">
        <v>171</v>
      </c>
      <c r="B694" s="25">
        <f t="shared" si="23"/>
        <v>4490</v>
      </c>
      <c r="C694" s="25" t="s">
        <v>12</v>
      </c>
      <c r="D694" s="25">
        <v>0</v>
      </c>
      <c r="E694" s="25">
        <v>0</v>
      </c>
      <c r="F694" s="25">
        <v>256</v>
      </c>
      <c r="G694" s="25">
        <v>222</v>
      </c>
      <c r="H694" s="27">
        <v>0</v>
      </c>
      <c r="I694" s="27">
        <v>0</v>
      </c>
      <c r="J694" s="27">
        <v>0</v>
      </c>
      <c r="K694" s="27">
        <v>0</v>
      </c>
      <c r="L694" s="27">
        <v>1</v>
      </c>
      <c r="M694" s="27">
        <v>0</v>
      </c>
      <c r="N694" s="27">
        <v>0</v>
      </c>
      <c r="O694" s="27">
        <v>0</v>
      </c>
      <c r="P694" s="25">
        <v>700</v>
      </c>
      <c r="Q694" s="25">
        <v>560</v>
      </c>
      <c r="R694" s="25" t="s">
        <v>87</v>
      </c>
      <c r="S694" s="25" t="s">
        <v>89</v>
      </c>
      <c r="T694" s="25">
        <v>0</v>
      </c>
      <c r="U694" s="25">
        <v>0</v>
      </c>
      <c r="V694" s="25">
        <v>0</v>
      </c>
      <c r="W694" s="25">
        <v>0</v>
      </c>
      <c r="X694" s="25">
        <v>1</v>
      </c>
      <c r="Y694" s="25">
        <v>0</v>
      </c>
      <c r="Z694" s="25">
        <v>0</v>
      </c>
      <c r="AA694" s="25">
        <v>0</v>
      </c>
      <c r="AB694" s="25">
        <v>0</v>
      </c>
      <c r="AC694" s="25">
        <v>0</v>
      </c>
      <c r="AD694" s="25">
        <v>0</v>
      </c>
      <c r="AE694" s="25">
        <v>1</v>
      </c>
      <c r="AF694" s="25" t="s">
        <v>131</v>
      </c>
    </row>
    <row r="695" spans="1:32" s="25" customFormat="1" x14ac:dyDescent="0.25">
      <c r="A695" s="25" t="s">
        <v>171</v>
      </c>
      <c r="B695" s="25">
        <f t="shared" si="23"/>
        <v>4500</v>
      </c>
      <c r="C695" s="25" t="s">
        <v>12</v>
      </c>
      <c r="D695" s="25">
        <v>0</v>
      </c>
      <c r="E695" s="25">
        <v>0</v>
      </c>
      <c r="F695" s="25">
        <v>256</v>
      </c>
      <c r="G695" s="25">
        <v>222</v>
      </c>
      <c r="H695" s="27">
        <v>0</v>
      </c>
      <c r="I695" s="27">
        <v>0</v>
      </c>
      <c r="J695" s="27">
        <v>0</v>
      </c>
      <c r="K695" s="27">
        <v>0</v>
      </c>
      <c r="L695" s="27">
        <v>1</v>
      </c>
      <c r="M695" s="27">
        <v>0</v>
      </c>
      <c r="N695" s="27">
        <v>0</v>
      </c>
      <c r="O695" s="27">
        <v>0</v>
      </c>
      <c r="P695" s="25">
        <v>700</v>
      </c>
      <c r="Q695" s="25">
        <v>560</v>
      </c>
      <c r="R695" s="25" t="s">
        <v>87</v>
      </c>
      <c r="S695" s="25" t="s">
        <v>89</v>
      </c>
      <c r="T695" s="25">
        <v>0</v>
      </c>
      <c r="U695" s="25">
        <v>0</v>
      </c>
      <c r="V695" s="25">
        <v>0</v>
      </c>
      <c r="W695" s="25">
        <v>0</v>
      </c>
      <c r="X695" s="25">
        <v>1</v>
      </c>
      <c r="Y695" s="25">
        <v>0</v>
      </c>
      <c r="Z695" s="25">
        <v>0</v>
      </c>
      <c r="AA695" s="25">
        <v>0</v>
      </c>
      <c r="AB695" s="25">
        <v>0</v>
      </c>
      <c r="AC695" s="25">
        <v>0</v>
      </c>
      <c r="AD695" s="25">
        <v>0</v>
      </c>
      <c r="AE695" s="25">
        <v>1</v>
      </c>
      <c r="AF695" s="25" t="s">
        <v>131</v>
      </c>
    </row>
    <row r="696" spans="1:32" s="25" customFormat="1" x14ac:dyDescent="0.25">
      <c r="A696" s="25" t="s">
        <v>171</v>
      </c>
      <c r="B696" s="25">
        <f t="shared" si="23"/>
        <v>4510</v>
      </c>
      <c r="C696" s="25" t="s">
        <v>12</v>
      </c>
      <c r="D696" s="25">
        <v>0</v>
      </c>
      <c r="E696" s="25">
        <v>0</v>
      </c>
      <c r="F696" s="25">
        <v>256</v>
      </c>
      <c r="G696" s="25">
        <v>222</v>
      </c>
      <c r="H696" s="27">
        <v>0</v>
      </c>
      <c r="I696" s="27">
        <v>0</v>
      </c>
      <c r="J696" s="27">
        <v>0</v>
      </c>
      <c r="K696" s="27">
        <v>0</v>
      </c>
      <c r="L696" s="27">
        <v>1</v>
      </c>
      <c r="M696" s="27">
        <v>0</v>
      </c>
      <c r="N696" s="27">
        <v>0</v>
      </c>
      <c r="O696" s="27">
        <v>0</v>
      </c>
      <c r="P696" s="25">
        <v>700</v>
      </c>
      <c r="Q696" s="25">
        <v>560</v>
      </c>
      <c r="R696" s="25" t="s">
        <v>87</v>
      </c>
      <c r="S696" s="25" t="s">
        <v>89</v>
      </c>
      <c r="T696" s="25">
        <v>0</v>
      </c>
      <c r="U696" s="25">
        <v>0</v>
      </c>
      <c r="V696" s="25">
        <v>0</v>
      </c>
      <c r="W696" s="25">
        <v>0</v>
      </c>
      <c r="X696" s="25">
        <v>1</v>
      </c>
      <c r="Y696" s="25">
        <v>0</v>
      </c>
      <c r="Z696" s="25">
        <v>0</v>
      </c>
      <c r="AA696" s="25">
        <v>0</v>
      </c>
      <c r="AB696" s="25">
        <v>0</v>
      </c>
      <c r="AC696" s="25">
        <v>0</v>
      </c>
      <c r="AD696" s="25">
        <v>0</v>
      </c>
      <c r="AE696" s="25">
        <v>1</v>
      </c>
      <c r="AF696" s="25" t="s">
        <v>131</v>
      </c>
    </row>
    <row r="697" spans="1:32" x14ac:dyDescent="0.25">
      <c r="A697" t="s">
        <v>171</v>
      </c>
      <c r="B697" s="25">
        <f t="shared" si="23"/>
        <v>4520</v>
      </c>
      <c r="C697" t="s">
        <v>12</v>
      </c>
      <c r="D697">
        <v>0</v>
      </c>
      <c r="E697">
        <v>0</v>
      </c>
      <c r="F697">
        <v>256</v>
      </c>
      <c r="G697">
        <v>222</v>
      </c>
      <c r="H697" s="27">
        <v>0</v>
      </c>
      <c r="I697" s="27">
        <v>0</v>
      </c>
      <c r="J697" s="27">
        <v>0</v>
      </c>
      <c r="K697" s="27">
        <v>0</v>
      </c>
      <c r="L697" s="27">
        <v>1</v>
      </c>
      <c r="M697" s="27">
        <v>0</v>
      </c>
      <c r="N697" s="27">
        <v>0</v>
      </c>
      <c r="O697" s="27">
        <v>0</v>
      </c>
      <c r="P697">
        <v>700</v>
      </c>
      <c r="Q697">
        <v>560</v>
      </c>
      <c r="R697" t="s">
        <v>87</v>
      </c>
      <c r="S697" t="s">
        <v>89</v>
      </c>
      <c r="T697">
        <v>0</v>
      </c>
      <c r="U697">
        <v>0</v>
      </c>
      <c r="V697">
        <v>0</v>
      </c>
      <c r="W697">
        <v>0</v>
      </c>
      <c r="X697">
        <v>1</v>
      </c>
      <c r="Y697">
        <v>0</v>
      </c>
      <c r="Z697">
        <v>0</v>
      </c>
      <c r="AA697">
        <v>0</v>
      </c>
      <c r="AB697">
        <v>0</v>
      </c>
      <c r="AC697">
        <v>0</v>
      </c>
      <c r="AD697">
        <v>0</v>
      </c>
      <c r="AE697">
        <v>1</v>
      </c>
      <c r="AF697" t="s">
        <v>131</v>
      </c>
    </row>
    <row r="698" spans="1:32" x14ac:dyDescent="0.25">
      <c r="A698" t="s">
        <v>185</v>
      </c>
      <c r="B698" s="25">
        <f t="shared" si="23"/>
        <v>4530</v>
      </c>
      <c r="C698" t="s">
        <v>12</v>
      </c>
      <c r="D698" t="s">
        <v>13</v>
      </c>
      <c r="E698" t="s">
        <v>13</v>
      </c>
      <c r="F698" t="s">
        <v>13</v>
      </c>
      <c r="G698" t="s">
        <v>13</v>
      </c>
      <c r="H698" s="27" t="s">
        <v>13</v>
      </c>
      <c r="I698" s="27" t="s">
        <v>13</v>
      </c>
      <c r="J698" s="27" t="s">
        <v>13</v>
      </c>
      <c r="K698" s="27" t="s">
        <v>13</v>
      </c>
      <c r="L698" s="27" t="s">
        <v>13</v>
      </c>
      <c r="M698" s="27" t="s">
        <v>13</v>
      </c>
      <c r="N698" s="27" t="s">
        <v>13</v>
      </c>
      <c r="O698" s="27" t="s">
        <v>13</v>
      </c>
      <c r="P698">
        <v>700</v>
      </c>
      <c r="Q698">
        <v>560</v>
      </c>
      <c r="R698" t="s">
        <v>87</v>
      </c>
      <c r="S698" t="s">
        <v>89</v>
      </c>
      <c r="T698">
        <v>0</v>
      </c>
      <c r="U698">
        <v>0</v>
      </c>
      <c r="V698">
        <v>0</v>
      </c>
      <c r="W698">
        <v>0</v>
      </c>
      <c r="X698">
        <v>1</v>
      </c>
      <c r="Y698">
        <v>0</v>
      </c>
      <c r="Z698">
        <v>0</v>
      </c>
      <c r="AA698">
        <v>0</v>
      </c>
      <c r="AB698">
        <v>0</v>
      </c>
      <c r="AC698">
        <v>0</v>
      </c>
      <c r="AD698">
        <v>0</v>
      </c>
      <c r="AE698">
        <v>1</v>
      </c>
      <c r="AF698" t="s">
        <v>132</v>
      </c>
    </row>
    <row r="699" spans="1:32" x14ac:dyDescent="0.25">
      <c r="A699" t="s">
        <v>185</v>
      </c>
      <c r="B699" s="25">
        <f t="shared" si="23"/>
        <v>4540</v>
      </c>
      <c r="C699" t="s">
        <v>12</v>
      </c>
      <c r="D699">
        <v>0</v>
      </c>
      <c r="E699">
        <v>0</v>
      </c>
      <c r="F699">
        <v>256</v>
      </c>
      <c r="G699">
        <v>222</v>
      </c>
      <c r="H699" s="27">
        <v>0</v>
      </c>
      <c r="I699" s="27">
        <v>0</v>
      </c>
      <c r="J699" s="27">
        <v>0</v>
      </c>
      <c r="K699" s="27">
        <v>0</v>
      </c>
      <c r="L699" s="27">
        <v>1</v>
      </c>
      <c r="M699" s="27">
        <v>0</v>
      </c>
      <c r="N699" s="27">
        <v>0</v>
      </c>
      <c r="O699" s="27">
        <v>0</v>
      </c>
      <c r="P699">
        <v>700</v>
      </c>
      <c r="Q699">
        <v>560</v>
      </c>
      <c r="R699" t="s">
        <v>87</v>
      </c>
      <c r="S699" t="s">
        <v>89</v>
      </c>
      <c r="T699">
        <v>0</v>
      </c>
      <c r="U699">
        <v>0</v>
      </c>
      <c r="V699">
        <v>0</v>
      </c>
      <c r="W699">
        <v>0</v>
      </c>
      <c r="X699">
        <v>1</v>
      </c>
      <c r="Y699">
        <v>0</v>
      </c>
      <c r="Z699">
        <v>0</v>
      </c>
      <c r="AA699">
        <v>0</v>
      </c>
      <c r="AB699">
        <v>0</v>
      </c>
      <c r="AC699">
        <v>0</v>
      </c>
      <c r="AD699">
        <v>0</v>
      </c>
      <c r="AE699">
        <v>1</v>
      </c>
      <c r="AF699" t="s">
        <v>132</v>
      </c>
    </row>
    <row r="700" spans="1:32" s="25" customFormat="1" x14ac:dyDescent="0.25">
      <c r="A700" s="25" t="s">
        <v>185</v>
      </c>
      <c r="B700" s="25">
        <f t="shared" ref="B700:B752" si="24">B699+10</f>
        <v>4550</v>
      </c>
      <c r="C700" s="25" t="s">
        <v>12</v>
      </c>
      <c r="D700" s="25">
        <v>0</v>
      </c>
      <c r="E700" s="25">
        <v>0</v>
      </c>
      <c r="F700" s="25">
        <v>256</v>
      </c>
      <c r="G700" s="25">
        <v>222</v>
      </c>
      <c r="H700" s="27">
        <v>0</v>
      </c>
      <c r="I700" s="27">
        <v>0</v>
      </c>
      <c r="J700" s="27">
        <v>0</v>
      </c>
      <c r="K700" s="27">
        <v>0</v>
      </c>
      <c r="L700" s="27">
        <v>1</v>
      </c>
      <c r="M700" s="27">
        <v>0</v>
      </c>
      <c r="N700" s="27">
        <v>0</v>
      </c>
      <c r="O700" s="27">
        <v>0</v>
      </c>
      <c r="P700" s="25">
        <v>700</v>
      </c>
      <c r="Q700" s="25">
        <v>560</v>
      </c>
      <c r="R700" s="25" t="s">
        <v>87</v>
      </c>
      <c r="S700" s="25" t="s">
        <v>89</v>
      </c>
      <c r="T700" s="25">
        <v>0</v>
      </c>
      <c r="U700" s="25">
        <v>0</v>
      </c>
      <c r="V700" s="25">
        <v>0</v>
      </c>
      <c r="W700" s="25">
        <v>0</v>
      </c>
      <c r="X700" s="25">
        <v>1</v>
      </c>
      <c r="Y700" s="25">
        <v>0</v>
      </c>
      <c r="Z700" s="25">
        <v>0</v>
      </c>
      <c r="AA700" s="25">
        <v>0</v>
      </c>
      <c r="AB700" s="25">
        <v>0</v>
      </c>
      <c r="AC700" s="25">
        <v>0</v>
      </c>
      <c r="AD700" s="25">
        <v>0</v>
      </c>
      <c r="AE700" s="25">
        <v>1</v>
      </c>
      <c r="AF700" s="25" t="s">
        <v>132</v>
      </c>
    </row>
    <row r="701" spans="1:32" s="25" customFormat="1" x14ac:dyDescent="0.25">
      <c r="A701" s="25" t="s">
        <v>185</v>
      </c>
      <c r="B701" s="25">
        <f t="shared" si="24"/>
        <v>4560</v>
      </c>
      <c r="C701" s="25" t="s">
        <v>12</v>
      </c>
      <c r="D701" s="25">
        <v>0</v>
      </c>
      <c r="E701" s="25">
        <v>0</v>
      </c>
      <c r="F701" s="25">
        <v>256</v>
      </c>
      <c r="G701" s="25">
        <v>222</v>
      </c>
      <c r="H701" s="27">
        <v>0</v>
      </c>
      <c r="I701" s="27">
        <v>0</v>
      </c>
      <c r="J701" s="27">
        <v>0</v>
      </c>
      <c r="K701" s="27">
        <v>0</v>
      </c>
      <c r="L701" s="27">
        <v>1</v>
      </c>
      <c r="M701" s="27">
        <v>0</v>
      </c>
      <c r="N701" s="27">
        <v>0</v>
      </c>
      <c r="O701" s="27">
        <v>0</v>
      </c>
      <c r="P701" s="25">
        <v>700</v>
      </c>
      <c r="Q701" s="25">
        <v>560</v>
      </c>
      <c r="R701" s="25" t="s">
        <v>87</v>
      </c>
      <c r="S701" s="25" t="s">
        <v>89</v>
      </c>
      <c r="T701" s="25">
        <v>0</v>
      </c>
      <c r="U701" s="25">
        <v>0</v>
      </c>
      <c r="V701" s="25">
        <v>0</v>
      </c>
      <c r="W701" s="25">
        <v>0</v>
      </c>
      <c r="X701" s="25">
        <v>1</v>
      </c>
      <c r="Y701" s="25">
        <v>0</v>
      </c>
      <c r="Z701" s="25">
        <v>0</v>
      </c>
      <c r="AA701" s="25">
        <v>0</v>
      </c>
      <c r="AB701" s="25">
        <v>0</v>
      </c>
      <c r="AC701" s="25">
        <v>0</v>
      </c>
      <c r="AD701" s="25">
        <v>0</v>
      </c>
      <c r="AE701" s="25">
        <v>1</v>
      </c>
      <c r="AF701" s="25" t="s">
        <v>132</v>
      </c>
    </row>
    <row r="702" spans="1:32" s="25" customFormat="1" x14ac:dyDescent="0.25">
      <c r="A702" s="25" t="s">
        <v>185</v>
      </c>
      <c r="B702" s="25">
        <f t="shared" si="24"/>
        <v>4570</v>
      </c>
      <c r="C702" s="25" t="s">
        <v>12</v>
      </c>
      <c r="D702" s="25">
        <v>0</v>
      </c>
      <c r="E702" s="25">
        <v>0</v>
      </c>
      <c r="F702" s="25">
        <v>256</v>
      </c>
      <c r="G702" s="25">
        <v>222</v>
      </c>
      <c r="H702" s="27">
        <v>0</v>
      </c>
      <c r="I702" s="27">
        <v>0</v>
      </c>
      <c r="J702" s="27">
        <v>0</v>
      </c>
      <c r="K702" s="27">
        <v>0</v>
      </c>
      <c r="L702" s="27">
        <v>1</v>
      </c>
      <c r="M702" s="27">
        <v>0</v>
      </c>
      <c r="N702" s="27">
        <v>0</v>
      </c>
      <c r="O702" s="27">
        <v>0</v>
      </c>
      <c r="P702" s="25">
        <v>700</v>
      </c>
      <c r="Q702" s="25">
        <v>560</v>
      </c>
      <c r="R702" s="25" t="s">
        <v>87</v>
      </c>
      <c r="S702" s="25" t="s">
        <v>89</v>
      </c>
      <c r="T702" s="25">
        <v>0</v>
      </c>
      <c r="U702" s="25">
        <v>0</v>
      </c>
      <c r="V702" s="25">
        <v>0</v>
      </c>
      <c r="W702" s="25">
        <v>0</v>
      </c>
      <c r="X702" s="25">
        <v>1</v>
      </c>
      <c r="Y702" s="25">
        <v>0</v>
      </c>
      <c r="Z702" s="25">
        <v>0</v>
      </c>
      <c r="AA702" s="25">
        <v>0</v>
      </c>
      <c r="AB702" s="25">
        <v>0</v>
      </c>
      <c r="AC702" s="25">
        <v>0</v>
      </c>
      <c r="AD702" s="25">
        <v>0</v>
      </c>
      <c r="AE702" s="25">
        <v>1</v>
      </c>
      <c r="AF702" s="25" t="s">
        <v>132</v>
      </c>
    </row>
    <row r="703" spans="1:32" s="25" customFormat="1" x14ac:dyDescent="0.25">
      <c r="A703" s="25" t="s">
        <v>185</v>
      </c>
      <c r="B703" s="25">
        <f t="shared" si="24"/>
        <v>4580</v>
      </c>
      <c r="C703" s="25" t="s">
        <v>12</v>
      </c>
      <c r="D703" s="25">
        <v>0</v>
      </c>
      <c r="E703" s="25">
        <v>0</v>
      </c>
      <c r="F703" s="25">
        <v>256</v>
      </c>
      <c r="G703" s="25">
        <v>222</v>
      </c>
      <c r="H703" s="27">
        <v>0</v>
      </c>
      <c r="I703" s="27">
        <v>0</v>
      </c>
      <c r="J703" s="27">
        <v>0</v>
      </c>
      <c r="K703" s="27">
        <v>0</v>
      </c>
      <c r="L703" s="27">
        <v>1</v>
      </c>
      <c r="M703" s="27">
        <v>0</v>
      </c>
      <c r="N703" s="27">
        <v>0</v>
      </c>
      <c r="O703" s="27">
        <v>0</v>
      </c>
      <c r="P703" s="25">
        <v>700</v>
      </c>
      <c r="Q703" s="25">
        <v>560</v>
      </c>
      <c r="R703" s="25" t="s">
        <v>87</v>
      </c>
      <c r="S703" s="25" t="s">
        <v>89</v>
      </c>
      <c r="T703" s="25">
        <v>0</v>
      </c>
      <c r="U703" s="25">
        <v>0</v>
      </c>
      <c r="V703" s="25">
        <v>0</v>
      </c>
      <c r="W703" s="25">
        <v>0</v>
      </c>
      <c r="X703" s="25">
        <v>1</v>
      </c>
      <c r="Y703" s="25">
        <v>0</v>
      </c>
      <c r="Z703" s="25">
        <v>0</v>
      </c>
      <c r="AA703" s="25">
        <v>0</v>
      </c>
      <c r="AB703" s="25">
        <v>0</v>
      </c>
      <c r="AC703" s="25">
        <v>0</v>
      </c>
      <c r="AD703" s="25">
        <v>0</v>
      </c>
      <c r="AE703" s="25">
        <v>1</v>
      </c>
      <c r="AF703" s="25" t="s">
        <v>132</v>
      </c>
    </row>
    <row r="704" spans="1:32" s="25" customFormat="1" x14ac:dyDescent="0.25">
      <c r="A704" s="25" t="s">
        <v>185</v>
      </c>
      <c r="B704" s="25">
        <f t="shared" si="24"/>
        <v>4590</v>
      </c>
      <c r="C704" s="25" t="s">
        <v>12</v>
      </c>
      <c r="D704" s="25">
        <v>0</v>
      </c>
      <c r="E704" s="25">
        <v>0</v>
      </c>
      <c r="F704" s="25">
        <v>256</v>
      </c>
      <c r="G704" s="25">
        <v>222</v>
      </c>
      <c r="H704" s="27">
        <v>0</v>
      </c>
      <c r="I704" s="27">
        <v>0</v>
      </c>
      <c r="J704" s="27">
        <v>0</v>
      </c>
      <c r="K704" s="27">
        <v>0</v>
      </c>
      <c r="L704" s="27">
        <v>1</v>
      </c>
      <c r="M704" s="27">
        <v>0</v>
      </c>
      <c r="N704" s="27">
        <v>0</v>
      </c>
      <c r="O704" s="27">
        <v>0</v>
      </c>
      <c r="P704" s="25">
        <v>700</v>
      </c>
      <c r="Q704" s="25">
        <v>560</v>
      </c>
      <c r="R704" s="25" t="s">
        <v>87</v>
      </c>
      <c r="S704" s="25" t="s">
        <v>89</v>
      </c>
      <c r="T704" s="25">
        <v>0</v>
      </c>
      <c r="U704" s="25">
        <v>0</v>
      </c>
      <c r="V704" s="25">
        <v>0</v>
      </c>
      <c r="W704" s="25">
        <v>0</v>
      </c>
      <c r="X704" s="25">
        <v>1</v>
      </c>
      <c r="Y704" s="25">
        <v>0</v>
      </c>
      <c r="Z704" s="25">
        <v>0</v>
      </c>
      <c r="AA704" s="25">
        <v>0</v>
      </c>
      <c r="AB704" s="25">
        <v>0</v>
      </c>
      <c r="AC704" s="25">
        <v>0</v>
      </c>
      <c r="AD704" s="25">
        <v>0</v>
      </c>
      <c r="AE704" s="25">
        <v>1</v>
      </c>
      <c r="AF704" s="25" t="s">
        <v>132</v>
      </c>
    </row>
    <row r="705" spans="1:32" s="25" customFormat="1" x14ac:dyDescent="0.25">
      <c r="A705" s="25" t="s">
        <v>185</v>
      </c>
      <c r="B705" s="25">
        <f t="shared" si="24"/>
        <v>4600</v>
      </c>
      <c r="C705" s="25" t="s">
        <v>12</v>
      </c>
      <c r="D705" s="25">
        <v>0</v>
      </c>
      <c r="E705" s="25">
        <v>0</v>
      </c>
      <c r="F705" s="25">
        <v>256</v>
      </c>
      <c r="G705" s="25">
        <v>222</v>
      </c>
      <c r="H705" s="27">
        <v>0</v>
      </c>
      <c r="I705" s="27">
        <v>0</v>
      </c>
      <c r="J705" s="27">
        <v>0</v>
      </c>
      <c r="K705" s="27">
        <v>0</v>
      </c>
      <c r="L705" s="27">
        <v>1</v>
      </c>
      <c r="M705" s="27">
        <v>0</v>
      </c>
      <c r="N705" s="27">
        <v>0</v>
      </c>
      <c r="O705" s="27">
        <v>0</v>
      </c>
      <c r="P705" s="25">
        <v>700</v>
      </c>
      <c r="Q705" s="25">
        <v>560</v>
      </c>
      <c r="R705" s="25" t="s">
        <v>87</v>
      </c>
      <c r="S705" s="25" t="s">
        <v>89</v>
      </c>
      <c r="T705" s="25">
        <v>0</v>
      </c>
      <c r="U705" s="25">
        <v>0</v>
      </c>
      <c r="V705" s="25">
        <v>0</v>
      </c>
      <c r="W705" s="25">
        <v>0</v>
      </c>
      <c r="X705" s="25">
        <v>1</v>
      </c>
      <c r="Y705" s="25">
        <v>0</v>
      </c>
      <c r="Z705" s="25">
        <v>0</v>
      </c>
      <c r="AA705" s="25">
        <v>0</v>
      </c>
      <c r="AB705" s="25">
        <v>0</v>
      </c>
      <c r="AC705" s="25">
        <v>0</v>
      </c>
      <c r="AD705" s="25">
        <v>0</v>
      </c>
      <c r="AE705" s="25">
        <v>1</v>
      </c>
      <c r="AF705" s="25" t="s">
        <v>132</v>
      </c>
    </row>
    <row r="706" spans="1:32" s="25" customFormat="1" x14ac:dyDescent="0.25">
      <c r="A706" s="25" t="s">
        <v>185</v>
      </c>
      <c r="B706" s="25">
        <f t="shared" si="24"/>
        <v>4610</v>
      </c>
      <c r="C706" s="25" t="s">
        <v>12</v>
      </c>
      <c r="D706" s="25">
        <v>0</v>
      </c>
      <c r="E706" s="25">
        <v>0</v>
      </c>
      <c r="F706" s="25">
        <v>256</v>
      </c>
      <c r="G706" s="25">
        <v>222</v>
      </c>
      <c r="H706" s="27">
        <v>0</v>
      </c>
      <c r="I706" s="27">
        <v>0</v>
      </c>
      <c r="J706" s="27">
        <v>0</v>
      </c>
      <c r="K706" s="27">
        <v>0</v>
      </c>
      <c r="L706" s="27">
        <v>1</v>
      </c>
      <c r="M706" s="27">
        <v>0</v>
      </c>
      <c r="N706" s="27">
        <v>0</v>
      </c>
      <c r="O706" s="27">
        <v>0</v>
      </c>
      <c r="P706" s="25">
        <v>700</v>
      </c>
      <c r="Q706" s="25">
        <v>560</v>
      </c>
      <c r="R706" s="25" t="s">
        <v>87</v>
      </c>
      <c r="S706" s="25" t="s">
        <v>89</v>
      </c>
      <c r="T706" s="25">
        <v>0</v>
      </c>
      <c r="U706" s="25">
        <v>0</v>
      </c>
      <c r="V706" s="25">
        <v>0</v>
      </c>
      <c r="W706" s="25">
        <v>0</v>
      </c>
      <c r="X706" s="25">
        <v>1</v>
      </c>
      <c r="Y706" s="25">
        <v>0</v>
      </c>
      <c r="Z706" s="25">
        <v>0</v>
      </c>
      <c r="AA706" s="25">
        <v>0</v>
      </c>
      <c r="AB706" s="25">
        <v>0</v>
      </c>
      <c r="AC706" s="25">
        <v>0</v>
      </c>
      <c r="AD706" s="25">
        <v>0</v>
      </c>
      <c r="AE706" s="25">
        <v>1</v>
      </c>
      <c r="AF706" s="25" t="s">
        <v>132</v>
      </c>
    </row>
    <row r="707" spans="1:32" s="25" customFormat="1" x14ac:dyDescent="0.25">
      <c r="A707" s="25" t="s">
        <v>185</v>
      </c>
      <c r="B707" s="25">
        <f t="shared" si="24"/>
        <v>4620</v>
      </c>
      <c r="C707" s="25" t="s">
        <v>12</v>
      </c>
      <c r="D707" s="25">
        <v>0</v>
      </c>
      <c r="E707" s="25">
        <v>0</v>
      </c>
      <c r="F707" s="25">
        <v>256</v>
      </c>
      <c r="G707" s="25">
        <v>222</v>
      </c>
      <c r="H707" s="27">
        <v>0</v>
      </c>
      <c r="I707" s="27">
        <v>0</v>
      </c>
      <c r="J707" s="27">
        <v>0</v>
      </c>
      <c r="K707" s="27">
        <v>0</v>
      </c>
      <c r="L707" s="27">
        <v>1</v>
      </c>
      <c r="M707" s="27">
        <v>0</v>
      </c>
      <c r="N707" s="27">
        <v>0</v>
      </c>
      <c r="O707" s="27">
        <v>0</v>
      </c>
      <c r="P707" s="25">
        <v>700</v>
      </c>
      <c r="Q707" s="25">
        <v>560</v>
      </c>
      <c r="R707" s="25" t="s">
        <v>87</v>
      </c>
      <c r="S707" s="25" t="s">
        <v>89</v>
      </c>
      <c r="T707" s="25">
        <v>0</v>
      </c>
      <c r="U707" s="25">
        <v>0</v>
      </c>
      <c r="V707" s="25">
        <v>0</v>
      </c>
      <c r="W707" s="25">
        <v>0</v>
      </c>
      <c r="X707" s="25">
        <v>1</v>
      </c>
      <c r="Y707" s="25">
        <v>0</v>
      </c>
      <c r="Z707" s="25">
        <v>0</v>
      </c>
      <c r="AA707" s="25">
        <v>0</v>
      </c>
      <c r="AB707" s="25">
        <v>0</v>
      </c>
      <c r="AC707" s="25">
        <v>0</v>
      </c>
      <c r="AD707" s="25">
        <v>0</v>
      </c>
      <c r="AE707" s="25">
        <v>1</v>
      </c>
      <c r="AF707" s="25" t="s">
        <v>132</v>
      </c>
    </row>
    <row r="708" spans="1:32" s="25" customFormat="1" x14ac:dyDescent="0.25">
      <c r="A708" s="25" t="s">
        <v>185</v>
      </c>
      <c r="B708" s="25">
        <f t="shared" si="24"/>
        <v>4630</v>
      </c>
      <c r="C708" s="25" t="s">
        <v>12</v>
      </c>
      <c r="D708" s="25">
        <v>0</v>
      </c>
      <c r="E708" s="25">
        <v>0</v>
      </c>
      <c r="F708" s="25">
        <v>256</v>
      </c>
      <c r="G708" s="25">
        <v>222</v>
      </c>
      <c r="H708" s="27">
        <v>0</v>
      </c>
      <c r="I708" s="27">
        <v>0</v>
      </c>
      <c r="J708" s="27">
        <v>0</v>
      </c>
      <c r="K708" s="27">
        <v>0</v>
      </c>
      <c r="L708" s="27">
        <v>1</v>
      </c>
      <c r="M708" s="27">
        <v>0</v>
      </c>
      <c r="N708" s="27">
        <v>0</v>
      </c>
      <c r="O708" s="27">
        <v>0</v>
      </c>
      <c r="P708" s="25">
        <v>700</v>
      </c>
      <c r="Q708" s="25">
        <v>560</v>
      </c>
      <c r="R708" s="25" t="s">
        <v>87</v>
      </c>
      <c r="S708" s="25" t="s">
        <v>89</v>
      </c>
      <c r="T708" s="25">
        <v>0</v>
      </c>
      <c r="U708" s="25">
        <v>0</v>
      </c>
      <c r="V708" s="25">
        <v>0</v>
      </c>
      <c r="W708" s="25">
        <v>0</v>
      </c>
      <c r="X708" s="25">
        <v>1</v>
      </c>
      <c r="Y708" s="25">
        <v>0</v>
      </c>
      <c r="Z708" s="25">
        <v>0</v>
      </c>
      <c r="AA708" s="25">
        <v>0</v>
      </c>
      <c r="AB708" s="25">
        <v>0</v>
      </c>
      <c r="AC708" s="25">
        <v>0</v>
      </c>
      <c r="AD708" s="25">
        <v>0</v>
      </c>
      <c r="AE708" s="25">
        <v>1</v>
      </c>
      <c r="AF708" s="25" t="s">
        <v>132</v>
      </c>
    </row>
    <row r="709" spans="1:32" s="25" customFormat="1" x14ac:dyDescent="0.25">
      <c r="A709" s="25" t="s">
        <v>185</v>
      </c>
      <c r="B709" s="25">
        <f t="shared" si="24"/>
        <v>4640</v>
      </c>
      <c r="C709" s="25" t="s">
        <v>12</v>
      </c>
      <c r="D709" s="25">
        <v>0</v>
      </c>
      <c r="E709" s="25">
        <v>0</v>
      </c>
      <c r="F709" s="25">
        <v>256</v>
      </c>
      <c r="G709" s="25">
        <v>222</v>
      </c>
      <c r="H709" s="27">
        <v>0</v>
      </c>
      <c r="I709" s="27">
        <v>0</v>
      </c>
      <c r="J709" s="27">
        <v>0</v>
      </c>
      <c r="K709" s="27">
        <v>0</v>
      </c>
      <c r="L709" s="27">
        <v>1</v>
      </c>
      <c r="M709" s="27">
        <v>0</v>
      </c>
      <c r="N709" s="27">
        <v>0</v>
      </c>
      <c r="O709" s="27">
        <v>0</v>
      </c>
      <c r="P709" s="25">
        <v>700</v>
      </c>
      <c r="Q709" s="25">
        <v>560</v>
      </c>
      <c r="R709" s="25" t="s">
        <v>87</v>
      </c>
      <c r="S709" s="25" t="s">
        <v>89</v>
      </c>
      <c r="T709" s="25">
        <v>0</v>
      </c>
      <c r="U709" s="25">
        <v>0</v>
      </c>
      <c r="V709" s="25">
        <v>0</v>
      </c>
      <c r="W709" s="25">
        <v>0</v>
      </c>
      <c r="X709" s="25">
        <v>1</v>
      </c>
      <c r="Y709" s="25">
        <v>0</v>
      </c>
      <c r="Z709" s="25">
        <v>0</v>
      </c>
      <c r="AA709" s="25">
        <v>0</v>
      </c>
      <c r="AB709" s="25">
        <v>0</v>
      </c>
      <c r="AC709" s="25">
        <v>0</v>
      </c>
      <c r="AD709" s="25">
        <v>0</v>
      </c>
      <c r="AE709" s="25">
        <v>1</v>
      </c>
      <c r="AF709" s="25" t="s">
        <v>132</v>
      </c>
    </row>
    <row r="710" spans="1:32" s="25" customFormat="1" x14ac:dyDescent="0.25">
      <c r="A710" s="25" t="s">
        <v>185</v>
      </c>
      <c r="B710" s="25">
        <f t="shared" si="24"/>
        <v>4650</v>
      </c>
      <c r="C710" s="25" t="s">
        <v>12</v>
      </c>
      <c r="D710" s="25">
        <v>0</v>
      </c>
      <c r="E710" s="25">
        <v>0</v>
      </c>
      <c r="F710" s="25">
        <v>256</v>
      </c>
      <c r="G710" s="25">
        <v>222</v>
      </c>
      <c r="H710" s="27">
        <v>0</v>
      </c>
      <c r="I710" s="27">
        <v>0</v>
      </c>
      <c r="J710" s="27">
        <v>0</v>
      </c>
      <c r="K710" s="27">
        <v>0</v>
      </c>
      <c r="L710" s="27">
        <v>1</v>
      </c>
      <c r="M710" s="27">
        <v>0</v>
      </c>
      <c r="N710" s="27">
        <v>0</v>
      </c>
      <c r="O710" s="27">
        <v>0</v>
      </c>
      <c r="P710" s="25">
        <v>700</v>
      </c>
      <c r="Q710" s="25">
        <v>560</v>
      </c>
      <c r="R710" s="25" t="s">
        <v>87</v>
      </c>
      <c r="S710" s="25" t="s">
        <v>89</v>
      </c>
      <c r="T710" s="25">
        <v>0</v>
      </c>
      <c r="U710" s="25">
        <v>0</v>
      </c>
      <c r="V710" s="25">
        <v>0</v>
      </c>
      <c r="W710" s="25">
        <v>0</v>
      </c>
      <c r="X710" s="25">
        <v>1</v>
      </c>
      <c r="Y710" s="25">
        <v>0</v>
      </c>
      <c r="Z710" s="25">
        <v>0</v>
      </c>
      <c r="AA710" s="25">
        <v>0</v>
      </c>
      <c r="AB710" s="25">
        <v>0</v>
      </c>
      <c r="AC710" s="25">
        <v>0</v>
      </c>
      <c r="AD710" s="25">
        <v>0</v>
      </c>
      <c r="AE710" s="25">
        <v>1</v>
      </c>
      <c r="AF710" s="25" t="s">
        <v>132</v>
      </c>
    </row>
    <row r="711" spans="1:32" s="25" customFormat="1" x14ac:dyDescent="0.25">
      <c r="A711" s="25" t="s">
        <v>185</v>
      </c>
      <c r="B711" s="25">
        <f t="shared" si="24"/>
        <v>4660</v>
      </c>
      <c r="C711" s="25" t="s">
        <v>12</v>
      </c>
      <c r="D711" s="25">
        <v>0</v>
      </c>
      <c r="E711" s="25">
        <v>0</v>
      </c>
      <c r="F711" s="25">
        <v>256</v>
      </c>
      <c r="G711" s="25">
        <v>222</v>
      </c>
      <c r="H711" s="27">
        <v>0</v>
      </c>
      <c r="I711" s="27">
        <v>0</v>
      </c>
      <c r="J711" s="27">
        <v>0</v>
      </c>
      <c r="K711" s="27">
        <v>0</v>
      </c>
      <c r="L711" s="27">
        <v>1</v>
      </c>
      <c r="M711" s="27">
        <v>0</v>
      </c>
      <c r="N711" s="27">
        <v>0</v>
      </c>
      <c r="O711" s="27">
        <v>0</v>
      </c>
      <c r="P711" s="25">
        <v>700</v>
      </c>
      <c r="Q711" s="25">
        <v>560</v>
      </c>
      <c r="R711" s="25" t="s">
        <v>87</v>
      </c>
      <c r="S711" s="25" t="s">
        <v>89</v>
      </c>
      <c r="T711" s="25">
        <v>0</v>
      </c>
      <c r="U711" s="25">
        <v>0</v>
      </c>
      <c r="V711" s="25">
        <v>0</v>
      </c>
      <c r="W711" s="25">
        <v>0</v>
      </c>
      <c r="X711" s="25">
        <v>1</v>
      </c>
      <c r="Y711" s="25">
        <v>0</v>
      </c>
      <c r="Z711" s="25">
        <v>0</v>
      </c>
      <c r="AA711" s="25">
        <v>0</v>
      </c>
      <c r="AB711" s="25">
        <v>0</v>
      </c>
      <c r="AC711" s="25">
        <v>0</v>
      </c>
      <c r="AD711" s="25">
        <v>0</v>
      </c>
      <c r="AE711" s="25">
        <v>1</v>
      </c>
      <c r="AF711" s="25" t="s">
        <v>132</v>
      </c>
    </row>
    <row r="712" spans="1:32" s="25" customFormat="1" x14ac:dyDescent="0.25">
      <c r="A712" s="25" t="s">
        <v>185</v>
      </c>
      <c r="B712" s="25">
        <f t="shared" si="24"/>
        <v>4670</v>
      </c>
      <c r="C712" s="25" t="s">
        <v>12</v>
      </c>
      <c r="D712" s="25">
        <v>0</v>
      </c>
      <c r="E712" s="25">
        <v>0</v>
      </c>
      <c r="F712" s="25">
        <v>256</v>
      </c>
      <c r="G712" s="25">
        <v>222</v>
      </c>
      <c r="H712" s="27">
        <v>0</v>
      </c>
      <c r="I712" s="27">
        <v>0</v>
      </c>
      <c r="J712" s="27">
        <v>0</v>
      </c>
      <c r="K712" s="27">
        <v>0</v>
      </c>
      <c r="L712" s="27">
        <v>1</v>
      </c>
      <c r="M712" s="27">
        <v>0</v>
      </c>
      <c r="N712" s="27">
        <v>0</v>
      </c>
      <c r="O712" s="27">
        <v>0</v>
      </c>
      <c r="P712" s="25">
        <v>700</v>
      </c>
      <c r="Q712" s="25">
        <v>560</v>
      </c>
      <c r="R712" s="25" t="s">
        <v>87</v>
      </c>
      <c r="S712" s="25" t="s">
        <v>89</v>
      </c>
      <c r="T712" s="25">
        <v>0</v>
      </c>
      <c r="U712" s="25">
        <v>0</v>
      </c>
      <c r="V712" s="25">
        <v>0</v>
      </c>
      <c r="W712" s="25">
        <v>0</v>
      </c>
      <c r="X712" s="25">
        <v>1</v>
      </c>
      <c r="Y712" s="25">
        <v>0</v>
      </c>
      <c r="Z712" s="25">
        <v>0</v>
      </c>
      <c r="AA712" s="25">
        <v>0</v>
      </c>
      <c r="AB712" s="25">
        <v>0</v>
      </c>
      <c r="AC712" s="25">
        <v>0</v>
      </c>
      <c r="AD712" s="25">
        <v>0</v>
      </c>
      <c r="AE712" s="25">
        <v>1</v>
      </c>
      <c r="AF712" s="25" t="s">
        <v>132</v>
      </c>
    </row>
    <row r="713" spans="1:32" s="25" customFormat="1" x14ac:dyDescent="0.25">
      <c r="A713" s="25" t="s">
        <v>185</v>
      </c>
      <c r="B713" s="25">
        <f t="shared" si="24"/>
        <v>4680</v>
      </c>
      <c r="C713" s="25" t="s">
        <v>12</v>
      </c>
      <c r="D713" s="25">
        <v>0</v>
      </c>
      <c r="E713" s="25">
        <v>0</v>
      </c>
      <c r="F713" s="25">
        <v>256</v>
      </c>
      <c r="G713" s="25">
        <v>222</v>
      </c>
      <c r="H713" s="27">
        <v>0</v>
      </c>
      <c r="I713" s="27">
        <v>0</v>
      </c>
      <c r="J713" s="27">
        <v>0</v>
      </c>
      <c r="K713" s="27">
        <v>0</v>
      </c>
      <c r="L713" s="27">
        <v>1</v>
      </c>
      <c r="M713" s="27">
        <v>0</v>
      </c>
      <c r="N713" s="27">
        <v>0</v>
      </c>
      <c r="O713" s="27">
        <v>0</v>
      </c>
      <c r="P713" s="25">
        <v>700</v>
      </c>
      <c r="Q713" s="25">
        <v>560</v>
      </c>
      <c r="R713" s="25" t="s">
        <v>87</v>
      </c>
      <c r="S713" s="25" t="s">
        <v>89</v>
      </c>
      <c r="T713" s="25">
        <v>0</v>
      </c>
      <c r="U713" s="25">
        <v>0</v>
      </c>
      <c r="V713" s="25">
        <v>0</v>
      </c>
      <c r="W713" s="25">
        <v>0</v>
      </c>
      <c r="X713" s="25">
        <v>1</v>
      </c>
      <c r="Y713" s="25">
        <v>0</v>
      </c>
      <c r="Z713" s="25">
        <v>0</v>
      </c>
      <c r="AA713" s="25">
        <v>0</v>
      </c>
      <c r="AB713" s="25">
        <v>0</v>
      </c>
      <c r="AC713" s="25">
        <v>0</v>
      </c>
      <c r="AD713" s="25">
        <v>0</v>
      </c>
      <c r="AE713" s="25">
        <v>1</v>
      </c>
      <c r="AF713" s="25" t="s">
        <v>132</v>
      </c>
    </row>
    <row r="714" spans="1:32" s="25" customFormat="1" x14ac:dyDescent="0.25">
      <c r="A714" s="25" t="s">
        <v>185</v>
      </c>
      <c r="B714" s="25">
        <f t="shared" si="24"/>
        <v>4690</v>
      </c>
      <c r="C714" s="25" t="s">
        <v>12</v>
      </c>
      <c r="D714" s="25">
        <v>0</v>
      </c>
      <c r="E714" s="25">
        <v>0</v>
      </c>
      <c r="F714" s="25">
        <v>256</v>
      </c>
      <c r="G714" s="25">
        <v>222</v>
      </c>
      <c r="H714" s="27">
        <v>0</v>
      </c>
      <c r="I714" s="27">
        <v>0</v>
      </c>
      <c r="J714" s="27">
        <v>0</v>
      </c>
      <c r="K714" s="27">
        <v>0</v>
      </c>
      <c r="L714" s="27">
        <v>1</v>
      </c>
      <c r="M714" s="27">
        <v>0</v>
      </c>
      <c r="N714" s="27">
        <v>0</v>
      </c>
      <c r="O714" s="27">
        <v>0</v>
      </c>
      <c r="P714" s="25">
        <v>700</v>
      </c>
      <c r="Q714" s="25">
        <v>560</v>
      </c>
      <c r="R714" s="25" t="s">
        <v>87</v>
      </c>
      <c r="S714" s="25" t="s">
        <v>89</v>
      </c>
      <c r="T714" s="25">
        <v>0</v>
      </c>
      <c r="U714" s="25">
        <v>0</v>
      </c>
      <c r="V714" s="25">
        <v>0</v>
      </c>
      <c r="W714" s="25">
        <v>0</v>
      </c>
      <c r="X714" s="25">
        <v>1</v>
      </c>
      <c r="Y714" s="25">
        <v>0</v>
      </c>
      <c r="Z714" s="25">
        <v>0</v>
      </c>
      <c r="AA714" s="25">
        <v>0</v>
      </c>
      <c r="AB714" s="25">
        <v>0</v>
      </c>
      <c r="AC714" s="25">
        <v>0</v>
      </c>
      <c r="AD714" s="25">
        <v>0</v>
      </c>
      <c r="AE714" s="25">
        <v>1</v>
      </c>
      <c r="AF714" s="25" t="s">
        <v>132</v>
      </c>
    </row>
    <row r="715" spans="1:32" s="25" customFormat="1" x14ac:dyDescent="0.25">
      <c r="A715" s="25" t="s">
        <v>185</v>
      </c>
      <c r="B715" s="25">
        <f t="shared" si="24"/>
        <v>4700</v>
      </c>
      <c r="C715" s="25" t="s">
        <v>12</v>
      </c>
      <c r="D715" s="25">
        <v>0</v>
      </c>
      <c r="E715" s="25">
        <v>0</v>
      </c>
      <c r="F715" s="25">
        <v>256</v>
      </c>
      <c r="G715" s="25">
        <v>222</v>
      </c>
      <c r="H715" s="27">
        <v>0</v>
      </c>
      <c r="I715" s="27">
        <v>0</v>
      </c>
      <c r="J715" s="27">
        <v>0</v>
      </c>
      <c r="K715" s="27">
        <v>0</v>
      </c>
      <c r="L715" s="27">
        <v>1</v>
      </c>
      <c r="M715" s="27">
        <v>0</v>
      </c>
      <c r="N715" s="27">
        <v>0</v>
      </c>
      <c r="O715" s="27">
        <v>0</v>
      </c>
      <c r="P715" s="25">
        <v>700</v>
      </c>
      <c r="Q715" s="25">
        <v>560</v>
      </c>
      <c r="R715" s="25" t="s">
        <v>87</v>
      </c>
      <c r="S715" s="25" t="s">
        <v>89</v>
      </c>
      <c r="T715" s="25">
        <v>0</v>
      </c>
      <c r="U715" s="25">
        <v>0</v>
      </c>
      <c r="V715" s="25">
        <v>0</v>
      </c>
      <c r="W715" s="25">
        <v>0</v>
      </c>
      <c r="X715" s="25">
        <v>1</v>
      </c>
      <c r="Y715" s="25">
        <v>0</v>
      </c>
      <c r="Z715" s="25">
        <v>0</v>
      </c>
      <c r="AA715" s="25">
        <v>0</v>
      </c>
      <c r="AB715" s="25">
        <v>0</v>
      </c>
      <c r="AC715" s="25">
        <v>0</v>
      </c>
      <c r="AD715" s="25">
        <v>0</v>
      </c>
      <c r="AE715" s="25">
        <v>1</v>
      </c>
      <c r="AF715" s="25" t="s">
        <v>132</v>
      </c>
    </row>
    <row r="716" spans="1:32" s="25" customFormat="1" x14ac:dyDescent="0.25">
      <c r="A716" s="25" t="s">
        <v>185</v>
      </c>
      <c r="B716" s="25">
        <f t="shared" si="24"/>
        <v>4710</v>
      </c>
      <c r="C716" s="25" t="s">
        <v>12</v>
      </c>
      <c r="D716" s="25">
        <v>0</v>
      </c>
      <c r="E716" s="25">
        <v>0</v>
      </c>
      <c r="F716" s="25">
        <v>256</v>
      </c>
      <c r="G716" s="25">
        <v>222</v>
      </c>
      <c r="H716" s="27">
        <v>0</v>
      </c>
      <c r="I716" s="27">
        <v>0</v>
      </c>
      <c r="J716" s="27">
        <v>0</v>
      </c>
      <c r="K716" s="27">
        <v>0</v>
      </c>
      <c r="L716" s="27">
        <v>1</v>
      </c>
      <c r="M716" s="27">
        <v>0</v>
      </c>
      <c r="N716" s="27">
        <v>0</v>
      </c>
      <c r="O716" s="27">
        <v>0</v>
      </c>
      <c r="P716" s="25">
        <v>700</v>
      </c>
      <c r="Q716" s="25">
        <v>560</v>
      </c>
      <c r="R716" s="25" t="s">
        <v>87</v>
      </c>
      <c r="S716" s="25" t="s">
        <v>89</v>
      </c>
      <c r="T716" s="25">
        <v>0</v>
      </c>
      <c r="U716" s="25">
        <v>0</v>
      </c>
      <c r="V716" s="25">
        <v>0</v>
      </c>
      <c r="W716" s="25">
        <v>0</v>
      </c>
      <c r="X716" s="25">
        <v>1</v>
      </c>
      <c r="Y716" s="25">
        <v>0</v>
      </c>
      <c r="Z716" s="25">
        <v>0</v>
      </c>
      <c r="AA716" s="25">
        <v>0</v>
      </c>
      <c r="AB716" s="25">
        <v>0</v>
      </c>
      <c r="AC716" s="25">
        <v>0</v>
      </c>
      <c r="AD716" s="25">
        <v>0</v>
      </c>
      <c r="AE716" s="25">
        <v>1</v>
      </c>
      <c r="AF716" s="25" t="s">
        <v>132</v>
      </c>
    </row>
    <row r="717" spans="1:32" s="25" customFormat="1" x14ac:dyDescent="0.25">
      <c r="A717" s="25" t="s">
        <v>185</v>
      </c>
      <c r="B717" s="25">
        <f t="shared" si="24"/>
        <v>4720</v>
      </c>
      <c r="C717" s="25" t="s">
        <v>12</v>
      </c>
      <c r="D717" s="25">
        <v>0</v>
      </c>
      <c r="E717" s="25">
        <v>0</v>
      </c>
      <c r="F717" s="25">
        <v>256</v>
      </c>
      <c r="G717" s="25">
        <v>222</v>
      </c>
      <c r="H717" s="27">
        <v>0</v>
      </c>
      <c r="I717" s="27">
        <v>0</v>
      </c>
      <c r="J717" s="27">
        <v>0</v>
      </c>
      <c r="K717" s="27">
        <v>0</v>
      </c>
      <c r="L717" s="27">
        <v>1</v>
      </c>
      <c r="M717" s="27">
        <v>0</v>
      </c>
      <c r="N717" s="27">
        <v>0</v>
      </c>
      <c r="O717" s="27">
        <v>0</v>
      </c>
      <c r="P717" s="25">
        <v>700</v>
      </c>
      <c r="Q717" s="25">
        <v>560</v>
      </c>
      <c r="R717" s="25" t="s">
        <v>87</v>
      </c>
      <c r="S717" s="25" t="s">
        <v>89</v>
      </c>
      <c r="T717" s="25">
        <v>0</v>
      </c>
      <c r="U717" s="25">
        <v>0</v>
      </c>
      <c r="V717" s="25">
        <v>0</v>
      </c>
      <c r="W717" s="25">
        <v>0</v>
      </c>
      <c r="X717" s="25">
        <v>1</v>
      </c>
      <c r="Y717" s="25">
        <v>0</v>
      </c>
      <c r="Z717" s="25">
        <v>0</v>
      </c>
      <c r="AA717" s="25">
        <v>0</v>
      </c>
      <c r="AB717" s="25">
        <v>0</v>
      </c>
      <c r="AC717" s="25">
        <v>0</v>
      </c>
      <c r="AD717" s="25">
        <v>0</v>
      </c>
      <c r="AE717" s="25">
        <v>1</v>
      </c>
      <c r="AF717" s="25" t="s">
        <v>132</v>
      </c>
    </row>
    <row r="718" spans="1:32" s="25" customFormat="1" x14ac:dyDescent="0.25">
      <c r="A718" s="25" t="s">
        <v>185</v>
      </c>
      <c r="B718" s="25">
        <f t="shared" si="24"/>
        <v>4730</v>
      </c>
      <c r="C718" s="25" t="s">
        <v>12</v>
      </c>
      <c r="D718" s="25">
        <v>0</v>
      </c>
      <c r="E718" s="25">
        <v>0</v>
      </c>
      <c r="F718" s="25">
        <v>256</v>
      </c>
      <c r="G718" s="25">
        <v>222</v>
      </c>
      <c r="H718" s="27">
        <v>0</v>
      </c>
      <c r="I718" s="27">
        <v>0</v>
      </c>
      <c r="J718" s="27">
        <v>0</v>
      </c>
      <c r="K718" s="27">
        <v>0</v>
      </c>
      <c r="L718" s="27">
        <v>1</v>
      </c>
      <c r="M718" s="27">
        <v>0</v>
      </c>
      <c r="N718" s="27">
        <v>0</v>
      </c>
      <c r="O718" s="27">
        <v>0</v>
      </c>
      <c r="P718" s="25">
        <v>700</v>
      </c>
      <c r="Q718" s="25">
        <v>560</v>
      </c>
      <c r="R718" s="25" t="s">
        <v>87</v>
      </c>
      <c r="S718" s="25" t="s">
        <v>89</v>
      </c>
      <c r="T718" s="25">
        <v>0</v>
      </c>
      <c r="U718" s="25">
        <v>0</v>
      </c>
      <c r="V718" s="25">
        <v>0</v>
      </c>
      <c r="W718" s="25">
        <v>0</v>
      </c>
      <c r="X718" s="25">
        <v>1</v>
      </c>
      <c r="Y718" s="25">
        <v>0</v>
      </c>
      <c r="Z718" s="25">
        <v>0</v>
      </c>
      <c r="AA718" s="25">
        <v>0</v>
      </c>
      <c r="AB718" s="25">
        <v>0</v>
      </c>
      <c r="AC718" s="25">
        <v>0</v>
      </c>
      <c r="AD718" s="25">
        <v>0</v>
      </c>
      <c r="AE718" s="25">
        <v>1</v>
      </c>
      <c r="AF718" s="25" t="s">
        <v>132</v>
      </c>
    </row>
    <row r="719" spans="1:32" s="25" customFormat="1" x14ac:dyDescent="0.25">
      <c r="A719" s="25" t="s">
        <v>185</v>
      </c>
      <c r="B719" s="25">
        <f t="shared" si="24"/>
        <v>4740</v>
      </c>
      <c r="C719" s="25" t="s">
        <v>12</v>
      </c>
      <c r="D719" s="25">
        <v>0</v>
      </c>
      <c r="E719" s="25">
        <v>0</v>
      </c>
      <c r="F719" s="25">
        <v>256</v>
      </c>
      <c r="G719" s="25">
        <v>222</v>
      </c>
      <c r="H719" s="27">
        <v>0</v>
      </c>
      <c r="I719" s="27">
        <v>0</v>
      </c>
      <c r="J719" s="27">
        <v>0</v>
      </c>
      <c r="K719" s="27">
        <v>0</v>
      </c>
      <c r="L719" s="27">
        <v>1</v>
      </c>
      <c r="M719" s="27">
        <v>0</v>
      </c>
      <c r="N719" s="27">
        <v>0</v>
      </c>
      <c r="O719" s="27">
        <v>0</v>
      </c>
      <c r="P719" s="25">
        <v>700</v>
      </c>
      <c r="Q719" s="25">
        <v>560</v>
      </c>
      <c r="R719" s="25" t="s">
        <v>87</v>
      </c>
      <c r="S719" s="25" t="s">
        <v>89</v>
      </c>
      <c r="T719" s="25">
        <v>0</v>
      </c>
      <c r="U719" s="25">
        <v>0</v>
      </c>
      <c r="V719" s="25">
        <v>0</v>
      </c>
      <c r="W719" s="25">
        <v>0</v>
      </c>
      <c r="X719" s="25">
        <v>1</v>
      </c>
      <c r="Y719" s="25">
        <v>0</v>
      </c>
      <c r="Z719" s="25">
        <v>0</v>
      </c>
      <c r="AA719" s="25">
        <v>0</v>
      </c>
      <c r="AB719" s="25">
        <v>0</v>
      </c>
      <c r="AC719" s="25">
        <v>0</v>
      </c>
      <c r="AD719" s="25">
        <v>0</v>
      </c>
      <c r="AE719" s="25">
        <v>1</v>
      </c>
      <c r="AF719" s="25" t="s">
        <v>132</v>
      </c>
    </row>
    <row r="720" spans="1:32" s="25" customFormat="1" x14ac:dyDescent="0.25">
      <c r="A720" s="25" t="s">
        <v>185</v>
      </c>
      <c r="B720" s="25">
        <f t="shared" si="24"/>
        <v>4750</v>
      </c>
      <c r="C720" s="25" t="s">
        <v>12</v>
      </c>
      <c r="D720" s="25">
        <v>0</v>
      </c>
      <c r="E720" s="25">
        <v>0</v>
      </c>
      <c r="F720" s="25">
        <v>256</v>
      </c>
      <c r="G720" s="25">
        <v>222</v>
      </c>
      <c r="H720" s="27">
        <v>0</v>
      </c>
      <c r="I720" s="27">
        <v>0</v>
      </c>
      <c r="J720" s="27">
        <v>0</v>
      </c>
      <c r="K720" s="27">
        <v>0</v>
      </c>
      <c r="L720" s="27">
        <v>1</v>
      </c>
      <c r="M720" s="27">
        <v>0</v>
      </c>
      <c r="N720" s="27">
        <v>0</v>
      </c>
      <c r="O720" s="27">
        <v>0</v>
      </c>
      <c r="P720" s="25">
        <v>700</v>
      </c>
      <c r="Q720" s="25">
        <v>560</v>
      </c>
      <c r="R720" s="25" t="s">
        <v>87</v>
      </c>
      <c r="S720" s="25" t="s">
        <v>89</v>
      </c>
      <c r="T720" s="25">
        <v>0</v>
      </c>
      <c r="U720" s="25">
        <v>0</v>
      </c>
      <c r="V720" s="25">
        <v>0</v>
      </c>
      <c r="W720" s="25">
        <v>0</v>
      </c>
      <c r="X720" s="25">
        <v>1</v>
      </c>
      <c r="Y720" s="25">
        <v>0</v>
      </c>
      <c r="Z720" s="25">
        <v>0</v>
      </c>
      <c r="AA720" s="25">
        <v>0</v>
      </c>
      <c r="AB720" s="25">
        <v>0</v>
      </c>
      <c r="AC720" s="25">
        <v>0</v>
      </c>
      <c r="AD720" s="25">
        <v>0</v>
      </c>
      <c r="AE720" s="25">
        <v>1</v>
      </c>
      <c r="AF720" s="25" t="s">
        <v>132</v>
      </c>
    </row>
    <row r="721" spans="1:32" s="25" customFormat="1" x14ac:dyDescent="0.25">
      <c r="A721" s="25" t="s">
        <v>185</v>
      </c>
      <c r="B721" s="25">
        <f t="shared" si="24"/>
        <v>4760</v>
      </c>
      <c r="C721" s="25" t="s">
        <v>12</v>
      </c>
      <c r="D721" s="25">
        <v>0</v>
      </c>
      <c r="E721" s="25">
        <v>0</v>
      </c>
      <c r="F721" s="25">
        <v>256</v>
      </c>
      <c r="G721" s="25">
        <v>222</v>
      </c>
      <c r="H721" s="27">
        <v>0</v>
      </c>
      <c r="I721" s="27">
        <v>0</v>
      </c>
      <c r="J721" s="27">
        <v>0</v>
      </c>
      <c r="K721" s="27">
        <v>0</v>
      </c>
      <c r="L721" s="27">
        <v>1</v>
      </c>
      <c r="M721" s="27">
        <v>0</v>
      </c>
      <c r="N721" s="27">
        <v>0</v>
      </c>
      <c r="O721" s="27">
        <v>0</v>
      </c>
      <c r="P721" s="25">
        <v>700</v>
      </c>
      <c r="Q721" s="25">
        <v>560</v>
      </c>
      <c r="R721" s="25" t="s">
        <v>87</v>
      </c>
      <c r="S721" s="25" t="s">
        <v>89</v>
      </c>
      <c r="T721" s="25">
        <v>0</v>
      </c>
      <c r="U721" s="25">
        <v>0</v>
      </c>
      <c r="V721" s="25">
        <v>0</v>
      </c>
      <c r="W721" s="25">
        <v>0</v>
      </c>
      <c r="X721" s="25">
        <v>1</v>
      </c>
      <c r="Y721" s="25">
        <v>0</v>
      </c>
      <c r="Z721" s="25">
        <v>0</v>
      </c>
      <c r="AA721" s="25">
        <v>0</v>
      </c>
      <c r="AB721" s="25">
        <v>0</v>
      </c>
      <c r="AC721" s="25">
        <v>0</v>
      </c>
      <c r="AD721" s="25">
        <v>0</v>
      </c>
      <c r="AE721" s="25">
        <v>1</v>
      </c>
      <c r="AF721" s="25" t="s">
        <v>132</v>
      </c>
    </row>
    <row r="722" spans="1:32" s="25" customFormat="1" x14ac:dyDescent="0.25">
      <c r="A722" s="25" t="s">
        <v>185</v>
      </c>
      <c r="B722" s="25">
        <f t="shared" si="24"/>
        <v>4770</v>
      </c>
      <c r="C722" s="25" t="s">
        <v>12</v>
      </c>
      <c r="D722" s="25">
        <v>0</v>
      </c>
      <c r="E722" s="25">
        <v>0</v>
      </c>
      <c r="F722" s="25">
        <v>256</v>
      </c>
      <c r="G722" s="25">
        <v>222</v>
      </c>
      <c r="H722" s="27">
        <v>0</v>
      </c>
      <c r="I722" s="27">
        <v>0</v>
      </c>
      <c r="J722" s="27">
        <v>0</v>
      </c>
      <c r="K722" s="27">
        <v>0</v>
      </c>
      <c r="L722" s="27">
        <v>1</v>
      </c>
      <c r="M722" s="27">
        <v>0</v>
      </c>
      <c r="N722" s="27">
        <v>0</v>
      </c>
      <c r="O722" s="27">
        <v>0</v>
      </c>
      <c r="P722" s="25">
        <v>700</v>
      </c>
      <c r="Q722" s="25">
        <v>560</v>
      </c>
      <c r="R722" s="25" t="s">
        <v>87</v>
      </c>
      <c r="S722" s="25" t="s">
        <v>89</v>
      </c>
      <c r="T722" s="25">
        <v>0</v>
      </c>
      <c r="U722" s="25">
        <v>0</v>
      </c>
      <c r="V722" s="25">
        <v>0</v>
      </c>
      <c r="W722" s="25">
        <v>0</v>
      </c>
      <c r="X722" s="25">
        <v>1</v>
      </c>
      <c r="Y722" s="25">
        <v>0</v>
      </c>
      <c r="Z722" s="25">
        <v>0</v>
      </c>
      <c r="AA722" s="25">
        <v>0</v>
      </c>
      <c r="AB722" s="25">
        <v>0</v>
      </c>
      <c r="AC722" s="25">
        <v>0</v>
      </c>
      <c r="AD722" s="25">
        <v>0</v>
      </c>
      <c r="AE722" s="25">
        <v>1</v>
      </c>
      <c r="AF722" s="25" t="s">
        <v>132</v>
      </c>
    </row>
    <row r="723" spans="1:32" s="25" customFormat="1" x14ac:dyDescent="0.25">
      <c r="A723" s="25" t="s">
        <v>185</v>
      </c>
      <c r="B723" s="25">
        <f t="shared" si="24"/>
        <v>4780</v>
      </c>
      <c r="C723" s="25" t="s">
        <v>12</v>
      </c>
      <c r="D723" s="25">
        <v>0</v>
      </c>
      <c r="E723" s="25">
        <v>0</v>
      </c>
      <c r="F723" s="25">
        <v>256</v>
      </c>
      <c r="G723" s="25">
        <v>222</v>
      </c>
      <c r="H723" s="27">
        <v>0</v>
      </c>
      <c r="I723" s="27">
        <v>0</v>
      </c>
      <c r="J723" s="27">
        <v>0</v>
      </c>
      <c r="K723" s="27">
        <v>0</v>
      </c>
      <c r="L723" s="27">
        <v>1</v>
      </c>
      <c r="M723" s="27">
        <v>0</v>
      </c>
      <c r="N723" s="27">
        <v>0</v>
      </c>
      <c r="O723" s="27">
        <v>0</v>
      </c>
      <c r="P723" s="25">
        <v>700</v>
      </c>
      <c r="Q723" s="25">
        <v>560</v>
      </c>
      <c r="R723" s="25" t="s">
        <v>87</v>
      </c>
      <c r="S723" s="25" t="s">
        <v>89</v>
      </c>
      <c r="T723" s="25">
        <v>0</v>
      </c>
      <c r="U723" s="25">
        <v>0</v>
      </c>
      <c r="V723" s="25">
        <v>0</v>
      </c>
      <c r="W723" s="25">
        <v>0</v>
      </c>
      <c r="X723" s="25">
        <v>1</v>
      </c>
      <c r="Y723" s="25">
        <v>0</v>
      </c>
      <c r="Z723" s="25">
        <v>0</v>
      </c>
      <c r="AA723" s="25">
        <v>0</v>
      </c>
      <c r="AB723" s="25">
        <v>0</v>
      </c>
      <c r="AC723" s="25">
        <v>0</v>
      </c>
      <c r="AD723" s="25">
        <v>0</v>
      </c>
      <c r="AE723" s="25">
        <v>1</v>
      </c>
      <c r="AF723" s="25" t="s">
        <v>132</v>
      </c>
    </row>
    <row r="724" spans="1:32" s="25" customFormat="1" x14ac:dyDescent="0.25">
      <c r="A724" s="25" t="s">
        <v>185</v>
      </c>
      <c r="B724" s="25">
        <f t="shared" si="24"/>
        <v>4790</v>
      </c>
      <c r="C724" s="25" t="s">
        <v>12</v>
      </c>
      <c r="D724" s="25">
        <v>0</v>
      </c>
      <c r="E724" s="25">
        <v>0</v>
      </c>
      <c r="F724" s="25">
        <v>256</v>
      </c>
      <c r="G724" s="25">
        <v>222</v>
      </c>
      <c r="H724" s="27">
        <v>0</v>
      </c>
      <c r="I724" s="27">
        <v>0</v>
      </c>
      <c r="J724" s="27">
        <v>0</v>
      </c>
      <c r="K724" s="27">
        <v>0</v>
      </c>
      <c r="L724" s="27">
        <v>1</v>
      </c>
      <c r="M724" s="27">
        <v>0</v>
      </c>
      <c r="N724" s="27">
        <v>0</v>
      </c>
      <c r="O724" s="27">
        <v>0</v>
      </c>
      <c r="P724" s="25">
        <v>700</v>
      </c>
      <c r="Q724" s="25">
        <v>560</v>
      </c>
      <c r="R724" s="25" t="s">
        <v>87</v>
      </c>
      <c r="S724" s="25" t="s">
        <v>89</v>
      </c>
      <c r="T724" s="25">
        <v>0</v>
      </c>
      <c r="U724" s="25">
        <v>0</v>
      </c>
      <c r="V724" s="25">
        <v>0</v>
      </c>
      <c r="W724" s="25">
        <v>0</v>
      </c>
      <c r="X724" s="25">
        <v>1</v>
      </c>
      <c r="Y724" s="25">
        <v>0</v>
      </c>
      <c r="Z724" s="25">
        <v>0</v>
      </c>
      <c r="AA724" s="25">
        <v>0</v>
      </c>
      <c r="AB724" s="25">
        <v>0</v>
      </c>
      <c r="AC724" s="25">
        <v>0</v>
      </c>
      <c r="AD724" s="25">
        <v>0</v>
      </c>
      <c r="AE724" s="25">
        <v>1</v>
      </c>
      <c r="AF724" s="25" t="s">
        <v>132</v>
      </c>
    </row>
    <row r="725" spans="1:32" s="25" customFormat="1" x14ac:dyDescent="0.25">
      <c r="A725" s="25" t="s">
        <v>185</v>
      </c>
      <c r="B725" s="25">
        <f t="shared" si="24"/>
        <v>4800</v>
      </c>
      <c r="C725" s="25" t="s">
        <v>12</v>
      </c>
      <c r="D725" s="25">
        <v>0</v>
      </c>
      <c r="E725" s="25">
        <v>0</v>
      </c>
      <c r="F725" s="25">
        <v>256</v>
      </c>
      <c r="G725" s="25">
        <v>222</v>
      </c>
      <c r="H725" s="27">
        <v>0</v>
      </c>
      <c r="I725" s="27">
        <v>0</v>
      </c>
      <c r="J725" s="27">
        <v>0</v>
      </c>
      <c r="K725" s="27">
        <v>0</v>
      </c>
      <c r="L725" s="27">
        <v>1</v>
      </c>
      <c r="M725" s="27">
        <v>0</v>
      </c>
      <c r="N725" s="27">
        <v>0</v>
      </c>
      <c r="O725" s="27">
        <v>0</v>
      </c>
      <c r="P725" s="25">
        <v>700</v>
      </c>
      <c r="Q725" s="25">
        <v>560</v>
      </c>
      <c r="R725" s="25" t="s">
        <v>87</v>
      </c>
      <c r="S725" s="25" t="s">
        <v>89</v>
      </c>
      <c r="T725" s="25">
        <v>0</v>
      </c>
      <c r="U725" s="25">
        <v>0</v>
      </c>
      <c r="V725" s="25">
        <v>0</v>
      </c>
      <c r="W725" s="25">
        <v>0</v>
      </c>
      <c r="X725" s="25">
        <v>1</v>
      </c>
      <c r="Y725" s="25">
        <v>0</v>
      </c>
      <c r="Z725" s="25">
        <v>0</v>
      </c>
      <c r="AA725" s="25">
        <v>0</v>
      </c>
      <c r="AB725" s="25">
        <v>0</v>
      </c>
      <c r="AC725" s="25">
        <v>0</v>
      </c>
      <c r="AD725" s="25">
        <v>0</v>
      </c>
      <c r="AE725" s="25">
        <v>1</v>
      </c>
      <c r="AF725" s="25" t="s">
        <v>132</v>
      </c>
    </row>
    <row r="726" spans="1:32" s="25" customFormat="1" x14ac:dyDescent="0.25">
      <c r="A726" s="25" t="s">
        <v>185</v>
      </c>
      <c r="B726" s="25">
        <f t="shared" si="24"/>
        <v>4810</v>
      </c>
      <c r="C726" s="25" t="s">
        <v>12</v>
      </c>
      <c r="D726" s="25">
        <v>0</v>
      </c>
      <c r="E726" s="25">
        <v>0</v>
      </c>
      <c r="F726" s="25">
        <v>256</v>
      </c>
      <c r="G726" s="25">
        <v>222</v>
      </c>
      <c r="H726" s="27">
        <v>0</v>
      </c>
      <c r="I726" s="27">
        <v>0</v>
      </c>
      <c r="J726" s="27">
        <v>0</v>
      </c>
      <c r="K726" s="27">
        <v>0</v>
      </c>
      <c r="L726" s="27">
        <v>1</v>
      </c>
      <c r="M726" s="27">
        <v>0</v>
      </c>
      <c r="N726" s="27">
        <v>0</v>
      </c>
      <c r="O726" s="27">
        <v>0</v>
      </c>
      <c r="P726" s="25">
        <v>700</v>
      </c>
      <c r="Q726" s="25">
        <v>560</v>
      </c>
      <c r="R726" s="25" t="s">
        <v>87</v>
      </c>
      <c r="S726" s="25" t="s">
        <v>89</v>
      </c>
      <c r="T726" s="25">
        <v>0</v>
      </c>
      <c r="U726" s="25">
        <v>0</v>
      </c>
      <c r="V726" s="25">
        <v>0</v>
      </c>
      <c r="W726" s="25">
        <v>0</v>
      </c>
      <c r="X726" s="25">
        <v>1</v>
      </c>
      <c r="Y726" s="25">
        <v>0</v>
      </c>
      <c r="Z726" s="25">
        <v>0</v>
      </c>
      <c r="AA726" s="25">
        <v>0</v>
      </c>
      <c r="AB726" s="25">
        <v>0</v>
      </c>
      <c r="AC726" s="25">
        <v>0</v>
      </c>
      <c r="AD726" s="25">
        <v>0</v>
      </c>
      <c r="AE726" s="25">
        <v>1</v>
      </c>
      <c r="AF726" s="25" t="s">
        <v>132</v>
      </c>
    </row>
    <row r="727" spans="1:32" s="25" customFormat="1" x14ac:dyDescent="0.25">
      <c r="A727" s="25" t="s">
        <v>185</v>
      </c>
      <c r="B727" s="25">
        <f t="shared" si="24"/>
        <v>4820</v>
      </c>
      <c r="C727" s="25" t="s">
        <v>12</v>
      </c>
      <c r="D727" s="25">
        <v>0</v>
      </c>
      <c r="E727" s="25">
        <v>0</v>
      </c>
      <c r="F727" s="25">
        <v>256</v>
      </c>
      <c r="G727" s="25">
        <v>222</v>
      </c>
      <c r="H727" s="27">
        <v>0</v>
      </c>
      <c r="I727" s="27">
        <v>0</v>
      </c>
      <c r="J727" s="27">
        <v>0</v>
      </c>
      <c r="K727" s="27">
        <v>0</v>
      </c>
      <c r="L727" s="27">
        <v>1</v>
      </c>
      <c r="M727" s="27">
        <v>0</v>
      </c>
      <c r="N727" s="27">
        <v>0</v>
      </c>
      <c r="O727" s="27">
        <v>0</v>
      </c>
      <c r="P727" s="25">
        <v>700</v>
      </c>
      <c r="Q727" s="25">
        <v>560</v>
      </c>
      <c r="R727" s="25" t="s">
        <v>87</v>
      </c>
      <c r="S727" s="25" t="s">
        <v>89</v>
      </c>
      <c r="T727" s="25">
        <v>0</v>
      </c>
      <c r="U727" s="25">
        <v>0</v>
      </c>
      <c r="V727" s="25">
        <v>0</v>
      </c>
      <c r="W727" s="25">
        <v>0</v>
      </c>
      <c r="X727" s="25">
        <v>1</v>
      </c>
      <c r="Y727" s="25">
        <v>0</v>
      </c>
      <c r="Z727" s="25">
        <v>0</v>
      </c>
      <c r="AA727" s="25">
        <v>0</v>
      </c>
      <c r="AB727" s="25">
        <v>0</v>
      </c>
      <c r="AC727" s="25">
        <v>0</v>
      </c>
      <c r="AD727" s="25">
        <v>0</v>
      </c>
      <c r="AE727" s="25">
        <v>1</v>
      </c>
      <c r="AF727" s="25" t="s">
        <v>132</v>
      </c>
    </row>
    <row r="728" spans="1:32" s="25" customFormat="1" x14ac:dyDescent="0.25">
      <c r="A728" s="25" t="s">
        <v>185</v>
      </c>
      <c r="B728" s="25">
        <f t="shared" si="24"/>
        <v>4830</v>
      </c>
      <c r="C728" s="25" t="s">
        <v>12</v>
      </c>
      <c r="D728" s="25">
        <v>0</v>
      </c>
      <c r="E728" s="25">
        <v>0</v>
      </c>
      <c r="F728" s="25">
        <v>256</v>
      </c>
      <c r="G728" s="25">
        <v>222</v>
      </c>
      <c r="H728" s="27">
        <v>0</v>
      </c>
      <c r="I728" s="27">
        <v>0</v>
      </c>
      <c r="J728" s="27">
        <v>0</v>
      </c>
      <c r="K728" s="27">
        <v>0</v>
      </c>
      <c r="L728" s="27">
        <v>1</v>
      </c>
      <c r="M728" s="27">
        <v>0</v>
      </c>
      <c r="N728" s="27">
        <v>0</v>
      </c>
      <c r="O728" s="27">
        <v>0</v>
      </c>
      <c r="P728" s="25">
        <v>700</v>
      </c>
      <c r="Q728" s="25">
        <v>560</v>
      </c>
      <c r="R728" s="25" t="s">
        <v>87</v>
      </c>
      <c r="S728" s="25" t="s">
        <v>89</v>
      </c>
      <c r="T728" s="25">
        <v>0</v>
      </c>
      <c r="U728" s="25">
        <v>0</v>
      </c>
      <c r="V728" s="25">
        <v>0</v>
      </c>
      <c r="W728" s="25">
        <v>0</v>
      </c>
      <c r="X728" s="25">
        <v>1</v>
      </c>
      <c r="Y728" s="25">
        <v>0</v>
      </c>
      <c r="Z728" s="25">
        <v>0</v>
      </c>
      <c r="AA728" s="25">
        <v>0</v>
      </c>
      <c r="AB728" s="25">
        <v>0</v>
      </c>
      <c r="AC728" s="25">
        <v>0</v>
      </c>
      <c r="AD728" s="25">
        <v>0</v>
      </c>
      <c r="AE728" s="25">
        <v>1</v>
      </c>
      <c r="AF728" s="25" t="s">
        <v>132</v>
      </c>
    </row>
    <row r="729" spans="1:32" s="25" customFormat="1" x14ac:dyDescent="0.25">
      <c r="A729" s="25" t="s">
        <v>185</v>
      </c>
      <c r="B729" s="25">
        <f t="shared" si="24"/>
        <v>4840</v>
      </c>
      <c r="C729" s="25" t="s">
        <v>12</v>
      </c>
      <c r="D729" s="25">
        <v>0</v>
      </c>
      <c r="E729" s="25">
        <v>0</v>
      </c>
      <c r="F729" s="25">
        <v>256</v>
      </c>
      <c r="G729" s="25">
        <v>222</v>
      </c>
      <c r="H729" s="27">
        <v>0</v>
      </c>
      <c r="I729" s="27">
        <v>0</v>
      </c>
      <c r="J729" s="27">
        <v>0</v>
      </c>
      <c r="K729" s="27">
        <v>0</v>
      </c>
      <c r="L729" s="27">
        <v>1</v>
      </c>
      <c r="M729" s="27">
        <v>0</v>
      </c>
      <c r="N729" s="27">
        <v>0</v>
      </c>
      <c r="O729" s="27">
        <v>0</v>
      </c>
      <c r="P729" s="25">
        <v>700</v>
      </c>
      <c r="Q729" s="25">
        <v>560</v>
      </c>
      <c r="R729" s="25" t="s">
        <v>87</v>
      </c>
      <c r="S729" s="25" t="s">
        <v>89</v>
      </c>
      <c r="T729" s="25">
        <v>0</v>
      </c>
      <c r="U729" s="25">
        <v>0</v>
      </c>
      <c r="V729" s="25">
        <v>0</v>
      </c>
      <c r="W729" s="25">
        <v>0</v>
      </c>
      <c r="X729" s="25">
        <v>1</v>
      </c>
      <c r="Y729" s="25">
        <v>0</v>
      </c>
      <c r="Z729" s="25">
        <v>0</v>
      </c>
      <c r="AA729" s="25">
        <v>0</v>
      </c>
      <c r="AB729" s="25">
        <v>0</v>
      </c>
      <c r="AC729" s="25">
        <v>0</v>
      </c>
      <c r="AD729" s="25">
        <v>0</v>
      </c>
      <c r="AE729" s="25">
        <v>1</v>
      </c>
      <c r="AF729" s="25" t="s">
        <v>132</v>
      </c>
    </row>
    <row r="730" spans="1:32" s="25" customFormat="1" x14ac:dyDescent="0.25">
      <c r="A730" s="25" t="s">
        <v>185</v>
      </c>
      <c r="B730" s="25">
        <f t="shared" si="24"/>
        <v>4850</v>
      </c>
      <c r="C730" s="25" t="s">
        <v>12</v>
      </c>
      <c r="D730" s="25">
        <v>0</v>
      </c>
      <c r="E730" s="25">
        <v>0</v>
      </c>
      <c r="F730" s="25">
        <v>256</v>
      </c>
      <c r="G730" s="25">
        <v>222</v>
      </c>
      <c r="H730" s="27">
        <v>0</v>
      </c>
      <c r="I730" s="27">
        <v>0</v>
      </c>
      <c r="J730" s="27">
        <v>0</v>
      </c>
      <c r="K730" s="27">
        <v>0</v>
      </c>
      <c r="L730" s="27">
        <v>1</v>
      </c>
      <c r="M730" s="27">
        <v>0</v>
      </c>
      <c r="N730" s="27">
        <v>0</v>
      </c>
      <c r="O730" s="27">
        <v>0</v>
      </c>
      <c r="P730" s="25">
        <v>700</v>
      </c>
      <c r="Q730" s="25">
        <v>560</v>
      </c>
      <c r="R730" s="25" t="s">
        <v>87</v>
      </c>
      <c r="S730" s="25" t="s">
        <v>89</v>
      </c>
      <c r="T730" s="25">
        <v>0</v>
      </c>
      <c r="U730" s="25">
        <v>0</v>
      </c>
      <c r="V730" s="25">
        <v>0</v>
      </c>
      <c r="W730" s="25">
        <v>0</v>
      </c>
      <c r="X730" s="25">
        <v>1</v>
      </c>
      <c r="Y730" s="25">
        <v>0</v>
      </c>
      <c r="Z730" s="25">
        <v>0</v>
      </c>
      <c r="AA730" s="25">
        <v>0</v>
      </c>
      <c r="AB730" s="25">
        <v>0</v>
      </c>
      <c r="AC730" s="25">
        <v>0</v>
      </c>
      <c r="AD730" s="25">
        <v>0</v>
      </c>
      <c r="AE730" s="25">
        <v>1</v>
      </c>
      <c r="AF730" s="25" t="s">
        <v>132</v>
      </c>
    </row>
    <row r="731" spans="1:32" s="25" customFormat="1" x14ac:dyDescent="0.25">
      <c r="A731" s="25" t="s">
        <v>185</v>
      </c>
      <c r="B731" s="25">
        <f t="shared" si="24"/>
        <v>4860</v>
      </c>
      <c r="C731" s="25" t="s">
        <v>12</v>
      </c>
      <c r="D731" s="25">
        <v>0</v>
      </c>
      <c r="E731" s="25">
        <v>0</v>
      </c>
      <c r="F731" s="25">
        <v>256</v>
      </c>
      <c r="G731" s="25">
        <v>222</v>
      </c>
      <c r="H731" s="27">
        <v>0</v>
      </c>
      <c r="I731" s="27">
        <v>0</v>
      </c>
      <c r="J731" s="27">
        <v>0</v>
      </c>
      <c r="K731" s="27">
        <v>0</v>
      </c>
      <c r="L731" s="27">
        <v>1</v>
      </c>
      <c r="M731" s="27">
        <v>0</v>
      </c>
      <c r="N731" s="27">
        <v>0</v>
      </c>
      <c r="O731" s="27">
        <v>0</v>
      </c>
      <c r="P731" s="25">
        <v>700</v>
      </c>
      <c r="Q731" s="25">
        <v>560</v>
      </c>
      <c r="R731" s="25" t="s">
        <v>87</v>
      </c>
      <c r="S731" s="25" t="s">
        <v>89</v>
      </c>
      <c r="T731" s="25">
        <v>0</v>
      </c>
      <c r="U731" s="25">
        <v>0</v>
      </c>
      <c r="V731" s="25">
        <v>0</v>
      </c>
      <c r="W731" s="25">
        <v>0</v>
      </c>
      <c r="X731" s="25">
        <v>1</v>
      </c>
      <c r="Y731" s="25">
        <v>0</v>
      </c>
      <c r="Z731" s="25">
        <v>0</v>
      </c>
      <c r="AA731" s="25">
        <v>0</v>
      </c>
      <c r="AB731" s="25">
        <v>0</v>
      </c>
      <c r="AC731" s="25">
        <v>0</v>
      </c>
      <c r="AD731" s="25">
        <v>0</v>
      </c>
      <c r="AE731" s="25">
        <v>1</v>
      </c>
      <c r="AF731" s="25" t="s">
        <v>132</v>
      </c>
    </row>
    <row r="732" spans="1:32" s="25" customFormat="1" x14ac:dyDescent="0.25">
      <c r="A732" s="25" t="s">
        <v>185</v>
      </c>
      <c r="B732" s="25">
        <f t="shared" si="24"/>
        <v>4870</v>
      </c>
      <c r="C732" s="25" t="s">
        <v>12</v>
      </c>
      <c r="D732" s="25">
        <v>0</v>
      </c>
      <c r="E732" s="25">
        <v>0</v>
      </c>
      <c r="F732" s="25">
        <v>256</v>
      </c>
      <c r="G732" s="25">
        <v>222</v>
      </c>
      <c r="H732" s="27">
        <v>0</v>
      </c>
      <c r="I732" s="27">
        <v>0</v>
      </c>
      <c r="J732" s="27">
        <v>0</v>
      </c>
      <c r="K732" s="27">
        <v>0</v>
      </c>
      <c r="L732" s="27">
        <v>1</v>
      </c>
      <c r="M732" s="27">
        <v>0</v>
      </c>
      <c r="N732" s="27">
        <v>0</v>
      </c>
      <c r="O732" s="27">
        <v>0</v>
      </c>
      <c r="P732" s="25">
        <v>700</v>
      </c>
      <c r="Q732" s="25">
        <v>560</v>
      </c>
      <c r="R732" s="25" t="s">
        <v>87</v>
      </c>
      <c r="S732" s="25" t="s">
        <v>89</v>
      </c>
      <c r="T732" s="25">
        <v>0</v>
      </c>
      <c r="U732" s="25">
        <v>0</v>
      </c>
      <c r="V732" s="25">
        <v>0</v>
      </c>
      <c r="W732" s="25">
        <v>0</v>
      </c>
      <c r="X732" s="25">
        <v>1</v>
      </c>
      <c r="Y732" s="25">
        <v>0</v>
      </c>
      <c r="Z732" s="25">
        <v>0</v>
      </c>
      <c r="AA732" s="25">
        <v>0</v>
      </c>
      <c r="AB732" s="25">
        <v>0</v>
      </c>
      <c r="AC732" s="25">
        <v>0</v>
      </c>
      <c r="AD732" s="25">
        <v>0</v>
      </c>
      <c r="AE732" s="25">
        <v>1</v>
      </c>
      <c r="AF732" s="25" t="s">
        <v>132</v>
      </c>
    </row>
    <row r="733" spans="1:32" s="25" customFormat="1" x14ac:dyDescent="0.25">
      <c r="A733" s="25" t="s">
        <v>185</v>
      </c>
      <c r="B733" s="25">
        <f t="shared" si="24"/>
        <v>4880</v>
      </c>
      <c r="C733" s="25" t="s">
        <v>12</v>
      </c>
      <c r="D733" s="25">
        <v>0</v>
      </c>
      <c r="E733" s="25">
        <v>0</v>
      </c>
      <c r="F733" s="25">
        <v>256</v>
      </c>
      <c r="G733" s="25">
        <v>222</v>
      </c>
      <c r="H733" s="27">
        <v>0</v>
      </c>
      <c r="I733" s="27">
        <v>0</v>
      </c>
      <c r="J733" s="27">
        <v>0</v>
      </c>
      <c r="K733" s="27">
        <v>0</v>
      </c>
      <c r="L733" s="27">
        <v>1</v>
      </c>
      <c r="M733" s="27">
        <v>0</v>
      </c>
      <c r="N733" s="27">
        <v>0</v>
      </c>
      <c r="O733" s="27">
        <v>0</v>
      </c>
      <c r="P733" s="25">
        <v>700</v>
      </c>
      <c r="Q733" s="25">
        <v>560</v>
      </c>
      <c r="R733" s="25" t="s">
        <v>87</v>
      </c>
      <c r="S733" s="25" t="s">
        <v>89</v>
      </c>
      <c r="T733" s="25">
        <v>0</v>
      </c>
      <c r="U733" s="25">
        <v>0</v>
      </c>
      <c r="V733" s="25">
        <v>0</v>
      </c>
      <c r="W733" s="25">
        <v>0</v>
      </c>
      <c r="X733" s="25">
        <v>1</v>
      </c>
      <c r="Y733" s="25">
        <v>0</v>
      </c>
      <c r="Z733" s="25">
        <v>0</v>
      </c>
      <c r="AA733" s="25">
        <v>0</v>
      </c>
      <c r="AB733" s="25">
        <v>0</v>
      </c>
      <c r="AC733" s="25">
        <v>0</v>
      </c>
      <c r="AD733" s="25">
        <v>0</v>
      </c>
      <c r="AE733" s="25">
        <v>1</v>
      </c>
      <c r="AF733" s="25" t="s">
        <v>132</v>
      </c>
    </row>
    <row r="734" spans="1:32" s="25" customFormat="1" x14ac:dyDescent="0.25">
      <c r="A734" s="25" t="s">
        <v>185</v>
      </c>
      <c r="B734" s="25">
        <f t="shared" si="24"/>
        <v>4890</v>
      </c>
      <c r="C734" s="25" t="s">
        <v>12</v>
      </c>
      <c r="D734" s="25">
        <v>0</v>
      </c>
      <c r="E734" s="25">
        <v>0</v>
      </c>
      <c r="F734" s="25">
        <v>256</v>
      </c>
      <c r="G734" s="25">
        <v>222</v>
      </c>
      <c r="H734" s="27">
        <v>0</v>
      </c>
      <c r="I734" s="27">
        <v>0</v>
      </c>
      <c r="J734" s="27">
        <v>0</v>
      </c>
      <c r="K734" s="27">
        <v>0</v>
      </c>
      <c r="L734" s="27">
        <v>1</v>
      </c>
      <c r="M734" s="27">
        <v>0</v>
      </c>
      <c r="N734" s="27">
        <v>0</v>
      </c>
      <c r="O734" s="27">
        <v>0</v>
      </c>
      <c r="P734" s="25">
        <v>700</v>
      </c>
      <c r="Q734" s="25">
        <v>560</v>
      </c>
      <c r="R734" s="25" t="s">
        <v>87</v>
      </c>
      <c r="S734" s="25" t="s">
        <v>89</v>
      </c>
      <c r="T734" s="25">
        <v>0</v>
      </c>
      <c r="U734" s="25">
        <v>0</v>
      </c>
      <c r="V734" s="25">
        <v>0</v>
      </c>
      <c r="W734" s="25">
        <v>0</v>
      </c>
      <c r="X734" s="25">
        <v>1</v>
      </c>
      <c r="Y734" s="25">
        <v>0</v>
      </c>
      <c r="Z734" s="25">
        <v>0</v>
      </c>
      <c r="AA734" s="25">
        <v>0</v>
      </c>
      <c r="AB734" s="25">
        <v>0</v>
      </c>
      <c r="AC734" s="25">
        <v>0</v>
      </c>
      <c r="AD734" s="25">
        <v>0</v>
      </c>
      <c r="AE734" s="25">
        <v>1</v>
      </c>
      <c r="AF734" s="25" t="s">
        <v>132</v>
      </c>
    </row>
    <row r="735" spans="1:32" s="25" customFormat="1" x14ac:dyDescent="0.25">
      <c r="A735" s="25" t="s">
        <v>185</v>
      </c>
      <c r="B735" s="25">
        <f t="shared" si="24"/>
        <v>4900</v>
      </c>
      <c r="C735" s="25" t="s">
        <v>12</v>
      </c>
      <c r="D735" s="25">
        <v>0</v>
      </c>
      <c r="E735" s="25">
        <v>0</v>
      </c>
      <c r="F735" s="25">
        <v>256</v>
      </c>
      <c r="G735" s="25">
        <v>222</v>
      </c>
      <c r="H735" s="27">
        <v>0</v>
      </c>
      <c r="I735" s="27">
        <v>0</v>
      </c>
      <c r="J735" s="27">
        <v>0</v>
      </c>
      <c r="K735" s="27">
        <v>0</v>
      </c>
      <c r="L735" s="27">
        <v>1</v>
      </c>
      <c r="M735" s="27">
        <v>0</v>
      </c>
      <c r="N735" s="27">
        <v>0</v>
      </c>
      <c r="O735" s="27">
        <v>0</v>
      </c>
      <c r="P735" s="25">
        <v>700</v>
      </c>
      <c r="Q735" s="25">
        <v>560</v>
      </c>
      <c r="R735" s="25" t="s">
        <v>87</v>
      </c>
      <c r="S735" s="25" t="s">
        <v>89</v>
      </c>
      <c r="T735" s="25">
        <v>0</v>
      </c>
      <c r="U735" s="25">
        <v>0</v>
      </c>
      <c r="V735" s="25">
        <v>0</v>
      </c>
      <c r="W735" s="25">
        <v>0</v>
      </c>
      <c r="X735" s="25">
        <v>1</v>
      </c>
      <c r="Y735" s="25">
        <v>0</v>
      </c>
      <c r="Z735" s="25">
        <v>0</v>
      </c>
      <c r="AA735" s="25">
        <v>0</v>
      </c>
      <c r="AB735" s="25">
        <v>0</v>
      </c>
      <c r="AC735" s="25">
        <v>0</v>
      </c>
      <c r="AD735" s="25">
        <v>0</v>
      </c>
      <c r="AE735" s="25">
        <v>1</v>
      </c>
      <c r="AF735" s="25" t="s">
        <v>132</v>
      </c>
    </row>
    <row r="736" spans="1:32" s="25" customFormat="1" x14ac:dyDescent="0.25">
      <c r="A736" s="25" t="s">
        <v>185</v>
      </c>
      <c r="B736" s="25">
        <f t="shared" si="24"/>
        <v>4910</v>
      </c>
      <c r="C736" s="25" t="s">
        <v>12</v>
      </c>
      <c r="D736" s="25">
        <v>0</v>
      </c>
      <c r="E736" s="25">
        <v>0</v>
      </c>
      <c r="F736" s="25">
        <v>256</v>
      </c>
      <c r="G736" s="25">
        <v>222</v>
      </c>
      <c r="H736" s="27">
        <v>0</v>
      </c>
      <c r="I736" s="27">
        <v>0</v>
      </c>
      <c r="J736" s="27">
        <v>0</v>
      </c>
      <c r="K736" s="27">
        <v>0</v>
      </c>
      <c r="L736" s="27">
        <v>1</v>
      </c>
      <c r="M736" s="27">
        <v>0</v>
      </c>
      <c r="N736" s="27">
        <v>0</v>
      </c>
      <c r="O736" s="27">
        <v>0</v>
      </c>
      <c r="P736" s="25">
        <v>700</v>
      </c>
      <c r="Q736" s="25">
        <v>560</v>
      </c>
      <c r="R736" s="25" t="s">
        <v>87</v>
      </c>
      <c r="S736" s="25" t="s">
        <v>89</v>
      </c>
      <c r="T736" s="25">
        <v>0</v>
      </c>
      <c r="U736" s="25">
        <v>0</v>
      </c>
      <c r="V736" s="25">
        <v>0</v>
      </c>
      <c r="W736" s="25">
        <v>0</v>
      </c>
      <c r="X736" s="25">
        <v>1</v>
      </c>
      <c r="Y736" s="25">
        <v>0</v>
      </c>
      <c r="Z736" s="25">
        <v>0</v>
      </c>
      <c r="AA736" s="25">
        <v>0</v>
      </c>
      <c r="AB736" s="25">
        <v>0</v>
      </c>
      <c r="AC736" s="25">
        <v>0</v>
      </c>
      <c r="AD736" s="25">
        <v>0</v>
      </c>
      <c r="AE736" s="25">
        <v>1</v>
      </c>
      <c r="AF736" s="25" t="s">
        <v>132</v>
      </c>
    </row>
    <row r="737" spans="1:32" s="25" customFormat="1" x14ac:dyDescent="0.25">
      <c r="A737" s="25" t="s">
        <v>185</v>
      </c>
      <c r="B737" s="25">
        <f t="shared" si="24"/>
        <v>4920</v>
      </c>
      <c r="C737" s="25" t="s">
        <v>12</v>
      </c>
      <c r="D737" s="25">
        <v>0</v>
      </c>
      <c r="E737" s="25">
        <v>0</v>
      </c>
      <c r="F737" s="25">
        <v>256</v>
      </c>
      <c r="G737" s="25">
        <v>222</v>
      </c>
      <c r="H737" s="27">
        <v>0</v>
      </c>
      <c r="I737" s="27">
        <v>0</v>
      </c>
      <c r="J737" s="27">
        <v>0</v>
      </c>
      <c r="K737" s="27">
        <v>0</v>
      </c>
      <c r="L737" s="27">
        <v>1</v>
      </c>
      <c r="M737" s="27">
        <v>0</v>
      </c>
      <c r="N737" s="27">
        <v>0</v>
      </c>
      <c r="O737" s="27">
        <v>0</v>
      </c>
      <c r="P737" s="25">
        <v>700</v>
      </c>
      <c r="Q737" s="25">
        <v>560</v>
      </c>
      <c r="R737" s="25" t="s">
        <v>87</v>
      </c>
      <c r="S737" s="25" t="s">
        <v>89</v>
      </c>
      <c r="T737" s="25">
        <v>0</v>
      </c>
      <c r="U737" s="25">
        <v>0</v>
      </c>
      <c r="V737" s="25">
        <v>0</v>
      </c>
      <c r="W737" s="25">
        <v>0</v>
      </c>
      <c r="X737" s="25">
        <v>1</v>
      </c>
      <c r="Y737" s="25">
        <v>0</v>
      </c>
      <c r="Z737" s="25">
        <v>0</v>
      </c>
      <c r="AA737" s="25">
        <v>0</v>
      </c>
      <c r="AB737" s="25">
        <v>0</v>
      </c>
      <c r="AC737" s="25">
        <v>0</v>
      </c>
      <c r="AD737" s="25">
        <v>0</v>
      </c>
      <c r="AE737" s="25">
        <v>1</v>
      </c>
      <c r="AF737" s="25" t="s">
        <v>132</v>
      </c>
    </row>
    <row r="738" spans="1:32" s="25" customFormat="1" x14ac:dyDescent="0.25">
      <c r="A738" s="25" t="s">
        <v>185</v>
      </c>
      <c r="B738" s="25">
        <f t="shared" si="24"/>
        <v>4930</v>
      </c>
      <c r="C738" s="25" t="s">
        <v>12</v>
      </c>
      <c r="D738" s="25">
        <v>0</v>
      </c>
      <c r="E738" s="25">
        <v>0</v>
      </c>
      <c r="F738" s="25">
        <v>256</v>
      </c>
      <c r="G738" s="25">
        <v>222</v>
      </c>
      <c r="H738" s="27">
        <v>0</v>
      </c>
      <c r="I738" s="27">
        <v>0</v>
      </c>
      <c r="J738" s="27">
        <v>0</v>
      </c>
      <c r="K738" s="27">
        <v>0</v>
      </c>
      <c r="L738" s="27">
        <v>1</v>
      </c>
      <c r="M738" s="27">
        <v>0</v>
      </c>
      <c r="N738" s="27">
        <v>0</v>
      </c>
      <c r="O738" s="27">
        <v>0</v>
      </c>
      <c r="P738" s="25">
        <v>700</v>
      </c>
      <c r="Q738" s="25">
        <v>560</v>
      </c>
      <c r="R738" s="25" t="s">
        <v>87</v>
      </c>
      <c r="S738" s="25" t="s">
        <v>89</v>
      </c>
      <c r="T738" s="25">
        <v>0</v>
      </c>
      <c r="U738" s="25">
        <v>0</v>
      </c>
      <c r="V738" s="25">
        <v>0</v>
      </c>
      <c r="W738" s="25">
        <v>0</v>
      </c>
      <c r="X738" s="25">
        <v>1</v>
      </c>
      <c r="Y738" s="25">
        <v>0</v>
      </c>
      <c r="Z738" s="25">
        <v>0</v>
      </c>
      <c r="AA738" s="25">
        <v>0</v>
      </c>
      <c r="AB738" s="25">
        <v>0</v>
      </c>
      <c r="AC738" s="25">
        <v>0</v>
      </c>
      <c r="AD738" s="25">
        <v>0</v>
      </c>
      <c r="AE738" s="25">
        <v>1</v>
      </c>
      <c r="AF738" s="25" t="s">
        <v>132</v>
      </c>
    </row>
    <row r="739" spans="1:32" s="25" customFormat="1" x14ac:dyDescent="0.25">
      <c r="A739" s="25" t="s">
        <v>185</v>
      </c>
      <c r="B739" s="25">
        <f t="shared" si="24"/>
        <v>4940</v>
      </c>
      <c r="C739" s="25" t="s">
        <v>12</v>
      </c>
      <c r="D739" s="25">
        <v>0</v>
      </c>
      <c r="E739" s="25">
        <v>0</v>
      </c>
      <c r="F739" s="25">
        <v>256</v>
      </c>
      <c r="G739" s="25">
        <v>222</v>
      </c>
      <c r="H739" s="27">
        <v>0</v>
      </c>
      <c r="I739" s="27">
        <v>0</v>
      </c>
      <c r="J739" s="27">
        <v>0</v>
      </c>
      <c r="K739" s="27">
        <v>0</v>
      </c>
      <c r="L739" s="27">
        <v>1</v>
      </c>
      <c r="M739" s="27">
        <v>0</v>
      </c>
      <c r="N739" s="27">
        <v>0</v>
      </c>
      <c r="O739" s="27">
        <v>0</v>
      </c>
      <c r="P739" s="25">
        <v>700</v>
      </c>
      <c r="Q739" s="25">
        <v>560</v>
      </c>
      <c r="R739" s="25" t="s">
        <v>87</v>
      </c>
      <c r="S739" s="25" t="s">
        <v>89</v>
      </c>
      <c r="T739" s="25">
        <v>0</v>
      </c>
      <c r="U739" s="25">
        <v>0</v>
      </c>
      <c r="V739" s="25">
        <v>0</v>
      </c>
      <c r="W739" s="25">
        <v>0</v>
      </c>
      <c r="X739" s="25">
        <v>1</v>
      </c>
      <c r="Y739" s="25">
        <v>0</v>
      </c>
      <c r="Z739" s="25">
        <v>0</v>
      </c>
      <c r="AA739" s="25">
        <v>0</v>
      </c>
      <c r="AB739" s="25">
        <v>0</v>
      </c>
      <c r="AC739" s="25">
        <v>0</v>
      </c>
      <c r="AD739" s="25">
        <v>0</v>
      </c>
      <c r="AE739" s="25">
        <v>1</v>
      </c>
      <c r="AF739" s="25" t="s">
        <v>132</v>
      </c>
    </row>
    <row r="740" spans="1:32" s="25" customFormat="1" x14ac:dyDescent="0.25">
      <c r="A740" s="25" t="s">
        <v>185</v>
      </c>
      <c r="B740" s="25">
        <f t="shared" si="24"/>
        <v>4950</v>
      </c>
      <c r="C740" s="25" t="s">
        <v>12</v>
      </c>
      <c r="D740" s="25">
        <v>0</v>
      </c>
      <c r="E740" s="25">
        <v>0</v>
      </c>
      <c r="F740" s="25">
        <v>256</v>
      </c>
      <c r="G740" s="25">
        <v>222</v>
      </c>
      <c r="H740" s="27">
        <v>0</v>
      </c>
      <c r="I740" s="27">
        <v>0</v>
      </c>
      <c r="J740" s="27">
        <v>0</v>
      </c>
      <c r="K740" s="27">
        <v>0</v>
      </c>
      <c r="L740" s="27">
        <v>1</v>
      </c>
      <c r="M740" s="27">
        <v>0</v>
      </c>
      <c r="N740" s="27">
        <v>0</v>
      </c>
      <c r="O740" s="27">
        <v>0</v>
      </c>
      <c r="P740" s="25">
        <v>700</v>
      </c>
      <c r="Q740" s="25">
        <v>560</v>
      </c>
      <c r="R740" s="25" t="s">
        <v>87</v>
      </c>
      <c r="S740" s="25" t="s">
        <v>89</v>
      </c>
      <c r="T740" s="25">
        <v>0</v>
      </c>
      <c r="U740" s="25">
        <v>0</v>
      </c>
      <c r="V740" s="25">
        <v>0</v>
      </c>
      <c r="W740" s="25">
        <v>0</v>
      </c>
      <c r="X740" s="25">
        <v>1</v>
      </c>
      <c r="Y740" s="25">
        <v>0</v>
      </c>
      <c r="Z740" s="25">
        <v>0</v>
      </c>
      <c r="AA740" s="25">
        <v>0</v>
      </c>
      <c r="AB740" s="25">
        <v>0</v>
      </c>
      <c r="AC740" s="25">
        <v>0</v>
      </c>
      <c r="AD740" s="25">
        <v>0</v>
      </c>
      <c r="AE740" s="25">
        <v>1</v>
      </c>
      <c r="AF740" s="25" t="s">
        <v>132</v>
      </c>
    </row>
    <row r="741" spans="1:32" s="25" customFormat="1" x14ac:dyDescent="0.25">
      <c r="A741" s="25" t="s">
        <v>185</v>
      </c>
      <c r="B741" s="25">
        <f t="shared" si="24"/>
        <v>4960</v>
      </c>
      <c r="C741" s="25" t="s">
        <v>12</v>
      </c>
      <c r="D741" s="25">
        <v>0</v>
      </c>
      <c r="E741" s="25">
        <v>0</v>
      </c>
      <c r="F741" s="25">
        <v>256</v>
      </c>
      <c r="G741" s="25">
        <v>222</v>
      </c>
      <c r="H741" s="27">
        <v>0</v>
      </c>
      <c r="I741" s="27">
        <v>0</v>
      </c>
      <c r="J741" s="27">
        <v>0</v>
      </c>
      <c r="K741" s="27">
        <v>0</v>
      </c>
      <c r="L741" s="27">
        <v>1</v>
      </c>
      <c r="M741" s="27">
        <v>0</v>
      </c>
      <c r="N741" s="27">
        <v>0</v>
      </c>
      <c r="O741" s="27">
        <v>0</v>
      </c>
      <c r="P741" s="25">
        <v>700</v>
      </c>
      <c r="Q741" s="25">
        <v>560</v>
      </c>
      <c r="R741" s="25" t="s">
        <v>87</v>
      </c>
      <c r="S741" s="25" t="s">
        <v>89</v>
      </c>
      <c r="T741" s="25">
        <v>0</v>
      </c>
      <c r="U741" s="25">
        <v>0</v>
      </c>
      <c r="V741" s="25">
        <v>0</v>
      </c>
      <c r="W741" s="25">
        <v>0</v>
      </c>
      <c r="X741" s="25">
        <v>1</v>
      </c>
      <c r="Y741" s="25">
        <v>0</v>
      </c>
      <c r="Z741" s="25">
        <v>0</v>
      </c>
      <c r="AA741" s="25">
        <v>0</v>
      </c>
      <c r="AB741" s="25">
        <v>0</v>
      </c>
      <c r="AC741" s="25">
        <v>0</v>
      </c>
      <c r="AD741" s="25">
        <v>0</v>
      </c>
      <c r="AE741" s="25">
        <v>1</v>
      </c>
      <c r="AF741" s="25" t="s">
        <v>132</v>
      </c>
    </row>
    <row r="742" spans="1:32" s="25" customFormat="1" x14ac:dyDescent="0.25">
      <c r="A742" s="25" t="s">
        <v>185</v>
      </c>
      <c r="B742" s="25">
        <f t="shared" si="24"/>
        <v>4970</v>
      </c>
      <c r="C742" s="25" t="s">
        <v>12</v>
      </c>
      <c r="D742" s="25">
        <v>0</v>
      </c>
      <c r="E742" s="25">
        <v>0</v>
      </c>
      <c r="F742" s="25">
        <v>256</v>
      </c>
      <c r="G742" s="25">
        <v>222</v>
      </c>
      <c r="H742" s="27">
        <v>0</v>
      </c>
      <c r="I742" s="27">
        <v>0</v>
      </c>
      <c r="J742" s="27">
        <v>0</v>
      </c>
      <c r="K742" s="27">
        <v>0</v>
      </c>
      <c r="L742" s="27">
        <v>1</v>
      </c>
      <c r="M742" s="27">
        <v>0</v>
      </c>
      <c r="N742" s="27">
        <v>0</v>
      </c>
      <c r="O742" s="27">
        <v>0</v>
      </c>
      <c r="P742" s="25">
        <v>700</v>
      </c>
      <c r="Q742" s="25">
        <v>560</v>
      </c>
      <c r="R742" s="25" t="s">
        <v>87</v>
      </c>
      <c r="S742" s="25" t="s">
        <v>89</v>
      </c>
      <c r="T742" s="25">
        <v>0</v>
      </c>
      <c r="U742" s="25">
        <v>0</v>
      </c>
      <c r="V742" s="25">
        <v>0</v>
      </c>
      <c r="W742" s="25">
        <v>0</v>
      </c>
      <c r="X742" s="25">
        <v>1</v>
      </c>
      <c r="Y742" s="25">
        <v>0</v>
      </c>
      <c r="Z742" s="25">
        <v>0</v>
      </c>
      <c r="AA742" s="25">
        <v>0</v>
      </c>
      <c r="AB742" s="25">
        <v>0</v>
      </c>
      <c r="AC742" s="25">
        <v>0</v>
      </c>
      <c r="AD742" s="25">
        <v>0</v>
      </c>
      <c r="AE742" s="25">
        <v>1</v>
      </c>
      <c r="AF742" s="25" t="s">
        <v>132</v>
      </c>
    </row>
    <row r="743" spans="1:32" s="25" customFormat="1" x14ac:dyDescent="0.25">
      <c r="A743" s="25" t="s">
        <v>185</v>
      </c>
      <c r="B743" s="25">
        <f t="shared" si="24"/>
        <v>4980</v>
      </c>
      <c r="C743" s="25" t="s">
        <v>12</v>
      </c>
      <c r="D743" s="25">
        <v>0</v>
      </c>
      <c r="E743" s="25">
        <v>0</v>
      </c>
      <c r="F743" s="25">
        <v>256</v>
      </c>
      <c r="G743" s="25">
        <v>222</v>
      </c>
      <c r="H743" s="27">
        <v>0</v>
      </c>
      <c r="I743" s="27">
        <v>0</v>
      </c>
      <c r="J743" s="27">
        <v>0</v>
      </c>
      <c r="K743" s="27">
        <v>0</v>
      </c>
      <c r="L743" s="27">
        <v>1</v>
      </c>
      <c r="M743" s="27">
        <v>0</v>
      </c>
      <c r="N743" s="27">
        <v>0</v>
      </c>
      <c r="O743" s="27">
        <v>0</v>
      </c>
      <c r="P743" s="25">
        <v>700</v>
      </c>
      <c r="Q743" s="25">
        <v>560</v>
      </c>
      <c r="R743" s="25" t="s">
        <v>87</v>
      </c>
      <c r="S743" s="25" t="s">
        <v>89</v>
      </c>
      <c r="T743" s="25">
        <v>0</v>
      </c>
      <c r="U743" s="25">
        <v>0</v>
      </c>
      <c r="V743" s="25">
        <v>0</v>
      </c>
      <c r="W743" s="25">
        <v>0</v>
      </c>
      <c r="X743" s="25">
        <v>1</v>
      </c>
      <c r="Y743" s="25">
        <v>0</v>
      </c>
      <c r="Z743" s="25">
        <v>0</v>
      </c>
      <c r="AA743" s="25">
        <v>0</v>
      </c>
      <c r="AB743" s="25">
        <v>0</v>
      </c>
      <c r="AC743" s="25">
        <v>0</v>
      </c>
      <c r="AD743" s="25">
        <v>0</v>
      </c>
      <c r="AE743" s="25">
        <v>1</v>
      </c>
      <c r="AF743" s="25" t="s">
        <v>132</v>
      </c>
    </row>
    <row r="744" spans="1:32" s="25" customFormat="1" x14ac:dyDescent="0.25">
      <c r="A744" s="25" t="s">
        <v>185</v>
      </c>
      <c r="B744" s="25">
        <f t="shared" si="24"/>
        <v>4990</v>
      </c>
      <c r="C744" s="25" t="s">
        <v>12</v>
      </c>
      <c r="D744" s="25">
        <v>0</v>
      </c>
      <c r="E744" s="25">
        <v>0</v>
      </c>
      <c r="F744" s="25">
        <v>256</v>
      </c>
      <c r="G744" s="25">
        <v>222</v>
      </c>
      <c r="H744" s="27">
        <v>0</v>
      </c>
      <c r="I744" s="27">
        <v>0</v>
      </c>
      <c r="J744" s="27">
        <v>0</v>
      </c>
      <c r="K744" s="27">
        <v>0</v>
      </c>
      <c r="L744" s="27">
        <v>1</v>
      </c>
      <c r="M744" s="27">
        <v>0</v>
      </c>
      <c r="N744" s="27">
        <v>0</v>
      </c>
      <c r="O744" s="27">
        <v>0</v>
      </c>
      <c r="P744" s="25">
        <v>700</v>
      </c>
      <c r="Q744" s="25">
        <v>560</v>
      </c>
      <c r="R744" s="25" t="s">
        <v>87</v>
      </c>
      <c r="S744" s="25" t="s">
        <v>89</v>
      </c>
      <c r="T744" s="25">
        <v>0</v>
      </c>
      <c r="U744" s="25">
        <v>0</v>
      </c>
      <c r="V744" s="25">
        <v>0</v>
      </c>
      <c r="W744" s="25">
        <v>0</v>
      </c>
      <c r="X744" s="25">
        <v>1</v>
      </c>
      <c r="Y744" s="25">
        <v>0</v>
      </c>
      <c r="Z744" s="25">
        <v>0</v>
      </c>
      <c r="AA744" s="25">
        <v>0</v>
      </c>
      <c r="AB744" s="25">
        <v>0</v>
      </c>
      <c r="AC744" s="25">
        <v>0</v>
      </c>
      <c r="AD744" s="25">
        <v>0</v>
      </c>
      <c r="AE744" s="25">
        <v>1</v>
      </c>
      <c r="AF744" s="25" t="s">
        <v>132</v>
      </c>
    </row>
    <row r="745" spans="1:32" s="25" customFormat="1" x14ac:dyDescent="0.25">
      <c r="A745" s="25" t="s">
        <v>185</v>
      </c>
      <c r="B745" s="25">
        <f t="shared" si="24"/>
        <v>5000</v>
      </c>
      <c r="C745" s="25" t="s">
        <v>12</v>
      </c>
      <c r="D745" s="25">
        <v>0</v>
      </c>
      <c r="E745" s="25">
        <v>0</v>
      </c>
      <c r="F745" s="25">
        <v>256</v>
      </c>
      <c r="G745" s="25">
        <v>222</v>
      </c>
      <c r="H745" s="27">
        <v>0</v>
      </c>
      <c r="I745" s="27">
        <v>0</v>
      </c>
      <c r="J745" s="27">
        <v>0</v>
      </c>
      <c r="K745" s="27">
        <v>0</v>
      </c>
      <c r="L745" s="27">
        <v>1</v>
      </c>
      <c r="M745" s="27">
        <v>0</v>
      </c>
      <c r="N745" s="27">
        <v>0</v>
      </c>
      <c r="O745" s="27">
        <v>0</v>
      </c>
      <c r="P745" s="25">
        <v>700</v>
      </c>
      <c r="Q745" s="25">
        <v>560</v>
      </c>
      <c r="R745" s="25" t="s">
        <v>87</v>
      </c>
      <c r="S745" s="25" t="s">
        <v>89</v>
      </c>
      <c r="T745" s="25">
        <v>0</v>
      </c>
      <c r="U745" s="25">
        <v>0</v>
      </c>
      <c r="V745" s="25">
        <v>0</v>
      </c>
      <c r="W745" s="25">
        <v>0</v>
      </c>
      <c r="X745" s="25">
        <v>1</v>
      </c>
      <c r="Y745" s="25">
        <v>0</v>
      </c>
      <c r="Z745" s="25">
        <v>0</v>
      </c>
      <c r="AA745" s="25">
        <v>0</v>
      </c>
      <c r="AB745" s="25">
        <v>0</v>
      </c>
      <c r="AC745" s="25">
        <v>0</v>
      </c>
      <c r="AD745" s="25">
        <v>0</v>
      </c>
      <c r="AE745" s="25">
        <v>1</v>
      </c>
      <c r="AF745" s="25" t="s">
        <v>132</v>
      </c>
    </row>
    <row r="746" spans="1:32" s="25" customFormat="1" x14ac:dyDescent="0.25">
      <c r="A746" s="25" t="s">
        <v>185</v>
      </c>
      <c r="B746" s="25">
        <f t="shared" si="24"/>
        <v>5010</v>
      </c>
      <c r="C746" s="25" t="s">
        <v>12</v>
      </c>
      <c r="D746" s="25">
        <v>0</v>
      </c>
      <c r="E746" s="25">
        <v>0</v>
      </c>
      <c r="F746" s="25">
        <v>256</v>
      </c>
      <c r="G746" s="25">
        <v>222</v>
      </c>
      <c r="H746" s="27">
        <v>0</v>
      </c>
      <c r="I746" s="27">
        <v>0</v>
      </c>
      <c r="J746" s="27">
        <v>0</v>
      </c>
      <c r="K746" s="27">
        <v>0</v>
      </c>
      <c r="L746" s="27">
        <v>1</v>
      </c>
      <c r="M746" s="27">
        <v>0</v>
      </c>
      <c r="N746" s="27">
        <v>0</v>
      </c>
      <c r="O746" s="27">
        <v>0</v>
      </c>
      <c r="P746" s="25">
        <v>700</v>
      </c>
      <c r="Q746" s="25">
        <v>560</v>
      </c>
      <c r="R746" s="25" t="s">
        <v>87</v>
      </c>
      <c r="S746" s="25" t="s">
        <v>89</v>
      </c>
      <c r="T746" s="25">
        <v>0</v>
      </c>
      <c r="U746" s="25">
        <v>0</v>
      </c>
      <c r="V746" s="25">
        <v>0</v>
      </c>
      <c r="W746" s="25">
        <v>0</v>
      </c>
      <c r="X746" s="25">
        <v>1</v>
      </c>
      <c r="Y746" s="25">
        <v>0</v>
      </c>
      <c r="Z746" s="25">
        <v>0</v>
      </c>
      <c r="AA746" s="25">
        <v>0</v>
      </c>
      <c r="AB746" s="25">
        <v>0</v>
      </c>
      <c r="AC746" s="25">
        <v>0</v>
      </c>
      <c r="AD746" s="25">
        <v>0</v>
      </c>
      <c r="AE746" s="25">
        <v>1</v>
      </c>
      <c r="AF746" s="25" t="s">
        <v>132</v>
      </c>
    </row>
    <row r="747" spans="1:32" s="25" customFormat="1" x14ac:dyDescent="0.25">
      <c r="A747" s="25" t="s">
        <v>185</v>
      </c>
      <c r="B747" s="25">
        <f t="shared" si="24"/>
        <v>5020</v>
      </c>
      <c r="C747" s="25" t="s">
        <v>12</v>
      </c>
      <c r="D747" s="25">
        <v>0</v>
      </c>
      <c r="E747" s="25">
        <v>0</v>
      </c>
      <c r="F747" s="25">
        <v>256</v>
      </c>
      <c r="G747" s="25">
        <v>222</v>
      </c>
      <c r="H747" s="27">
        <v>0</v>
      </c>
      <c r="I747" s="27">
        <v>0</v>
      </c>
      <c r="J747" s="27">
        <v>0</v>
      </c>
      <c r="K747" s="27">
        <v>0</v>
      </c>
      <c r="L747" s="27">
        <v>1</v>
      </c>
      <c r="M747" s="27">
        <v>0</v>
      </c>
      <c r="N747" s="27">
        <v>0</v>
      </c>
      <c r="O747" s="27">
        <v>0</v>
      </c>
      <c r="P747" s="25">
        <v>700</v>
      </c>
      <c r="Q747" s="25">
        <v>560</v>
      </c>
      <c r="R747" s="25" t="s">
        <v>87</v>
      </c>
      <c r="S747" s="25" t="s">
        <v>89</v>
      </c>
      <c r="T747" s="25">
        <v>0</v>
      </c>
      <c r="U747" s="25">
        <v>0</v>
      </c>
      <c r="V747" s="25">
        <v>0</v>
      </c>
      <c r="W747" s="25">
        <v>0</v>
      </c>
      <c r="X747" s="25">
        <v>1</v>
      </c>
      <c r="Y747" s="25">
        <v>0</v>
      </c>
      <c r="Z747" s="25">
        <v>0</v>
      </c>
      <c r="AA747" s="25">
        <v>0</v>
      </c>
      <c r="AB747" s="25">
        <v>0</v>
      </c>
      <c r="AC747" s="25">
        <v>0</v>
      </c>
      <c r="AD747" s="25">
        <v>0</v>
      </c>
      <c r="AE747" s="25">
        <v>1</v>
      </c>
      <c r="AF747" s="25" t="s">
        <v>132</v>
      </c>
    </row>
    <row r="748" spans="1:32" x14ac:dyDescent="0.25">
      <c r="A748" t="s">
        <v>185</v>
      </c>
      <c r="B748" s="25">
        <f t="shared" si="24"/>
        <v>5030</v>
      </c>
      <c r="C748" t="s">
        <v>12</v>
      </c>
      <c r="D748">
        <v>0</v>
      </c>
      <c r="E748">
        <v>0</v>
      </c>
      <c r="F748">
        <v>256</v>
      </c>
      <c r="G748">
        <v>222</v>
      </c>
      <c r="H748" s="27">
        <v>0</v>
      </c>
      <c r="I748" s="27">
        <v>0</v>
      </c>
      <c r="J748" s="27">
        <v>0</v>
      </c>
      <c r="K748" s="27">
        <v>0</v>
      </c>
      <c r="L748" s="27">
        <v>1</v>
      </c>
      <c r="M748" s="27">
        <v>0</v>
      </c>
      <c r="N748" s="27">
        <v>0</v>
      </c>
      <c r="O748" s="27">
        <v>0</v>
      </c>
      <c r="P748">
        <v>700</v>
      </c>
      <c r="Q748">
        <v>560</v>
      </c>
      <c r="R748" t="s">
        <v>87</v>
      </c>
      <c r="S748" t="s">
        <v>89</v>
      </c>
      <c r="T748">
        <v>0</v>
      </c>
      <c r="U748">
        <v>0</v>
      </c>
      <c r="V748">
        <v>0</v>
      </c>
      <c r="W748">
        <v>0</v>
      </c>
      <c r="X748">
        <v>1</v>
      </c>
      <c r="Y748">
        <v>0</v>
      </c>
      <c r="Z748">
        <v>0</v>
      </c>
      <c r="AA748">
        <v>0</v>
      </c>
      <c r="AB748">
        <v>0</v>
      </c>
      <c r="AC748">
        <v>0</v>
      </c>
      <c r="AD748">
        <v>0</v>
      </c>
      <c r="AE748">
        <v>1</v>
      </c>
      <c r="AF748" t="s">
        <v>132</v>
      </c>
    </row>
    <row r="749" spans="1:32" x14ac:dyDescent="0.25">
      <c r="A749" t="s">
        <v>185</v>
      </c>
      <c r="B749" s="25">
        <f t="shared" si="24"/>
        <v>5040</v>
      </c>
      <c r="C749" t="s">
        <v>12</v>
      </c>
      <c r="D749" t="s">
        <v>13</v>
      </c>
      <c r="E749" t="s">
        <v>13</v>
      </c>
      <c r="F749" t="s">
        <v>13</v>
      </c>
      <c r="G749" t="s">
        <v>13</v>
      </c>
      <c r="H749" s="27" t="s">
        <v>13</v>
      </c>
      <c r="I749" s="27" t="s">
        <v>13</v>
      </c>
      <c r="J749" s="27" t="s">
        <v>13</v>
      </c>
      <c r="K749" s="27" t="s">
        <v>13</v>
      </c>
      <c r="L749" s="27" t="s">
        <v>13</v>
      </c>
      <c r="M749" s="27" t="s">
        <v>13</v>
      </c>
      <c r="N749" s="27" t="s">
        <v>13</v>
      </c>
      <c r="O749" s="27" t="s">
        <v>13</v>
      </c>
      <c r="P749">
        <v>700</v>
      </c>
      <c r="Q749">
        <v>560</v>
      </c>
      <c r="R749" t="s">
        <v>87</v>
      </c>
      <c r="S749" t="s">
        <v>89</v>
      </c>
      <c r="T749">
        <v>0</v>
      </c>
      <c r="U749">
        <v>0</v>
      </c>
      <c r="V749">
        <v>0</v>
      </c>
      <c r="W749">
        <v>0</v>
      </c>
      <c r="X749">
        <v>1</v>
      </c>
      <c r="Y749">
        <v>0</v>
      </c>
      <c r="Z749">
        <v>0</v>
      </c>
      <c r="AA749">
        <v>0</v>
      </c>
      <c r="AB749">
        <v>0</v>
      </c>
      <c r="AC749">
        <v>0</v>
      </c>
      <c r="AD749">
        <v>0</v>
      </c>
      <c r="AE749">
        <v>1</v>
      </c>
      <c r="AF749" t="s">
        <v>128</v>
      </c>
    </row>
    <row r="750" spans="1:32" x14ac:dyDescent="0.25">
      <c r="A750" t="s">
        <v>185</v>
      </c>
      <c r="B750" s="25">
        <f t="shared" si="24"/>
        <v>5050</v>
      </c>
      <c r="C750" t="s">
        <v>12</v>
      </c>
      <c r="D750" t="s">
        <v>13</v>
      </c>
      <c r="E750" t="s">
        <v>13</v>
      </c>
      <c r="F750" t="s">
        <v>13</v>
      </c>
      <c r="G750" t="s">
        <v>13</v>
      </c>
      <c r="H750" s="27" t="s">
        <v>13</v>
      </c>
      <c r="I750" s="27" t="s">
        <v>13</v>
      </c>
      <c r="J750" s="27" t="s">
        <v>13</v>
      </c>
      <c r="K750" s="27" t="s">
        <v>13</v>
      </c>
      <c r="L750" s="27" t="s">
        <v>13</v>
      </c>
      <c r="M750" s="27" t="s">
        <v>13</v>
      </c>
      <c r="N750" s="27" t="s">
        <v>13</v>
      </c>
      <c r="O750" s="27" t="s">
        <v>13</v>
      </c>
      <c r="P750">
        <v>700</v>
      </c>
      <c r="Q750">
        <v>560</v>
      </c>
      <c r="R750" t="s">
        <v>87</v>
      </c>
      <c r="S750" t="s">
        <v>89</v>
      </c>
      <c r="T750">
        <v>0</v>
      </c>
      <c r="U750">
        <v>0</v>
      </c>
      <c r="V750">
        <v>0</v>
      </c>
      <c r="W750">
        <v>0</v>
      </c>
      <c r="X750">
        <v>1</v>
      </c>
      <c r="Y750">
        <v>0</v>
      </c>
      <c r="Z750">
        <v>0</v>
      </c>
      <c r="AA750">
        <v>0</v>
      </c>
      <c r="AB750">
        <v>0</v>
      </c>
      <c r="AC750">
        <v>0</v>
      </c>
      <c r="AD750">
        <v>0</v>
      </c>
      <c r="AE750">
        <v>1</v>
      </c>
      <c r="AF750" t="s">
        <v>129</v>
      </c>
    </row>
    <row r="751" spans="1:32" x14ac:dyDescent="0.25">
      <c r="A751" t="s">
        <v>185</v>
      </c>
      <c r="B751" s="25">
        <f t="shared" si="24"/>
        <v>5060</v>
      </c>
      <c r="C751" t="s">
        <v>12</v>
      </c>
      <c r="D751" t="s">
        <v>13</v>
      </c>
      <c r="E751" t="s">
        <v>13</v>
      </c>
      <c r="F751" t="s">
        <v>13</v>
      </c>
      <c r="G751" t="s">
        <v>13</v>
      </c>
      <c r="H751" s="27" t="s">
        <v>13</v>
      </c>
      <c r="I751" s="27" t="s">
        <v>13</v>
      </c>
      <c r="J751" s="27" t="s">
        <v>13</v>
      </c>
      <c r="K751" s="27" t="s">
        <v>13</v>
      </c>
      <c r="L751" s="27" t="s">
        <v>13</v>
      </c>
      <c r="M751" s="27" t="s">
        <v>13</v>
      </c>
      <c r="N751" s="27" t="s">
        <v>13</v>
      </c>
      <c r="O751" s="27" t="s">
        <v>13</v>
      </c>
      <c r="P751">
        <v>700</v>
      </c>
      <c r="Q751">
        <v>560</v>
      </c>
      <c r="R751" t="s">
        <v>87</v>
      </c>
      <c r="S751" t="s">
        <v>89</v>
      </c>
      <c r="T751">
        <v>0</v>
      </c>
      <c r="U751">
        <v>0</v>
      </c>
      <c r="V751">
        <v>0</v>
      </c>
      <c r="W751">
        <v>0</v>
      </c>
      <c r="X751">
        <v>1</v>
      </c>
      <c r="Y751">
        <v>0</v>
      </c>
      <c r="Z751">
        <v>0</v>
      </c>
      <c r="AA751">
        <v>0</v>
      </c>
      <c r="AB751">
        <v>0</v>
      </c>
      <c r="AC751">
        <v>0</v>
      </c>
      <c r="AD751">
        <v>0</v>
      </c>
      <c r="AE751">
        <v>1</v>
      </c>
      <c r="AF751" t="s">
        <v>130</v>
      </c>
    </row>
    <row r="752" spans="1:32" x14ac:dyDescent="0.25">
      <c r="A752" t="s">
        <v>185</v>
      </c>
      <c r="B752" s="25">
        <f t="shared" si="24"/>
        <v>5070</v>
      </c>
      <c r="C752" t="s">
        <v>12</v>
      </c>
      <c r="D752">
        <v>0</v>
      </c>
      <c r="E752">
        <v>0</v>
      </c>
      <c r="F752">
        <v>256</v>
      </c>
      <c r="G752">
        <v>222</v>
      </c>
      <c r="H752" s="27">
        <v>0</v>
      </c>
      <c r="I752" s="27">
        <v>0</v>
      </c>
      <c r="J752" s="27">
        <v>0</v>
      </c>
      <c r="K752" s="27">
        <v>0</v>
      </c>
      <c r="L752" s="27">
        <v>1</v>
      </c>
      <c r="M752" s="27">
        <v>0</v>
      </c>
      <c r="N752" s="27">
        <v>0</v>
      </c>
      <c r="O752" s="27">
        <v>0</v>
      </c>
      <c r="P752">
        <v>700</v>
      </c>
      <c r="Q752">
        <v>560</v>
      </c>
      <c r="R752" t="s">
        <v>87</v>
      </c>
      <c r="S752" t="s">
        <v>89</v>
      </c>
      <c r="T752">
        <v>0</v>
      </c>
      <c r="U752">
        <v>0</v>
      </c>
      <c r="V752">
        <v>0</v>
      </c>
      <c r="W752">
        <v>0</v>
      </c>
      <c r="X752">
        <v>1</v>
      </c>
      <c r="Y752">
        <v>0</v>
      </c>
      <c r="Z752">
        <v>0</v>
      </c>
      <c r="AA752">
        <v>0</v>
      </c>
      <c r="AB752">
        <v>0</v>
      </c>
      <c r="AC752">
        <v>0</v>
      </c>
      <c r="AD752">
        <v>0</v>
      </c>
      <c r="AE752">
        <v>1</v>
      </c>
      <c r="AF752" t="s">
        <v>131</v>
      </c>
    </row>
    <row r="753" spans="1:32" s="25" customFormat="1" x14ac:dyDescent="0.25">
      <c r="A753" s="25" t="s">
        <v>185</v>
      </c>
      <c r="B753" s="25">
        <f t="shared" ref="B753:B803" si="25">B752+10</f>
        <v>5080</v>
      </c>
      <c r="C753" s="25" t="s">
        <v>12</v>
      </c>
      <c r="D753" s="25">
        <v>0</v>
      </c>
      <c r="E753" s="25">
        <v>0</v>
      </c>
      <c r="F753" s="25">
        <v>256</v>
      </c>
      <c r="G753" s="25">
        <v>222</v>
      </c>
      <c r="H753" s="27">
        <v>0</v>
      </c>
      <c r="I753" s="27">
        <v>0</v>
      </c>
      <c r="J753" s="27">
        <v>0</v>
      </c>
      <c r="K753" s="27">
        <v>0</v>
      </c>
      <c r="L753" s="27">
        <v>1</v>
      </c>
      <c r="M753" s="27">
        <v>0</v>
      </c>
      <c r="N753" s="27">
        <v>0</v>
      </c>
      <c r="O753" s="27">
        <v>0</v>
      </c>
      <c r="P753" s="25">
        <v>700</v>
      </c>
      <c r="Q753" s="25">
        <v>560</v>
      </c>
      <c r="R753" s="25" t="s">
        <v>87</v>
      </c>
      <c r="S753" s="25" t="s">
        <v>89</v>
      </c>
      <c r="T753" s="25">
        <v>0</v>
      </c>
      <c r="U753" s="25">
        <v>0</v>
      </c>
      <c r="V753" s="25">
        <v>0</v>
      </c>
      <c r="W753" s="25">
        <v>0</v>
      </c>
      <c r="X753" s="25">
        <v>1</v>
      </c>
      <c r="Y753" s="25">
        <v>0</v>
      </c>
      <c r="Z753" s="25">
        <v>0</v>
      </c>
      <c r="AA753" s="25">
        <v>0</v>
      </c>
      <c r="AB753" s="25">
        <v>0</v>
      </c>
      <c r="AC753" s="25">
        <v>0</v>
      </c>
      <c r="AD753" s="25">
        <v>0</v>
      </c>
      <c r="AE753" s="25">
        <v>1</v>
      </c>
      <c r="AF753" s="25" t="s">
        <v>131</v>
      </c>
    </row>
    <row r="754" spans="1:32" s="25" customFormat="1" x14ac:dyDescent="0.25">
      <c r="A754" s="25" t="s">
        <v>185</v>
      </c>
      <c r="B754" s="25">
        <f t="shared" si="25"/>
        <v>5090</v>
      </c>
      <c r="C754" s="25" t="s">
        <v>12</v>
      </c>
      <c r="D754" s="25">
        <v>0</v>
      </c>
      <c r="E754" s="25">
        <v>0</v>
      </c>
      <c r="F754" s="25">
        <v>256</v>
      </c>
      <c r="G754" s="25">
        <v>222</v>
      </c>
      <c r="H754" s="27">
        <v>0</v>
      </c>
      <c r="I754" s="27">
        <v>0</v>
      </c>
      <c r="J754" s="27">
        <v>0</v>
      </c>
      <c r="K754" s="27">
        <v>0</v>
      </c>
      <c r="L754" s="27">
        <v>1</v>
      </c>
      <c r="M754" s="27">
        <v>0</v>
      </c>
      <c r="N754" s="27">
        <v>0</v>
      </c>
      <c r="O754" s="27">
        <v>0</v>
      </c>
      <c r="P754" s="25">
        <v>700</v>
      </c>
      <c r="Q754" s="25">
        <v>560</v>
      </c>
      <c r="R754" s="25" t="s">
        <v>87</v>
      </c>
      <c r="S754" s="25" t="s">
        <v>89</v>
      </c>
      <c r="T754" s="25">
        <v>0</v>
      </c>
      <c r="U754" s="25">
        <v>0</v>
      </c>
      <c r="V754" s="25">
        <v>0</v>
      </c>
      <c r="W754" s="25">
        <v>0</v>
      </c>
      <c r="X754" s="25">
        <v>1</v>
      </c>
      <c r="Y754" s="25">
        <v>0</v>
      </c>
      <c r="Z754" s="25">
        <v>0</v>
      </c>
      <c r="AA754" s="25">
        <v>0</v>
      </c>
      <c r="AB754" s="25">
        <v>0</v>
      </c>
      <c r="AC754" s="25">
        <v>0</v>
      </c>
      <c r="AD754" s="25">
        <v>0</v>
      </c>
      <c r="AE754" s="25">
        <v>1</v>
      </c>
      <c r="AF754" s="25" t="s">
        <v>131</v>
      </c>
    </row>
    <row r="755" spans="1:32" s="25" customFormat="1" x14ac:dyDescent="0.25">
      <c r="A755" s="25" t="s">
        <v>185</v>
      </c>
      <c r="B755" s="25">
        <f t="shared" si="25"/>
        <v>5100</v>
      </c>
      <c r="C755" s="25" t="s">
        <v>12</v>
      </c>
      <c r="D755" s="25">
        <v>0</v>
      </c>
      <c r="E755" s="25">
        <v>0</v>
      </c>
      <c r="F755" s="25">
        <v>256</v>
      </c>
      <c r="G755" s="25">
        <v>222</v>
      </c>
      <c r="H755" s="27">
        <v>0</v>
      </c>
      <c r="I755" s="27">
        <v>0</v>
      </c>
      <c r="J755" s="27">
        <v>0</v>
      </c>
      <c r="K755" s="27">
        <v>0</v>
      </c>
      <c r="L755" s="27">
        <v>1</v>
      </c>
      <c r="M755" s="27">
        <v>0</v>
      </c>
      <c r="N755" s="27">
        <v>0</v>
      </c>
      <c r="O755" s="27">
        <v>0</v>
      </c>
      <c r="P755" s="25">
        <v>700</v>
      </c>
      <c r="Q755" s="25">
        <v>560</v>
      </c>
      <c r="R755" s="25" t="s">
        <v>87</v>
      </c>
      <c r="S755" s="25" t="s">
        <v>89</v>
      </c>
      <c r="T755" s="25">
        <v>0</v>
      </c>
      <c r="U755" s="25">
        <v>0</v>
      </c>
      <c r="V755" s="25">
        <v>0</v>
      </c>
      <c r="W755" s="25">
        <v>0</v>
      </c>
      <c r="X755" s="25">
        <v>1</v>
      </c>
      <c r="Y755" s="25">
        <v>0</v>
      </c>
      <c r="Z755" s="25">
        <v>0</v>
      </c>
      <c r="AA755" s="25">
        <v>0</v>
      </c>
      <c r="AB755" s="25">
        <v>0</v>
      </c>
      <c r="AC755" s="25">
        <v>0</v>
      </c>
      <c r="AD755" s="25">
        <v>0</v>
      </c>
      <c r="AE755" s="25">
        <v>1</v>
      </c>
      <c r="AF755" s="25" t="s">
        <v>131</v>
      </c>
    </row>
    <row r="756" spans="1:32" s="25" customFormat="1" x14ac:dyDescent="0.25">
      <c r="A756" s="25" t="s">
        <v>185</v>
      </c>
      <c r="B756" s="25">
        <f t="shared" si="25"/>
        <v>5110</v>
      </c>
      <c r="C756" s="25" t="s">
        <v>12</v>
      </c>
      <c r="D756" s="25">
        <v>0</v>
      </c>
      <c r="E756" s="25">
        <v>0</v>
      </c>
      <c r="F756" s="25">
        <v>256</v>
      </c>
      <c r="G756" s="25">
        <v>222</v>
      </c>
      <c r="H756" s="27">
        <v>0</v>
      </c>
      <c r="I756" s="27">
        <v>0</v>
      </c>
      <c r="J756" s="27">
        <v>0</v>
      </c>
      <c r="K756" s="27">
        <v>0</v>
      </c>
      <c r="L756" s="27">
        <v>1</v>
      </c>
      <c r="M756" s="27">
        <v>0</v>
      </c>
      <c r="N756" s="27">
        <v>0</v>
      </c>
      <c r="O756" s="27">
        <v>0</v>
      </c>
      <c r="P756" s="25">
        <v>700</v>
      </c>
      <c r="Q756" s="25">
        <v>560</v>
      </c>
      <c r="R756" s="25" t="s">
        <v>87</v>
      </c>
      <c r="S756" s="25" t="s">
        <v>89</v>
      </c>
      <c r="T756" s="25">
        <v>0</v>
      </c>
      <c r="U756" s="25">
        <v>0</v>
      </c>
      <c r="V756" s="25">
        <v>0</v>
      </c>
      <c r="W756" s="25">
        <v>0</v>
      </c>
      <c r="X756" s="25">
        <v>1</v>
      </c>
      <c r="Y756" s="25">
        <v>0</v>
      </c>
      <c r="Z756" s="25">
        <v>0</v>
      </c>
      <c r="AA756" s="25">
        <v>0</v>
      </c>
      <c r="AB756" s="25">
        <v>0</v>
      </c>
      <c r="AC756" s="25">
        <v>0</v>
      </c>
      <c r="AD756" s="25">
        <v>0</v>
      </c>
      <c r="AE756" s="25">
        <v>1</v>
      </c>
      <c r="AF756" s="25" t="s">
        <v>131</v>
      </c>
    </row>
    <row r="757" spans="1:32" s="25" customFormat="1" x14ac:dyDescent="0.25">
      <c r="A757" s="25" t="s">
        <v>185</v>
      </c>
      <c r="B757" s="25">
        <f t="shared" si="25"/>
        <v>5120</v>
      </c>
      <c r="C757" s="25" t="s">
        <v>12</v>
      </c>
      <c r="D757" s="25">
        <v>0</v>
      </c>
      <c r="E757" s="25">
        <v>0</v>
      </c>
      <c r="F757" s="25">
        <v>256</v>
      </c>
      <c r="G757" s="25">
        <v>222</v>
      </c>
      <c r="H757" s="27">
        <v>0</v>
      </c>
      <c r="I757" s="27">
        <v>0</v>
      </c>
      <c r="J757" s="27">
        <v>0</v>
      </c>
      <c r="K757" s="27">
        <v>0</v>
      </c>
      <c r="L757" s="27">
        <v>1</v>
      </c>
      <c r="M757" s="27">
        <v>0</v>
      </c>
      <c r="N757" s="27">
        <v>0</v>
      </c>
      <c r="O757" s="27">
        <v>0</v>
      </c>
      <c r="P757" s="25">
        <v>700</v>
      </c>
      <c r="Q757" s="25">
        <v>560</v>
      </c>
      <c r="R757" s="25" t="s">
        <v>87</v>
      </c>
      <c r="S757" s="25" t="s">
        <v>89</v>
      </c>
      <c r="T757" s="25">
        <v>0</v>
      </c>
      <c r="U757" s="25">
        <v>0</v>
      </c>
      <c r="V757" s="25">
        <v>0</v>
      </c>
      <c r="W757" s="25">
        <v>0</v>
      </c>
      <c r="X757" s="25">
        <v>1</v>
      </c>
      <c r="Y757" s="25">
        <v>0</v>
      </c>
      <c r="Z757" s="25">
        <v>0</v>
      </c>
      <c r="AA757" s="25">
        <v>0</v>
      </c>
      <c r="AB757" s="25">
        <v>0</v>
      </c>
      <c r="AC757" s="25">
        <v>0</v>
      </c>
      <c r="AD757" s="25">
        <v>0</v>
      </c>
      <c r="AE757" s="25">
        <v>1</v>
      </c>
      <c r="AF757" s="25" t="s">
        <v>131</v>
      </c>
    </row>
    <row r="758" spans="1:32" s="25" customFormat="1" x14ac:dyDescent="0.25">
      <c r="A758" s="25" t="s">
        <v>185</v>
      </c>
      <c r="B758" s="25">
        <f t="shared" si="25"/>
        <v>5130</v>
      </c>
      <c r="C758" s="25" t="s">
        <v>12</v>
      </c>
      <c r="D758" s="25">
        <v>0</v>
      </c>
      <c r="E758" s="25">
        <v>0</v>
      </c>
      <c r="F758" s="25">
        <v>256</v>
      </c>
      <c r="G758" s="25">
        <v>222</v>
      </c>
      <c r="H758" s="27">
        <v>0</v>
      </c>
      <c r="I758" s="27">
        <v>0</v>
      </c>
      <c r="J758" s="27">
        <v>0</v>
      </c>
      <c r="K758" s="27">
        <v>0</v>
      </c>
      <c r="L758" s="27">
        <v>1</v>
      </c>
      <c r="M758" s="27">
        <v>0</v>
      </c>
      <c r="N758" s="27">
        <v>0</v>
      </c>
      <c r="O758" s="27">
        <v>0</v>
      </c>
      <c r="P758" s="25">
        <v>700</v>
      </c>
      <c r="Q758" s="25">
        <v>560</v>
      </c>
      <c r="R758" s="25" t="s">
        <v>87</v>
      </c>
      <c r="S758" s="25" t="s">
        <v>89</v>
      </c>
      <c r="T758" s="25">
        <v>0</v>
      </c>
      <c r="U758" s="25">
        <v>0</v>
      </c>
      <c r="V758" s="25">
        <v>0</v>
      </c>
      <c r="W758" s="25">
        <v>0</v>
      </c>
      <c r="X758" s="25">
        <v>1</v>
      </c>
      <c r="Y758" s="25">
        <v>0</v>
      </c>
      <c r="Z758" s="25">
        <v>0</v>
      </c>
      <c r="AA758" s="25">
        <v>0</v>
      </c>
      <c r="AB758" s="25">
        <v>0</v>
      </c>
      <c r="AC758" s="25">
        <v>0</v>
      </c>
      <c r="AD758" s="25">
        <v>0</v>
      </c>
      <c r="AE758" s="25">
        <v>1</v>
      </c>
      <c r="AF758" s="25" t="s">
        <v>131</v>
      </c>
    </row>
    <row r="759" spans="1:32" s="25" customFormat="1" x14ac:dyDescent="0.25">
      <c r="A759" s="25" t="s">
        <v>185</v>
      </c>
      <c r="B759" s="25">
        <f t="shared" si="25"/>
        <v>5140</v>
      </c>
      <c r="C759" s="25" t="s">
        <v>12</v>
      </c>
      <c r="D759" s="25">
        <v>0</v>
      </c>
      <c r="E759" s="25">
        <v>0</v>
      </c>
      <c r="F759" s="25">
        <v>256</v>
      </c>
      <c r="G759" s="25">
        <v>222</v>
      </c>
      <c r="H759" s="27">
        <v>0</v>
      </c>
      <c r="I759" s="27">
        <v>0</v>
      </c>
      <c r="J759" s="27">
        <v>0</v>
      </c>
      <c r="K759" s="27">
        <v>0</v>
      </c>
      <c r="L759" s="27">
        <v>1</v>
      </c>
      <c r="M759" s="27">
        <v>0</v>
      </c>
      <c r="N759" s="27">
        <v>0</v>
      </c>
      <c r="O759" s="27">
        <v>0</v>
      </c>
      <c r="P759" s="25">
        <v>700</v>
      </c>
      <c r="Q759" s="25">
        <v>560</v>
      </c>
      <c r="R759" s="25" t="s">
        <v>87</v>
      </c>
      <c r="S759" s="25" t="s">
        <v>89</v>
      </c>
      <c r="T759" s="25">
        <v>0</v>
      </c>
      <c r="U759" s="25">
        <v>0</v>
      </c>
      <c r="V759" s="25">
        <v>0</v>
      </c>
      <c r="W759" s="25">
        <v>0</v>
      </c>
      <c r="X759" s="25">
        <v>1</v>
      </c>
      <c r="Y759" s="25">
        <v>0</v>
      </c>
      <c r="Z759" s="25">
        <v>0</v>
      </c>
      <c r="AA759" s="25">
        <v>0</v>
      </c>
      <c r="AB759" s="25">
        <v>0</v>
      </c>
      <c r="AC759" s="25">
        <v>0</v>
      </c>
      <c r="AD759" s="25">
        <v>0</v>
      </c>
      <c r="AE759" s="25">
        <v>1</v>
      </c>
      <c r="AF759" s="25" t="s">
        <v>131</v>
      </c>
    </row>
    <row r="760" spans="1:32" s="25" customFormat="1" x14ac:dyDescent="0.25">
      <c r="A760" s="25" t="s">
        <v>185</v>
      </c>
      <c r="B760" s="25">
        <f t="shared" si="25"/>
        <v>5150</v>
      </c>
      <c r="C760" s="25" t="s">
        <v>12</v>
      </c>
      <c r="D760" s="25">
        <v>0</v>
      </c>
      <c r="E760" s="25">
        <v>0</v>
      </c>
      <c r="F760" s="25">
        <v>256</v>
      </c>
      <c r="G760" s="25">
        <v>222</v>
      </c>
      <c r="H760" s="27">
        <v>0</v>
      </c>
      <c r="I760" s="27">
        <v>0</v>
      </c>
      <c r="J760" s="27">
        <v>0</v>
      </c>
      <c r="K760" s="27">
        <v>0</v>
      </c>
      <c r="L760" s="27">
        <v>1</v>
      </c>
      <c r="M760" s="27">
        <v>0</v>
      </c>
      <c r="N760" s="27">
        <v>0</v>
      </c>
      <c r="O760" s="27">
        <v>0</v>
      </c>
      <c r="P760" s="25">
        <v>700</v>
      </c>
      <c r="Q760" s="25">
        <v>560</v>
      </c>
      <c r="R760" s="25" t="s">
        <v>87</v>
      </c>
      <c r="S760" s="25" t="s">
        <v>89</v>
      </c>
      <c r="T760" s="25">
        <v>0</v>
      </c>
      <c r="U760" s="25">
        <v>0</v>
      </c>
      <c r="V760" s="25">
        <v>0</v>
      </c>
      <c r="W760" s="25">
        <v>0</v>
      </c>
      <c r="X760" s="25">
        <v>1</v>
      </c>
      <c r="Y760" s="25">
        <v>0</v>
      </c>
      <c r="Z760" s="25">
        <v>0</v>
      </c>
      <c r="AA760" s="25">
        <v>0</v>
      </c>
      <c r="AB760" s="25">
        <v>0</v>
      </c>
      <c r="AC760" s="25">
        <v>0</v>
      </c>
      <c r="AD760" s="25">
        <v>0</v>
      </c>
      <c r="AE760" s="25">
        <v>1</v>
      </c>
      <c r="AF760" s="25" t="s">
        <v>131</v>
      </c>
    </row>
    <row r="761" spans="1:32" s="25" customFormat="1" x14ac:dyDescent="0.25">
      <c r="A761" s="25" t="s">
        <v>185</v>
      </c>
      <c r="B761" s="25">
        <f t="shared" si="25"/>
        <v>5160</v>
      </c>
      <c r="C761" s="25" t="s">
        <v>12</v>
      </c>
      <c r="D761" s="25">
        <v>0</v>
      </c>
      <c r="E761" s="25">
        <v>0</v>
      </c>
      <c r="F761" s="25">
        <v>256</v>
      </c>
      <c r="G761" s="25">
        <v>222</v>
      </c>
      <c r="H761" s="27">
        <v>0</v>
      </c>
      <c r="I761" s="27">
        <v>0</v>
      </c>
      <c r="J761" s="27">
        <v>0</v>
      </c>
      <c r="K761" s="27">
        <v>0</v>
      </c>
      <c r="L761" s="27">
        <v>1</v>
      </c>
      <c r="M761" s="27">
        <v>0</v>
      </c>
      <c r="N761" s="27">
        <v>0</v>
      </c>
      <c r="O761" s="27">
        <v>0</v>
      </c>
      <c r="P761" s="25">
        <v>700</v>
      </c>
      <c r="Q761" s="25">
        <v>560</v>
      </c>
      <c r="R761" s="25" t="s">
        <v>87</v>
      </c>
      <c r="S761" s="25" t="s">
        <v>89</v>
      </c>
      <c r="T761" s="25">
        <v>0</v>
      </c>
      <c r="U761" s="25">
        <v>0</v>
      </c>
      <c r="V761" s="25">
        <v>0</v>
      </c>
      <c r="W761" s="25">
        <v>0</v>
      </c>
      <c r="X761" s="25">
        <v>1</v>
      </c>
      <c r="Y761" s="25">
        <v>0</v>
      </c>
      <c r="Z761" s="25">
        <v>0</v>
      </c>
      <c r="AA761" s="25">
        <v>0</v>
      </c>
      <c r="AB761" s="25">
        <v>0</v>
      </c>
      <c r="AC761" s="25">
        <v>0</v>
      </c>
      <c r="AD761" s="25">
        <v>0</v>
      </c>
      <c r="AE761" s="25">
        <v>1</v>
      </c>
      <c r="AF761" s="25" t="s">
        <v>131</v>
      </c>
    </row>
    <row r="762" spans="1:32" s="25" customFormat="1" x14ac:dyDescent="0.25">
      <c r="A762" s="25" t="s">
        <v>185</v>
      </c>
      <c r="B762" s="25">
        <f t="shared" si="25"/>
        <v>5170</v>
      </c>
      <c r="C762" s="25" t="s">
        <v>12</v>
      </c>
      <c r="D762" s="25">
        <v>0</v>
      </c>
      <c r="E762" s="25">
        <v>0</v>
      </c>
      <c r="F762" s="25">
        <v>256</v>
      </c>
      <c r="G762" s="25">
        <v>222</v>
      </c>
      <c r="H762" s="27">
        <v>0</v>
      </c>
      <c r="I762" s="27">
        <v>0</v>
      </c>
      <c r="J762" s="27">
        <v>0</v>
      </c>
      <c r="K762" s="27">
        <v>0</v>
      </c>
      <c r="L762" s="27">
        <v>1</v>
      </c>
      <c r="M762" s="27">
        <v>0</v>
      </c>
      <c r="N762" s="27">
        <v>0</v>
      </c>
      <c r="O762" s="27">
        <v>0</v>
      </c>
      <c r="P762" s="25">
        <v>700</v>
      </c>
      <c r="Q762" s="25">
        <v>560</v>
      </c>
      <c r="R762" s="25" t="s">
        <v>87</v>
      </c>
      <c r="S762" s="25" t="s">
        <v>89</v>
      </c>
      <c r="T762" s="25">
        <v>0</v>
      </c>
      <c r="U762" s="25">
        <v>0</v>
      </c>
      <c r="V762" s="25">
        <v>0</v>
      </c>
      <c r="W762" s="25">
        <v>0</v>
      </c>
      <c r="X762" s="25">
        <v>1</v>
      </c>
      <c r="Y762" s="25">
        <v>0</v>
      </c>
      <c r="Z762" s="25">
        <v>0</v>
      </c>
      <c r="AA762" s="25">
        <v>0</v>
      </c>
      <c r="AB762" s="25">
        <v>0</v>
      </c>
      <c r="AC762" s="25">
        <v>0</v>
      </c>
      <c r="AD762" s="25">
        <v>0</v>
      </c>
      <c r="AE762" s="25">
        <v>1</v>
      </c>
      <c r="AF762" s="25" t="s">
        <v>131</v>
      </c>
    </row>
    <row r="763" spans="1:32" s="25" customFormat="1" x14ac:dyDescent="0.25">
      <c r="A763" s="25" t="s">
        <v>185</v>
      </c>
      <c r="B763" s="25">
        <f t="shared" si="25"/>
        <v>5180</v>
      </c>
      <c r="C763" s="25" t="s">
        <v>12</v>
      </c>
      <c r="D763" s="25">
        <v>0</v>
      </c>
      <c r="E763" s="25">
        <v>0</v>
      </c>
      <c r="F763" s="25">
        <v>256</v>
      </c>
      <c r="G763" s="25">
        <v>222</v>
      </c>
      <c r="H763" s="27">
        <v>0</v>
      </c>
      <c r="I763" s="27">
        <v>0</v>
      </c>
      <c r="J763" s="27">
        <v>0</v>
      </c>
      <c r="K763" s="27">
        <v>0</v>
      </c>
      <c r="L763" s="27">
        <v>1</v>
      </c>
      <c r="M763" s="27">
        <v>0</v>
      </c>
      <c r="N763" s="27">
        <v>0</v>
      </c>
      <c r="O763" s="27">
        <v>0</v>
      </c>
      <c r="P763" s="25">
        <v>700</v>
      </c>
      <c r="Q763" s="25">
        <v>560</v>
      </c>
      <c r="R763" s="25" t="s">
        <v>87</v>
      </c>
      <c r="S763" s="25" t="s">
        <v>89</v>
      </c>
      <c r="T763" s="25">
        <v>0</v>
      </c>
      <c r="U763" s="25">
        <v>0</v>
      </c>
      <c r="V763" s="25">
        <v>0</v>
      </c>
      <c r="W763" s="25">
        <v>0</v>
      </c>
      <c r="X763" s="25">
        <v>1</v>
      </c>
      <c r="Y763" s="25">
        <v>0</v>
      </c>
      <c r="Z763" s="25">
        <v>0</v>
      </c>
      <c r="AA763" s="25">
        <v>0</v>
      </c>
      <c r="AB763" s="25">
        <v>0</v>
      </c>
      <c r="AC763" s="25">
        <v>0</v>
      </c>
      <c r="AD763" s="25">
        <v>0</v>
      </c>
      <c r="AE763" s="25">
        <v>1</v>
      </c>
      <c r="AF763" s="25" t="s">
        <v>131</v>
      </c>
    </row>
    <row r="764" spans="1:32" s="25" customFormat="1" x14ac:dyDescent="0.25">
      <c r="A764" s="25" t="s">
        <v>185</v>
      </c>
      <c r="B764" s="25">
        <f t="shared" si="25"/>
        <v>5190</v>
      </c>
      <c r="C764" s="25" t="s">
        <v>12</v>
      </c>
      <c r="D764" s="25">
        <v>0</v>
      </c>
      <c r="E764" s="25">
        <v>0</v>
      </c>
      <c r="F764" s="25">
        <v>256</v>
      </c>
      <c r="G764" s="25">
        <v>222</v>
      </c>
      <c r="H764" s="27">
        <v>0</v>
      </c>
      <c r="I764" s="27">
        <v>0</v>
      </c>
      <c r="J764" s="27">
        <v>0</v>
      </c>
      <c r="K764" s="27">
        <v>0</v>
      </c>
      <c r="L764" s="27">
        <v>1</v>
      </c>
      <c r="M764" s="27">
        <v>0</v>
      </c>
      <c r="N764" s="27">
        <v>0</v>
      </c>
      <c r="O764" s="27">
        <v>0</v>
      </c>
      <c r="P764" s="25">
        <v>700</v>
      </c>
      <c r="Q764" s="25">
        <v>560</v>
      </c>
      <c r="R764" s="25" t="s">
        <v>87</v>
      </c>
      <c r="S764" s="25" t="s">
        <v>89</v>
      </c>
      <c r="T764" s="25">
        <v>0</v>
      </c>
      <c r="U764" s="25">
        <v>0</v>
      </c>
      <c r="V764" s="25">
        <v>0</v>
      </c>
      <c r="W764" s="25">
        <v>0</v>
      </c>
      <c r="X764" s="25">
        <v>1</v>
      </c>
      <c r="Y764" s="25">
        <v>0</v>
      </c>
      <c r="Z764" s="25">
        <v>0</v>
      </c>
      <c r="AA764" s="25">
        <v>0</v>
      </c>
      <c r="AB764" s="25">
        <v>0</v>
      </c>
      <c r="AC764" s="25">
        <v>0</v>
      </c>
      <c r="AD764" s="25">
        <v>0</v>
      </c>
      <c r="AE764" s="25">
        <v>1</v>
      </c>
      <c r="AF764" s="25" t="s">
        <v>131</v>
      </c>
    </row>
    <row r="765" spans="1:32" s="25" customFormat="1" x14ac:dyDescent="0.25">
      <c r="A765" s="25" t="s">
        <v>185</v>
      </c>
      <c r="B765" s="25">
        <f t="shared" si="25"/>
        <v>5200</v>
      </c>
      <c r="C765" s="25" t="s">
        <v>12</v>
      </c>
      <c r="D765" s="25">
        <v>0</v>
      </c>
      <c r="E765" s="25">
        <v>0</v>
      </c>
      <c r="F765" s="25">
        <v>256</v>
      </c>
      <c r="G765" s="25">
        <v>222</v>
      </c>
      <c r="H765" s="27">
        <v>0</v>
      </c>
      <c r="I765" s="27">
        <v>0</v>
      </c>
      <c r="J765" s="27">
        <v>0</v>
      </c>
      <c r="K765" s="27">
        <v>0</v>
      </c>
      <c r="L765" s="27">
        <v>1</v>
      </c>
      <c r="M765" s="27">
        <v>0</v>
      </c>
      <c r="N765" s="27">
        <v>0</v>
      </c>
      <c r="O765" s="27">
        <v>0</v>
      </c>
      <c r="P765" s="25">
        <v>700</v>
      </c>
      <c r="Q765" s="25">
        <v>560</v>
      </c>
      <c r="R765" s="25" t="s">
        <v>87</v>
      </c>
      <c r="S765" s="25" t="s">
        <v>89</v>
      </c>
      <c r="T765" s="25">
        <v>0</v>
      </c>
      <c r="U765" s="25">
        <v>0</v>
      </c>
      <c r="V765" s="25">
        <v>0</v>
      </c>
      <c r="W765" s="25">
        <v>0</v>
      </c>
      <c r="X765" s="25">
        <v>1</v>
      </c>
      <c r="Y765" s="25">
        <v>0</v>
      </c>
      <c r="Z765" s="25">
        <v>0</v>
      </c>
      <c r="AA765" s="25">
        <v>0</v>
      </c>
      <c r="AB765" s="25">
        <v>0</v>
      </c>
      <c r="AC765" s="25">
        <v>0</v>
      </c>
      <c r="AD765" s="25">
        <v>0</v>
      </c>
      <c r="AE765" s="25">
        <v>1</v>
      </c>
      <c r="AF765" s="25" t="s">
        <v>131</v>
      </c>
    </row>
    <row r="766" spans="1:32" s="25" customFormat="1" x14ac:dyDescent="0.25">
      <c r="A766" s="25" t="s">
        <v>185</v>
      </c>
      <c r="B766" s="25">
        <f t="shared" si="25"/>
        <v>5210</v>
      </c>
      <c r="C766" s="25" t="s">
        <v>12</v>
      </c>
      <c r="D766" s="25">
        <v>0</v>
      </c>
      <c r="E766" s="25">
        <v>0</v>
      </c>
      <c r="F766" s="25">
        <v>256</v>
      </c>
      <c r="G766" s="25">
        <v>222</v>
      </c>
      <c r="H766" s="27">
        <v>0</v>
      </c>
      <c r="I766" s="27">
        <v>0</v>
      </c>
      <c r="J766" s="27">
        <v>0</v>
      </c>
      <c r="K766" s="27">
        <v>0</v>
      </c>
      <c r="L766" s="27">
        <v>1</v>
      </c>
      <c r="M766" s="27">
        <v>0</v>
      </c>
      <c r="N766" s="27">
        <v>0</v>
      </c>
      <c r="O766" s="27">
        <v>0</v>
      </c>
      <c r="P766" s="25">
        <v>700</v>
      </c>
      <c r="Q766" s="25">
        <v>560</v>
      </c>
      <c r="R766" s="25" t="s">
        <v>87</v>
      </c>
      <c r="S766" s="25" t="s">
        <v>89</v>
      </c>
      <c r="T766" s="25">
        <v>0</v>
      </c>
      <c r="U766" s="25">
        <v>0</v>
      </c>
      <c r="V766" s="25">
        <v>0</v>
      </c>
      <c r="W766" s="25">
        <v>0</v>
      </c>
      <c r="X766" s="25">
        <v>1</v>
      </c>
      <c r="Y766" s="25">
        <v>0</v>
      </c>
      <c r="Z766" s="25">
        <v>0</v>
      </c>
      <c r="AA766" s="25">
        <v>0</v>
      </c>
      <c r="AB766" s="25">
        <v>0</v>
      </c>
      <c r="AC766" s="25">
        <v>0</v>
      </c>
      <c r="AD766" s="25">
        <v>0</v>
      </c>
      <c r="AE766" s="25">
        <v>1</v>
      </c>
      <c r="AF766" s="25" t="s">
        <v>131</v>
      </c>
    </row>
    <row r="767" spans="1:32" s="25" customFormat="1" x14ac:dyDescent="0.25">
      <c r="A767" s="25" t="s">
        <v>185</v>
      </c>
      <c r="B767" s="25">
        <f t="shared" si="25"/>
        <v>5220</v>
      </c>
      <c r="C767" s="25" t="s">
        <v>12</v>
      </c>
      <c r="D767" s="25">
        <v>0</v>
      </c>
      <c r="E767" s="25">
        <v>0</v>
      </c>
      <c r="F767" s="25">
        <v>256</v>
      </c>
      <c r="G767" s="25">
        <v>222</v>
      </c>
      <c r="H767" s="27">
        <v>0</v>
      </c>
      <c r="I767" s="27">
        <v>0</v>
      </c>
      <c r="J767" s="27">
        <v>0</v>
      </c>
      <c r="K767" s="27">
        <v>0</v>
      </c>
      <c r="L767" s="27">
        <v>1</v>
      </c>
      <c r="M767" s="27">
        <v>0</v>
      </c>
      <c r="N767" s="27">
        <v>0</v>
      </c>
      <c r="O767" s="27">
        <v>0</v>
      </c>
      <c r="P767" s="25">
        <v>700</v>
      </c>
      <c r="Q767" s="25">
        <v>560</v>
      </c>
      <c r="R767" s="25" t="s">
        <v>87</v>
      </c>
      <c r="S767" s="25" t="s">
        <v>89</v>
      </c>
      <c r="T767" s="25">
        <v>0</v>
      </c>
      <c r="U767" s="25">
        <v>0</v>
      </c>
      <c r="V767" s="25">
        <v>0</v>
      </c>
      <c r="W767" s="25">
        <v>0</v>
      </c>
      <c r="X767" s="25">
        <v>1</v>
      </c>
      <c r="Y767" s="25">
        <v>0</v>
      </c>
      <c r="Z767" s="25">
        <v>0</v>
      </c>
      <c r="AA767" s="25">
        <v>0</v>
      </c>
      <c r="AB767" s="25">
        <v>0</v>
      </c>
      <c r="AC767" s="25">
        <v>0</v>
      </c>
      <c r="AD767" s="25">
        <v>0</v>
      </c>
      <c r="AE767" s="25">
        <v>1</v>
      </c>
      <c r="AF767" s="25" t="s">
        <v>131</v>
      </c>
    </row>
    <row r="768" spans="1:32" s="25" customFormat="1" x14ac:dyDescent="0.25">
      <c r="A768" s="25" t="s">
        <v>185</v>
      </c>
      <c r="B768" s="25">
        <f t="shared" si="25"/>
        <v>5230</v>
      </c>
      <c r="C768" s="25" t="s">
        <v>12</v>
      </c>
      <c r="D768" s="25">
        <v>0</v>
      </c>
      <c r="E768" s="25">
        <v>0</v>
      </c>
      <c r="F768" s="25">
        <v>256</v>
      </c>
      <c r="G768" s="25">
        <v>222</v>
      </c>
      <c r="H768" s="27">
        <v>0</v>
      </c>
      <c r="I768" s="27">
        <v>0</v>
      </c>
      <c r="J768" s="27">
        <v>0</v>
      </c>
      <c r="K768" s="27">
        <v>0</v>
      </c>
      <c r="L768" s="27">
        <v>1</v>
      </c>
      <c r="M768" s="27">
        <v>0</v>
      </c>
      <c r="N768" s="27">
        <v>0</v>
      </c>
      <c r="O768" s="27">
        <v>0</v>
      </c>
      <c r="P768" s="25">
        <v>700</v>
      </c>
      <c r="Q768" s="25">
        <v>560</v>
      </c>
      <c r="R768" s="25" t="s">
        <v>87</v>
      </c>
      <c r="S768" s="25" t="s">
        <v>89</v>
      </c>
      <c r="T768" s="25">
        <v>0</v>
      </c>
      <c r="U768" s="25">
        <v>0</v>
      </c>
      <c r="V768" s="25">
        <v>0</v>
      </c>
      <c r="W768" s="25">
        <v>0</v>
      </c>
      <c r="X768" s="25">
        <v>1</v>
      </c>
      <c r="Y768" s="25">
        <v>0</v>
      </c>
      <c r="Z768" s="25">
        <v>0</v>
      </c>
      <c r="AA768" s="25">
        <v>0</v>
      </c>
      <c r="AB768" s="25">
        <v>0</v>
      </c>
      <c r="AC768" s="25">
        <v>0</v>
      </c>
      <c r="AD768" s="25">
        <v>0</v>
      </c>
      <c r="AE768" s="25">
        <v>1</v>
      </c>
      <c r="AF768" s="25" t="s">
        <v>131</v>
      </c>
    </row>
    <row r="769" spans="1:32" s="25" customFormat="1" x14ac:dyDescent="0.25">
      <c r="A769" s="25" t="s">
        <v>185</v>
      </c>
      <c r="B769" s="25">
        <f t="shared" si="25"/>
        <v>5240</v>
      </c>
      <c r="C769" s="25" t="s">
        <v>12</v>
      </c>
      <c r="D769" s="25">
        <v>0</v>
      </c>
      <c r="E769" s="25">
        <v>0</v>
      </c>
      <c r="F769" s="25">
        <v>256</v>
      </c>
      <c r="G769" s="25">
        <v>222</v>
      </c>
      <c r="H769" s="27">
        <v>0</v>
      </c>
      <c r="I769" s="27">
        <v>0</v>
      </c>
      <c r="J769" s="27">
        <v>0</v>
      </c>
      <c r="K769" s="27">
        <v>0</v>
      </c>
      <c r="L769" s="27">
        <v>1</v>
      </c>
      <c r="M769" s="27">
        <v>0</v>
      </c>
      <c r="N769" s="27">
        <v>0</v>
      </c>
      <c r="O769" s="27">
        <v>0</v>
      </c>
      <c r="P769" s="25">
        <v>700</v>
      </c>
      <c r="Q769" s="25">
        <v>560</v>
      </c>
      <c r="R769" s="25" t="s">
        <v>87</v>
      </c>
      <c r="S769" s="25" t="s">
        <v>89</v>
      </c>
      <c r="T769" s="25">
        <v>0</v>
      </c>
      <c r="U769" s="25">
        <v>0</v>
      </c>
      <c r="V769" s="25">
        <v>0</v>
      </c>
      <c r="W769" s="25">
        <v>0</v>
      </c>
      <c r="X769" s="25">
        <v>1</v>
      </c>
      <c r="Y769" s="25">
        <v>0</v>
      </c>
      <c r="Z769" s="25">
        <v>0</v>
      </c>
      <c r="AA769" s="25">
        <v>0</v>
      </c>
      <c r="AB769" s="25">
        <v>0</v>
      </c>
      <c r="AC769" s="25">
        <v>0</v>
      </c>
      <c r="AD769" s="25">
        <v>0</v>
      </c>
      <c r="AE769" s="25">
        <v>1</v>
      </c>
      <c r="AF769" s="25" t="s">
        <v>131</v>
      </c>
    </row>
    <row r="770" spans="1:32" s="25" customFormat="1" x14ac:dyDescent="0.25">
      <c r="A770" s="25" t="s">
        <v>185</v>
      </c>
      <c r="B770" s="25">
        <f t="shared" si="25"/>
        <v>5250</v>
      </c>
      <c r="C770" s="25" t="s">
        <v>12</v>
      </c>
      <c r="D770" s="25">
        <v>0</v>
      </c>
      <c r="E770" s="25">
        <v>0</v>
      </c>
      <c r="F770" s="25">
        <v>256</v>
      </c>
      <c r="G770" s="25">
        <v>222</v>
      </c>
      <c r="H770" s="27">
        <v>0</v>
      </c>
      <c r="I770" s="27">
        <v>0</v>
      </c>
      <c r="J770" s="27">
        <v>0</v>
      </c>
      <c r="K770" s="27">
        <v>0</v>
      </c>
      <c r="L770" s="27">
        <v>1</v>
      </c>
      <c r="M770" s="27">
        <v>0</v>
      </c>
      <c r="N770" s="27">
        <v>0</v>
      </c>
      <c r="O770" s="27">
        <v>0</v>
      </c>
      <c r="P770" s="25">
        <v>700</v>
      </c>
      <c r="Q770" s="25">
        <v>560</v>
      </c>
      <c r="R770" s="25" t="s">
        <v>87</v>
      </c>
      <c r="S770" s="25" t="s">
        <v>89</v>
      </c>
      <c r="T770" s="25">
        <v>0</v>
      </c>
      <c r="U770" s="25">
        <v>0</v>
      </c>
      <c r="V770" s="25">
        <v>0</v>
      </c>
      <c r="W770" s="25">
        <v>0</v>
      </c>
      <c r="X770" s="25">
        <v>1</v>
      </c>
      <c r="Y770" s="25">
        <v>0</v>
      </c>
      <c r="Z770" s="25">
        <v>0</v>
      </c>
      <c r="AA770" s="25">
        <v>0</v>
      </c>
      <c r="AB770" s="25">
        <v>0</v>
      </c>
      <c r="AC770" s="25">
        <v>0</v>
      </c>
      <c r="AD770" s="25">
        <v>0</v>
      </c>
      <c r="AE770" s="25">
        <v>1</v>
      </c>
      <c r="AF770" s="25" t="s">
        <v>131</v>
      </c>
    </row>
    <row r="771" spans="1:32" s="25" customFormat="1" x14ac:dyDescent="0.25">
      <c r="A771" s="25" t="s">
        <v>185</v>
      </c>
      <c r="B771" s="25">
        <f t="shared" si="25"/>
        <v>5260</v>
      </c>
      <c r="C771" s="25" t="s">
        <v>12</v>
      </c>
      <c r="D771" s="25">
        <v>0</v>
      </c>
      <c r="E771" s="25">
        <v>0</v>
      </c>
      <c r="F771" s="25">
        <v>256</v>
      </c>
      <c r="G771" s="25">
        <v>222</v>
      </c>
      <c r="H771" s="27">
        <v>0</v>
      </c>
      <c r="I771" s="27">
        <v>0</v>
      </c>
      <c r="J771" s="27">
        <v>0</v>
      </c>
      <c r="K771" s="27">
        <v>0</v>
      </c>
      <c r="L771" s="27">
        <v>1</v>
      </c>
      <c r="M771" s="27">
        <v>0</v>
      </c>
      <c r="N771" s="27">
        <v>0</v>
      </c>
      <c r="O771" s="27">
        <v>0</v>
      </c>
      <c r="P771" s="25">
        <v>700</v>
      </c>
      <c r="Q771" s="25">
        <v>560</v>
      </c>
      <c r="R771" s="25" t="s">
        <v>87</v>
      </c>
      <c r="S771" s="25" t="s">
        <v>89</v>
      </c>
      <c r="T771" s="25">
        <v>0</v>
      </c>
      <c r="U771" s="25">
        <v>0</v>
      </c>
      <c r="V771" s="25">
        <v>0</v>
      </c>
      <c r="W771" s="25">
        <v>0</v>
      </c>
      <c r="X771" s="25">
        <v>1</v>
      </c>
      <c r="Y771" s="25">
        <v>0</v>
      </c>
      <c r="Z771" s="25">
        <v>0</v>
      </c>
      <c r="AA771" s="25">
        <v>0</v>
      </c>
      <c r="AB771" s="25">
        <v>0</v>
      </c>
      <c r="AC771" s="25">
        <v>0</v>
      </c>
      <c r="AD771" s="25">
        <v>0</v>
      </c>
      <c r="AE771" s="25">
        <v>1</v>
      </c>
      <c r="AF771" s="25" t="s">
        <v>131</v>
      </c>
    </row>
    <row r="772" spans="1:32" s="25" customFormat="1" x14ac:dyDescent="0.25">
      <c r="A772" s="25" t="s">
        <v>185</v>
      </c>
      <c r="B772" s="25">
        <f t="shared" si="25"/>
        <v>5270</v>
      </c>
      <c r="C772" s="25" t="s">
        <v>12</v>
      </c>
      <c r="D772" s="25">
        <v>0</v>
      </c>
      <c r="E772" s="25">
        <v>0</v>
      </c>
      <c r="F772" s="25">
        <v>256</v>
      </c>
      <c r="G772" s="25">
        <v>222</v>
      </c>
      <c r="H772" s="27">
        <v>0</v>
      </c>
      <c r="I772" s="27">
        <v>0</v>
      </c>
      <c r="J772" s="27">
        <v>0</v>
      </c>
      <c r="K772" s="27">
        <v>0</v>
      </c>
      <c r="L772" s="27">
        <v>1</v>
      </c>
      <c r="M772" s="27">
        <v>0</v>
      </c>
      <c r="N772" s="27">
        <v>0</v>
      </c>
      <c r="O772" s="27">
        <v>0</v>
      </c>
      <c r="P772" s="25">
        <v>700</v>
      </c>
      <c r="Q772" s="25">
        <v>560</v>
      </c>
      <c r="R772" s="25" t="s">
        <v>87</v>
      </c>
      <c r="S772" s="25" t="s">
        <v>89</v>
      </c>
      <c r="T772" s="25">
        <v>0</v>
      </c>
      <c r="U772" s="25">
        <v>0</v>
      </c>
      <c r="V772" s="25">
        <v>0</v>
      </c>
      <c r="W772" s="25">
        <v>0</v>
      </c>
      <c r="X772" s="25">
        <v>1</v>
      </c>
      <c r="Y772" s="25">
        <v>0</v>
      </c>
      <c r="Z772" s="25">
        <v>0</v>
      </c>
      <c r="AA772" s="25">
        <v>0</v>
      </c>
      <c r="AB772" s="25">
        <v>0</v>
      </c>
      <c r="AC772" s="25">
        <v>0</v>
      </c>
      <c r="AD772" s="25">
        <v>0</v>
      </c>
      <c r="AE772" s="25">
        <v>1</v>
      </c>
      <c r="AF772" s="25" t="s">
        <v>131</v>
      </c>
    </row>
    <row r="773" spans="1:32" s="25" customFormat="1" x14ac:dyDescent="0.25">
      <c r="A773" s="25" t="s">
        <v>185</v>
      </c>
      <c r="B773" s="25">
        <f t="shared" si="25"/>
        <v>5280</v>
      </c>
      <c r="C773" s="25" t="s">
        <v>12</v>
      </c>
      <c r="D773" s="25">
        <v>0</v>
      </c>
      <c r="E773" s="25">
        <v>0</v>
      </c>
      <c r="F773" s="25">
        <v>256</v>
      </c>
      <c r="G773" s="25">
        <v>222</v>
      </c>
      <c r="H773" s="27">
        <v>0</v>
      </c>
      <c r="I773" s="27">
        <v>0</v>
      </c>
      <c r="J773" s="27">
        <v>0</v>
      </c>
      <c r="K773" s="27">
        <v>0</v>
      </c>
      <c r="L773" s="27">
        <v>1</v>
      </c>
      <c r="M773" s="27">
        <v>0</v>
      </c>
      <c r="N773" s="27">
        <v>0</v>
      </c>
      <c r="O773" s="27">
        <v>0</v>
      </c>
      <c r="P773" s="25">
        <v>700</v>
      </c>
      <c r="Q773" s="25">
        <v>560</v>
      </c>
      <c r="R773" s="25" t="s">
        <v>87</v>
      </c>
      <c r="S773" s="25" t="s">
        <v>89</v>
      </c>
      <c r="T773" s="25">
        <v>0</v>
      </c>
      <c r="U773" s="25">
        <v>0</v>
      </c>
      <c r="V773" s="25">
        <v>0</v>
      </c>
      <c r="W773" s="25">
        <v>0</v>
      </c>
      <c r="X773" s="25">
        <v>1</v>
      </c>
      <c r="Y773" s="25">
        <v>0</v>
      </c>
      <c r="Z773" s="25">
        <v>0</v>
      </c>
      <c r="AA773" s="25">
        <v>0</v>
      </c>
      <c r="AB773" s="25">
        <v>0</v>
      </c>
      <c r="AC773" s="25">
        <v>0</v>
      </c>
      <c r="AD773" s="25">
        <v>0</v>
      </c>
      <c r="AE773" s="25">
        <v>1</v>
      </c>
      <c r="AF773" s="25" t="s">
        <v>131</v>
      </c>
    </row>
    <row r="774" spans="1:32" s="25" customFormat="1" x14ac:dyDescent="0.25">
      <c r="A774" s="25" t="s">
        <v>185</v>
      </c>
      <c r="B774" s="25">
        <f t="shared" si="25"/>
        <v>5290</v>
      </c>
      <c r="C774" s="25" t="s">
        <v>12</v>
      </c>
      <c r="D774" s="25">
        <v>0</v>
      </c>
      <c r="E774" s="25">
        <v>0</v>
      </c>
      <c r="F774" s="25">
        <v>256</v>
      </c>
      <c r="G774" s="25">
        <v>222</v>
      </c>
      <c r="H774" s="27">
        <v>0</v>
      </c>
      <c r="I774" s="27">
        <v>0</v>
      </c>
      <c r="J774" s="27">
        <v>0</v>
      </c>
      <c r="K774" s="27">
        <v>0</v>
      </c>
      <c r="L774" s="27">
        <v>1</v>
      </c>
      <c r="M774" s="27">
        <v>0</v>
      </c>
      <c r="N774" s="27">
        <v>0</v>
      </c>
      <c r="O774" s="27">
        <v>0</v>
      </c>
      <c r="P774" s="25">
        <v>700</v>
      </c>
      <c r="Q774" s="25">
        <v>560</v>
      </c>
      <c r="R774" s="25" t="s">
        <v>87</v>
      </c>
      <c r="S774" s="25" t="s">
        <v>89</v>
      </c>
      <c r="T774" s="25">
        <v>0</v>
      </c>
      <c r="U774" s="25">
        <v>0</v>
      </c>
      <c r="V774" s="25">
        <v>0</v>
      </c>
      <c r="W774" s="25">
        <v>0</v>
      </c>
      <c r="X774" s="25">
        <v>1</v>
      </c>
      <c r="Y774" s="25">
        <v>0</v>
      </c>
      <c r="Z774" s="25">
        <v>0</v>
      </c>
      <c r="AA774" s="25">
        <v>0</v>
      </c>
      <c r="AB774" s="25">
        <v>0</v>
      </c>
      <c r="AC774" s="25">
        <v>0</v>
      </c>
      <c r="AD774" s="25">
        <v>0</v>
      </c>
      <c r="AE774" s="25">
        <v>1</v>
      </c>
      <c r="AF774" s="25" t="s">
        <v>131</v>
      </c>
    </row>
    <row r="775" spans="1:32" s="25" customFormat="1" x14ac:dyDescent="0.25">
      <c r="A775" s="25" t="s">
        <v>185</v>
      </c>
      <c r="B775" s="25">
        <f t="shared" si="25"/>
        <v>5300</v>
      </c>
      <c r="C775" s="25" t="s">
        <v>12</v>
      </c>
      <c r="D775" s="25">
        <v>0</v>
      </c>
      <c r="E775" s="25">
        <v>0</v>
      </c>
      <c r="F775" s="25">
        <v>256</v>
      </c>
      <c r="G775" s="25">
        <v>222</v>
      </c>
      <c r="H775" s="27">
        <v>0</v>
      </c>
      <c r="I775" s="27">
        <v>0</v>
      </c>
      <c r="J775" s="27">
        <v>0</v>
      </c>
      <c r="K775" s="27">
        <v>0</v>
      </c>
      <c r="L775" s="27">
        <v>1</v>
      </c>
      <c r="M775" s="27">
        <v>0</v>
      </c>
      <c r="N775" s="27">
        <v>0</v>
      </c>
      <c r="O775" s="27">
        <v>0</v>
      </c>
      <c r="P775" s="25">
        <v>700</v>
      </c>
      <c r="Q775" s="25">
        <v>560</v>
      </c>
      <c r="R775" s="25" t="s">
        <v>87</v>
      </c>
      <c r="S775" s="25" t="s">
        <v>89</v>
      </c>
      <c r="T775" s="25">
        <v>0</v>
      </c>
      <c r="U775" s="25">
        <v>0</v>
      </c>
      <c r="V775" s="25">
        <v>0</v>
      </c>
      <c r="W775" s="25">
        <v>0</v>
      </c>
      <c r="X775" s="25">
        <v>1</v>
      </c>
      <c r="Y775" s="25">
        <v>0</v>
      </c>
      <c r="Z775" s="25">
        <v>0</v>
      </c>
      <c r="AA775" s="25">
        <v>0</v>
      </c>
      <c r="AB775" s="25">
        <v>0</v>
      </c>
      <c r="AC775" s="25">
        <v>0</v>
      </c>
      <c r="AD775" s="25">
        <v>0</v>
      </c>
      <c r="AE775" s="25">
        <v>1</v>
      </c>
      <c r="AF775" s="25" t="s">
        <v>131</v>
      </c>
    </row>
    <row r="776" spans="1:32" s="25" customFormat="1" x14ac:dyDescent="0.25">
      <c r="A776" s="25" t="s">
        <v>185</v>
      </c>
      <c r="B776" s="25">
        <f t="shared" si="25"/>
        <v>5310</v>
      </c>
      <c r="C776" s="25" t="s">
        <v>12</v>
      </c>
      <c r="D776" s="25">
        <v>0</v>
      </c>
      <c r="E776" s="25">
        <v>0</v>
      </c>
      <c r="F776" s="25">
        <v>256</v>
      </c>
      <c r="G776" s="25">
        <v>222</v>
      </c>
      <c r="H776" s="27">
        <v>0</v>
      </c>
      <c r="I776" s="27">
        <v>0</v>
      </c>
      <c r="J776" s="27">
        <v>0</v>
      </c>
      <c r="K776" s="27">
        <v>0</v>
      </c>
      <c r="L776" s="27">
        <v>1</v>
      </c>
      <c r="M776" s="27">
        <v>0</v>
      </c>
      <c r="N776" s="27">
        <v>0</v>
      </c>
      <c r="O776" s="27">
        <v>0</v>
      </c>
      <c r="P776" s="25">
        <v>700</v>
      </c>
      <c r="Q776" s="25">
        <v>560</v>
      </c>
      <c r="R776" s="25" t="s">
        <v>87</v>
      </c>
      <c r="S776" s="25" t="s">
        <v>89</v>
      </c>
      <c r="T776" s="25">
        <v>0</v>
      </c>
      <c r="U776" s="25">
        <v>0</v>
      </c>
      <c r="V776" s="25">
        <v>0</v>
      </c>
      <c r="W776" s="25">
        <v>0</v>
      </c>
      <c r="X776" s="25">
        <v>1</v>
      </c>
      <c r="Y776" s="25">
        <v>0</v>
      </c>
      <c r="Z776" s="25">
        <v>0</v>
      </c>
      <c r="AA776" s="25">
        <v>0</v>
      </c>
      <c r="AB776" s="25">
        <v>0</v>
      </c>
      <c r="AC776" s="25">
        <v>0</v>
      </c>
      <c r="AD776" s="25">
        <v>0</v>
      </c>
      <c r="AE776" s="25">
        <v>1</v>
      </c>
      <c r="AF776" s="25" t="s">
        <v>131</v>
      </c>
    </row>
    <row r="777" spans="1:32" s="25" customFormat="1" x14ac:dyDescent="0.25">
      <c r="A777" s="25" t="s">
        <v>185</v>
      </c>
      <c r="B777" s="25">
        <f t="shared" si="25"/>
        <v>5320</v>
      </c>
      <c r="C777" s="25" t="s">
        <v>12</v>
      </c>
      <c r="D777" s="25">
        <v>0</v>
      </c>
      <c r="E777" s="25">
        <v>0</v>
      </c>
      <c r="F777" s="25">
        <v>256</v>
      </c>
      <c r="G777" s="25">
        <v>222</v>
      </c>
      <c r="H777" s="27">
        <v>0</v>
      </c>
      <c r="I777" s="27">
        <v>0</v>
      </c>
      <c r="J777" s="27">
        <v>0</v>
      </c>
      <c r="K777" s="27">
        <v>0</v>
      </c>
      <c r="L777" s="27">
        <v>1</v>
      </c>
      <c r="M777" s="27">
        <v>0</v>
      </c>
      <c r="N777" s="27">
        <v>0</v>
      </c>
      <c r="O777" s="27">
        <v>0</v>
      </c>
      <c r="P777" s="25">
        <v>700</v>
      </c>
      <c r="Q777" s="25">
        <v>560</v>
      </c>
      <c r="R777" s="25" t="s">
        <v>87</v>
      </c>
      <c r="S777" s="25" t="s">
        <v>89</v>
      </c>
      <c r="T777" s="25">
        <v>0</v>
      </c>
      <c r="U777" s="25">
        <v>0</v>
      </c>
      <c r="V777" s="25">
        <v>0</v>
      </c>
      <c r="W777" s="25">
        <v>0</v>
      </c>
      <c r="X777" s="25">
        <v>1</v>
      </c>
      <c r="Y777" s="25">
        <v>0</v>
      </c>
      <c r="Z777" s="25">
        <v>0</v>
      </c>
      <c r="AA777" s="25">
        <v>0</v>
      </c>
      <c r="AB777" s="25">
        <v>0</v>
      </c>
      <c r="AC777" s="25">
        <v>0</v>
      </c>
      <c r="AD777" s="25">
        <v>0</v>
      </c>
      <c r="AE777" s="25">
        <v>1</v>
      </c>
      <c r="AF777" s="25" t="s">
        <v>131</v>
      </c>
    </row>
    <row r="778" spans="1:32" s="25" customFormat="1" x14ac:dyDescent="0.25">
      <c r="A778" s="25" t="s">
        <v>185</v>
      </c>
      <c r="B778" s="25">
        <f t="shared" si="25"/>
        <v>5330</v>
      </c>
      <c r="C778" s="25" t="s">
        <v>12</v>
      </c>
      <c r="D778" s="25">
        <v>0</v>
      </c>
      <c r="E778" s="25">
        <v>0</v>
      </c>
      <c r="F778" s="25">
        <v>256</v>
      </c>
      <c r="G778" s="25">
        <v>222</v>
      </c>
      <c r="H778" s="27">
        <v>0</v>
      </c>
      <c r="I778" s="27">
        <v>0</v>
      </c>
      <c r="J778" s="27">
        <v>0</v>
      </c>
      <c r="K778" s="27">
        <v>0</v>
      </c>
      <c r="L778" s="27">
        <v>1</v>
      </c>
      <c r="M778" s="27">
        <v>0</v>
      </c>
      <c r="N778" s="27">
        <v>0</v>
      </c>
      <c r="O778" s="27">
        <v>0</v>
      </c>
      <c r="P778" s="25">
        <v>700</v>
      </c>
      <c r="Q778" s="25">
        <v>560</v>
      </c>
      <c r="R778" s="25" t="s">
        <v>87</v>
      </c>
      <c r="S778" s="25" t="s">
        <v>89</v>
      </c>
      <c r="T778" s="25">
        <v>0</v>
      </c>
      <c r="U778" s="25">
        <v>0</v>
      </c>
      <c r="V778" s="25">
        <v>0</v>
      </c>
      <c r="W778" s="25">
        <v>0</v>
      </c>
      <c r="X778" s="25">
        <v>1</v>
      </c>
      <c r="Y778" s="25">
        <v>0</v>
      </c>
      <c r="Z778" s="25">
        <v>0</v>
      </c>
      <c r="AA778" s="25">
        <v>0</v>
      </c>
      <c r="AB778" s="25">
        <v>0</v>
      </c>
      <c r="AC778" s="25">
        <v>0</v>
      </c>
      <c r="AD778" s="25">
        <v>0</v>
      </c>
      <c r="AE778" s="25">
        <v>1</v>
      </c>
      <c r="AF778" s="25" t="s">
        <v>131</v>
      </c>
    </row>
    <row r="779" spans="1:32" s="25" customFormat="1" x14ac:dyDescent="0.25">
      <c r="A779" s="25" t="s">
        <v>185</v>
      </c>
      <c r="B779" s="25">
        <f t="shared" si="25"/>
        <v>5340</v>
      </c>
      <c r="C779" s="25" t="s">
        <v>12</v>
      </c>
      <c r="D779" s="25">
        <v>0</v>
      </c>
      <c r="E779" s="25">
        <v>0</v>
      </c>
      <c r="F779" s="25">
        <v>256</v>
      </c>
      <c r="G779" s="25">
        <v>222</v>
      </c>
      <c r="H779" s="27">
        <v>0</v>
      </c>
      <c r="I779" s="27">
        <v>0</v>
      </c>
      <c r="J779" s="27">
        <v>0</v>
      </c>
      <c r="K779" s="27">
        <v>0</v>
      </c>
      <c r="L779" s="27">
        <v>1</v>
      </c>
      <c r="M779" s="27">
        <v>0</v>
      </c>
      <c r="N779" s="27">
        <v>0</v>
      </c>
      <c r="O779" s="27">
        <v>0</v>
      </c>
      <c r="P779" s="25">
        <v>700</v>
      </c>
      <c r="Q779" s="25">
        <v>560</v>
      </c>
      <c r="R779" s="25" t="s">
        <v>87</v>
      </c>
      <c r="S779" s="25" t="s">
        <v>89</v>
      </c>
      <c r="T779" s="25">
        <v>0</v>
      </c>
      <c r="U779" s="25">
        <v>0</v>
      </c>
      <c r="V779" s="25">
        <v>0</v>
      </c>
      <c r="W779" s="25">
        <v>0</v>
      </c>
      <c r="X779" s="25">
        <v>1</v>
      </c>
      <c r="Y779" s="25">
        <v>0</v>
      </c>
      <c r="Z779" s="25">
        <v>0</v>
      </c>
      <c r="AA779" s="25">
        <v>0</v>
      </c>
      <c r="AB779" s="25">
        <v>0</v>
      </c>
      <c r="AC779" s="25">
        <v>0</v>
      </c>
      <c r="AD779" s="25">
        <v>0</v>
      </c>
      <c r="AE779" s="25">
        <v>1</v>
      </c>
      <c r="AF779" s="25" t="s">
        <v>131</v>
      </c>
    </row>
    <row r="780" spans="1:32" s="25" customFormat="1" x14ac:dyDescent="0.25">
      <c r="A780" s="25" t="s">
        <v>185</v>
      </c>
      <c r="B780" s="25">
        <f t="shared" si="25"/>
        <v>5350</v>
      </c>
      <c r="C780" s="25" t="s">
        <v>12</v>
      </c>
      <c r="D780" s="25">
        <v>0</v>
      </c>
      <c r="E780" s="25">
        <v>0</v>
      </c>
      <c r="F780" s="25">
        <v>256</v>
      </c>
      <c r="G780" s="25">
        <v>222</v>
      </c>
      <c r="H780" s="27">
        <v>0</v>
      </c>
      <c r="I780" s="27">
        <v>0</v>
      </c>
      <c r="J780" s="27">
        <v>0</v>
      </c>
      <c r="K780" s="27">
        <v>0</v>
      </c>
      <c r="L780" s="27">
        <v>1</v>
      </c>
      <c r="M780" s="27">
        <v>0</v>
      </c>
      <c r="N780" s="27">
        <v>0</v>
      </c>
      <c r="O780" s="27">
        <v>0</v>
      </c>
      <c r="P780" s="25">
        <v>700</v>
      </c>
      <c r="Q780" s="25">
        <v>560</v>
      </c>
      <c r="R780" s="25" t="s">
        <v>87</v>
      </c>
      <c r="S780" s="25" t="s">
        <v>89</v>
      </c>
      <c r="T780" s="25">
        <v>0</v>
      </c>
      <c r="U780" s="25">
        <v>0</v>
      </c>
      <c r="V780" s="25">
        <v>0</v>
      </c>
      <c r="W780" s="25">
        <v>0</v>
      </c>
      <c r="X780" s="25">
        <v>1</v>
      </c>
      <c r="Y780" s="25">
        <v>0</v>
      </c>
      <c r="Z780" s="25">
        <v>0</v>
      </c>
      <c r="AA780" s="25">
        <v>0</v>
      </c>
      <c r="AB780" s="25">
        <v>0</v>
      </c>
      <c r="AC780" s="25">
        <v>0</v>
      </c>
      <c r="AD780" s="25">
        <v>0</v>
      </c>
      <c r="AE780" s="25">
        <v>1</v>
      </c>
      <c r="AF780" s="25" t="s">
        <v>131</v>
      </c>
    </row>
    <row r="781" spans="1:32" s="25" customFormat="1" x14ac:dyDescent="0.25">
      <c r="A781" s="25" t="s">
        <v>185</v>
      </c>
      <c r="B781" s="25">
        <f t="shared" si="25"/>
        <v>5360</v>
      </c>
      <c r="C781" s="25" t="s">
        <v>12</v>
      </c>
      <c r="D781" s="25">
        <v>0</v>
      </c>
      <c r="E781" s="25">
        <v>0</v>
      </c>
      <c r="F781" s="25">
        <v>256</v>
      </c>
      <c r="G781" s="25">
        <v>222</v>
      </c>
      <c r="H781" s="27">
        <v>0</v>
      </c>
      <c r="I781" s="27">
        <v>0</v>
      </c>
      <c r="J781" s="27">
        <v>0</v>
      </c>
      <c r="K781" s="27">
        <v>0</v>
      </c>
      <c r="L781" s="27">
        <v>1</v>
      </c>
      <c r="M781" s="27">
        <v>0</v>
      </c>
      <c r="N781" s="27">
        <v>0</v>
      </c>
      <c r="O781" s="27">
        <v>0</v>
      </c>
      <c r="P781" s="25">
        <v>700</v>
      </c>
      <c r="Q781" s="25">
        <v>560</v>
      </c>
      <c r="R781" s="25" t="s">
        <v>87</v>
      </c>
      <c r="S781" s="25" t="s">
        <v>89</v>
      </c>
      <c r="T781" s="25">
        <v>0</v>
      </c>
      <c r="U781" s="25">
        <v>0</v>
      </c>
      <c r="V781" s="25">
        <v>0</v>
      </c>
      <c r="W781" s="25">
        <v>0</v>
      </c>
      <c r="X781" s="25">
        <v>1</v>
      </c>
      <c r="Y781" s="25">
        <v>0</v>
      </c>
      <c r="Z781" s="25">
        <v>0</v>
      </c>
      <c r="AA781" s="25">
        <v>0</v>
      </c>
      <c r="AB781" s="25">
        <v>0</v>
      </c>
      <c r="AC781" s="25">
        <v>0</v>
      </c>
      <c r="AD781" s="25">
        <v>0</v>
      </c>
      <c r="AE781" s="25">
        <v>1</v>
      </c>
      <c r="AF781" s="25" t="s">
        <v>131</v>
      </c>
    </row>
    <row r="782" spans="1:32" s="25" customFormat="1" x14ac:dyDescent="0.25">
      <c r="A782" s="25" t="s">
        <v>185</v>
      </c>
      <c r="B782" s="25">
        <f t="shared" si="25"/>
        <v>5370</v>
      </c>
      <c r="C782" s="25" t="s">
        <v>12</v>
      </c>
      <c r="D782" s="25">
        <v>0</v>
      </c>
      <c r="E782" s="25">
        <v>0</v>
      </c>
      <c r="F782" s="25">
        <v>256</v>
      </c>
      <c r="G782" s="25">
        <v>222</v>
      </c>
      <c r="H782" s="27">
        <v>0</v>
      </c>
      <c r="I782" s="27">
        <v>0</v>
      </c>
      <c r="J782" s="27">
        <v>0</v>
      </c>
      <c r="K782" s="27">
        <v>0</v>
      </c>
      <c r="L782" s="27">
        <v>1</v>
      </c>
      <c r="M782" s="27">
        <v>0</v>
      </c>
      <c r="N782" s="27">
        <v>0</v>
      </c>
      <c r="O782" s="27">
        <v>0</v>
      </c>
      <c r="P782" s="25">
        <v>700</v>
      </c>
      <c r="Q782" s="25">
        <v>560</v>
      </c>
      <c r="R782" s="25" t="s">
        <v>87</v>
      </c>
      <c r="S782" s="25" t="s">
        <v>89</v>
      </c>
      <c r="T782" s="25">
        <v>0</v>
      </c>
      <c r="U782" s="25">
        <v>0</v>
      </c>
      <c r="V782" s="25">
        <v>0</v>
      </c>
      <c r="W782" s="25">
        <v>0</v>
      </c>
      <c r="X782" s="25">
        <v>1</v>
      </c>
      <c r="Y782" s="25">
        <v>0</v>
      </c>
      <c r="Z782" s="25">
        <v>0</v>
      </c>
      <c r="AA782" s="25">
        <v>0</v>
      </c>
      <c r="AB782" s="25">
        <v>0</v>
      </c>
      <c r="AC782" s="25">
        <v>0</v>
      </c>
      <c r="AD782" s="25">
        <v>0</v>
      </c>
      <c r="AE782" s="25">
        <v>1</v>
      </c>
      <c r="AF782" s="25" t="s">
        <v>131</v>
      </c>
    </row>
    <row r="783" spans="1:32" s="25" customFormat="1" x14ac:dyDescent="0.25">
      <c r="A783" s="25" t="s">
        <v>185</v>
      </c>
      <c r="B783" s="25">
        <f t="shared" si="25"/>
        <v>5380</v>
      </c>
      <c r="C783" s="25" t="s">
        <v>12</v>
      </c>
      <c r="D783" s="25">
        <v>0</v>
      </c>
      <c r="E783" s="25">
        <v>0</v>
      </c>
      <c r="F783" s="25">
        <v>256</v>
      </c>
      <c r="G783" s="25">
        <v>222</v>
      </c>
      <c r="H783" s="27">
        <v>0</v>
      </c>
      <c r="I783" s="27">
        <v>0</v>
      </c>
      <c r="J783" s="27">
        <v>0</v>
      </c>
      <c r="K783" s="27">
        <v>0</v>
      </c>
      <c r="L783" s="27">
        <v>1</v>
      </c>
      <c r="M783" s="27">
        <v>0</v>
      </c>
      <c r="N783" s="27">
        <v>0</v>
      </c>
      <c r="O783" s="27">
        <v>0</v>
      </c>
      <c r="P783" s="25">
        <v>700</v>
      </c>
      <c r="Q783" s="25">
        <v>560</v>
      </c>
      <c r="R783" s="25" t="s">
        <v>87</v>
      </c>
      <c r="S783" s="25" t="s">
        <v>89</v>
      </c>
      <c r="T783" s="25">
        <v>0</v>
      </c>
      <c r="U783" s="25">
        <v>0</v>
      </c>
      <c r="V783" s="25">
        <v>0</v>
      </c>
      <c r="W783" s="25">
        <v>0</v>
      </c>
      <c r="X783" s="25">
        <v>1</v>
      </c>
      <c r="Y783" s="25">
        <v>0</v>
      </c>
      <c r="Z783" s="25">
        <v>0</v>
      </c>
      <c r="AA783" s="25">
        <v>0</v>
      </c>
      <c r="AB783" s="25">
        <v>0</v>
      </c>
      <c r="AC783" s="25">
        <v>0</v>
      </c>
      <c r="AD783" s="25">
        <v>0</v>
      </c>
      <c r="AE783" s="25">
        <v>1</v>
      </c>
      <c r="AF783" s="25" t="s">
        <v>131</v>
      </c>
    </row>
    <row r="784" spans="1:32" s="25" customFormat="1" x14ac:dyDescent="0.25">
      <c r="A784" s="25" t="s">
        <v>185</v>
      </c>
      <c r="B784" s="25">
        <f t="shared" si="25"/>
        <v>5390</v>
      </c>
      <c r="C784" s="25" t="s">
        <v>12</v>
      </c>
      <c r="D784" s="25">
        <v>0</v>
      </c>
      <c r="E784" s="25">
        <v>0</v>
      </c>
      <c r="F784" s="25">
        <v>256</v>
      </c>
      <c r="G784" s="25">
        <v>222</v>
      </c>
      <c r="H784" s="27">
        <v>0</v>
      </c>
      <c r="I784" s="27">
        <v>0</v>
      </c>
      <c r="J784" s="27">
        <v>0</v>
      </c>
      <c r="K784" s="27">
        <v>0</v>
      </c>
      <c r="L784" s="27">
        <v>1</v>
      </c>
      <c r="M784" s="27">
        <v>0</v>
      </c>
      <c r="N784" s="27">
        <v>0</v>
      </c>
      <c r="O784" s="27">
        <v>0</v>
      </c>
      <c r="P784" s="25">
        <v>700</v>
      </c>
      <c r="Q784" s="25">
        <v>560</v>
      </c>
      <c r="R784" s="25" t="s">
        <v>87</v>
      </c>
      <c r="S784" s="25" t="s">
        <v>89</v>
      </c>
      <c r="T784" s="25">
        <v>0</v>
      </c>
      <c r="U784" s="25">
        <v>0</v>
      </c>
      <c r="V784" s="25">
        <v>0</v>
      </c>
      <c r="W784" s="25">
        <v>0</v>
      </c>
      <c r="X784" s="25">
        <v>1</v>
      </c>
      <c r="Y784" s="25">
        <v>0</v>
      </c>
      <c r="Z784" s="25">
        <v>0</v>
      </c>
      <c r="AA784" s="25">
        <v>0</v>
      </c>
      <c r="AB784" s="25">
        <v>0</v>
      </c>
      <c r="AC784" s="25">
        <v>0</v>
      </c>
      <c r="AD784" s="25">
        <v>0</v>
      </c>
      <c r="AE784" s="25">
        <v>1</v>
      </c>
      <c r="AF784" s="25" t="s">
        <v>131</v>
      </c>
    </row>
    <row r="785" spans="1:32" s="25" customFormat="1" x14ac:dyDescent="0.25">
      <c r="A785" s="25" t="s">
        <v>185</v>
      </c>
      <c r="B785" s="25">
        <f t="shared" si="25"/>
        <v>5400</v>
      </c>
      <c r="C785" s="25" t="s">
        <v>12</v>
      </c>
      <c r="D785" s="25">
        <v>0</v>
      </c>
      <c r="E785" s="25">
        <v>0</v>
      </c>
      <c r="F785" s="25">
        <v>256</v>
      </c>
      <c r="G785" s="25">
        <v>222</v>
      </c>
      <c r="H785" s="27">
        <v>0</v>
      </c>
      <c r="I785" s="27">
        <v>0</v>
      </c>
      <c r="J785" s="27">
        <v>0</v>
      </c>
      <c r="K785" s="27">
        <v>0</v>
      </c>
      <c r="L785" s="27">
        <v>1</v>
      </c>
      <c r="M785" s="27">
        <v>0</v>
      </c>
      <c r="N785" s="27">
        <v>0</v>
      </c>
      <c r="O785" s="27">
        <v>0</v>
      </c>
      <c r="P785" s="25">
        <v>700</v>
      </c>
      <c r="Q785" s="25">
        <v>560</v>
      </c>
      <c r="R785" s="25" t="s">
        <v>87</v>
      </c>
      <c r="S785" s="25" t="s">
        <v>89</v>
      </c>
      <c r="T785" s="25">
        <v>0</v>
      </c>
      <c r="U785" s="25">
        <v>0</v>
      </c>
      <c r="V785" s="25">
        <v>0</v>
      </c>
      <c r="W785" s="25">
        <v>0</v>
      </c>
      <c r="X785" s="25">
        <v>1</v>
      </c>
      <c r="Y785" s="25">
        <v>0</v>
      </c>
      <c r="Z785" s="25">
        <v>0</v>
      </c>
      <c r="AA785" s="25">
        <v>0</v>
      </c>
      <c r="AB785" s="25">
        <v>0</v>
      </c>
      <c r="AC785" s="25">
        <v>0</v>
      </c>
      <c r="AD785" s="25">
        <v>0</v>
      </c>
      <c r="AE785" s="25">
        <v>1</v>
      </c>
      <c r="AF785" s="25" t="s">
        <v>131</v>
      </c>
    </row>
    <row r="786" spans="1:32" s="25" customFormat="1" x14ac:dyDescent="0.25">
      <c r="A786" s="25" t="s">
        <v>185</v>
      </c>
      <c r="B786" s="25">
        <f t="shared" si="25"/>
        <v>5410</v>
      </c>
      <c r="C786" s="25" t="s">
        <v>12</v>
      </c>
      <c r="D786" s="25">
        <v>0</v>
      </c>
      <c r="E786" s="25">
        <v>0</v>
      </c>
      <c r="F786" s="25">
        <v>256</v>
      </c>
      <c r="G786" s="25">
        <v>222</v>
      </c>
      <c r="H786" s="27">
        <v>0</v>
      </c>
      <c r="I786" s="27">
        <v>0</v>
      </c>
      <c r="J786" s="27">
        <v>0</v>
      </c>
      <c r="K786" s="27">
        <v>0</v>
      </c>
      <c r="L786" s="27">
        <v>1</v>
      </c>
      <c r="M786" s="27">
        <v>0</v>
      </c>
      <c r="N786" s="27">
        <v>0</v>
      </c>
      <c r="O786" s="27">
        <v>0</v>
      </c>
      <c r="P786" s="25">
        <v>700</v>
      </c>
      <c r="Q786" s="25">
        <v>560</v>
      </c>
      <c r="R786" s="25" t="s">
        <v>87</v>
      </c>
      <c r="S786" s="25" t="s">
        <v>89</v>
      </c>
      <c r="T786" s="25">
        <v>0</v>
      </c>
      <c r="U786" s="25">
        <v>0</v>
      </c>
      <c r="V786" s="25">
        <v>0</v>
      </c>
      <c r="W786" s="25">
        <v>0</v>
      </c>
      <c r="X786" s="25">
        <v>1</v>
      </c>
      <c r="Y786" s="25">
        <v>0</v>
      </c>
      <c r="Z786" s="25">
        <v>0</v>
      </c>
      <c r="AA786" s="25">
        <v>0</v>
      </c>
      <c r="AB786" s="25">
        <v>0</v>
      </c>
      <c r="AC786" s="25">
        <v>0</v>
      </c>
      <c r="AD786" s="25">
        <v>0</v>
      </c>
      <c r="AE786" s="25">
        <v>1</v>
      </c>
      <c r="AF786" s="25" t="s">
        <v>131</v>
      </c>
    </row>
    <row r="787" spans="1:32" s="25" customFormat="1" x14ac:dyDescent="0.25">
      <c r="A787" s="25" t="s">
        <v>185</v>
      </c>
      <c r="B787" s="25">
        <f t="shared" si="25"/>
        <v>5420</v>
      </c>
      <c r="C787" s="25" t="s">
        <v>12</v>
      </c>
      <c r="D787" s="25">
        <v>0</v>
      </c>
      <c r="E787" s="25">
        <v>0</v>
      </c>
      <c r="F787" s="25">
        <v>256</v>
      </c>
      <c r="G787" s="25">
        <v>222</v>
      </c>
      <c r="H787" s="27">
        <v>0</v>
      </c>
      <c r="I787" s="27">
        <v>0</v>
      </c>
      <c r="J787" s="27">
        <v>0</v>
      </c>
      <c r="K787" s="27">
        <v>0</v>
      </c>
      <c r="L787" s="27">
        <v>1</v>
      </c>
      <c r="M787" s="27">
        <v>0</v>
      </c>
      <c r="N787" s="27">
        <v>0</v>
      </c>
      <c r="O787" s="27">
        <v>0</v>
      </c>
      <c r="P787" s="25">
        <v>700</v>
      </c>
      <c r="Q787" s="25">
        <v>560</v>
      </c>
      <c r="R787" s="25" t="s">
        <v>87</v>
      </c>
      <c r="S787" s="25" t="s">
        <v>89</v>
      </c>
      <c r="T787" s="25">
        <v>0</v>
      </c>
      <c r="U787" s="25">
        <v>0</v>
      </c>
      <c r="V787" s="25">
        <v>0</v>
      </c>
      <c r="W787" s="25">
        <v>0</v>
      </c>
      <c r="X787" s="25">
        <v>1</v>
      </c>
      <c r="Y787" s="25">
        <v>0</v>
      </c>
      <c r="Z787" s="25">
        <v>0</v>
      </c>
      <c r="AA787" s="25">
        <v>0</v>
      </c>
      <c r="AB787" s="25">
        <v>0</v>
      </c>
      <c r="AC787" s="25">
        <v>0</v>
      </c>
      <c r="AD787" s="25">
        <v>0</v>
      </c>
      <c r="AE787" s="25">
        <v>1</v>
      </c>
      <c r="AF787" s="25" t="s">
        <v>131</v>
      </c>
    </row>
    <row r="788" spans="1:32" s="25" customFormat="1" x14ac:dyDescent="0.25">
      <c r="A788" s="25" t="s">
        <v>185</v>
      </c>
      <c r="B788" s="25">
        <f t="shared" si="25"/>
        <v>5430</v>
      </c>
      <c r="C788" s="25" t="s">
        <v>12</v>
      </c>
      <c r="D788" s="25">
        <v>0</v>
      </c>
      <c r="E788" s="25">
        <v>0</v>
      </c>
      <c r="F788" s="25">
        <v>256</v>
      </c>
      <c r="G788" s="25">
        <v>222</v>
      </c>
      <c r="H788" s="27">
        <v>0</v>
      </c>
      <c r="I788" s="27">
        <v>0</v>
      </c>
      <c r="J788" s="27">
        <v>0</v>
      </c>
      <c r="K788" s="27">
        <v>0</v>
      </c>
      <c r="L788" s="27">
        <v>1</v>
      </c>
      <c r="M788" s="27">
        <v>0</v>
      </c>
      <c r="N788" s="27">
        <v>0</v>
      </c>
      <c r="O788" s="27">
        <v>0</v>
      </c>
      <c r="P788" s="25">
        <v>700</v>
      </c>
      <c r="Q788" s="25">
        <v>560</v>
      </c>
      <c r="R788" s="25" t="s">
        <v>87</v>
      </c>
      <c r="S788" s="25" t="s">
        <v>89</v>
      </c>
      <c r="T788" s="25">
        <v>0</v>
      </c>
      <c r="U788" s="25">
        <v>0</v>
      </c>
      <c r="V788" s="25">
        <v>0</v>
      </c>
      <c r="W788" s="25">
        <v>0</v>
      </c>
      <c r="X788" s="25">
        <v>1</v>
      </c>
      <c r="Y788" s="25">
        <v>0</v>
      </c>
      <c r="Z788" s="25">
        <v>0</v>
      </c>
      <c r="AA788" s="25">
        <v>0</v>
      </c>
      <c r="AB788" s="25">
        <v>0</v>
      </c>
      <c r="AC788" s="25">
        <v>0</v>
      </c>
      <c r="AD788" s="25">
        <v>0</v>
      </c>
      <c r="AE788" s="25">
        <v>1</v>
      </c>
      <c r="AF788" s="25" t="s">
        <v>131</v>
      </c>
    </row>
    <row r="789" spans="1:32" s="25" customFormat="1" x14ac:dyDescent="0.25">
      <c r="A789" s="25" t="s">
        <v>185</v>
      </c>
      <c r="B789" s="25">
        <f t="shared" si="25"/>
        <v>5440</v>
      </c>
      <c r="C789" s="25" t="s">
        <v>12</v>
      </c>
      <c r="D789" s="25">
        <v>0</v>
      </c>
      <c r="E789" s="25">
        <v>0</v>
      </c>
      <c r="F789" s="25">
        <v>256</v>
      </c>
      <c r="G789" s="25">
        <v>222</v>
      </c>
      <c r="H789" s="27">
        <v>0</v>
      </c>
      <c r="I789" s="27">
        <v>0</v>
      </c>
      <c r="J789" s="27">
        <v>0</v>
      </c>
      <c r="K789" s="27">
        <v>0</v>
      </c>
      <c r="L789" s="27">
        <v>1</v>
      </c>
      <c r="M789" s="27">
        <v>0</v>
      </c>
      <c r="N789" s="27">
        <v>0</v>
      </c>
      <c r="O789" s="27">
        <v>0</v>
      </c>
      <c r="P789" s="25">
        <v>700</v>
      </c>
      <c r="Q789" s="25">
        <v>560</v>
      </c>
      <c r="R789" s="25" t="s">
        <v>87</v>
      </c>
      <c r="S789" s="25" t="s">
        <v>89</v>
      </c>
      <c r="T789" s="25">
        <v>0</v>
      </c>
      <c r="U789" s="25">
        <v>0</v>
      </c>
      <c r="V789" s="25">
        <v>0</v>
      </c>
      <c r="W789" s="25">
        <v>0</v>
      </c>
      <c r="X789" s="25">
        <v>1</v>
      </c>
      <c r="Y789" s="25">
        <v>0</v>
      </c>
      <c r="Z789" s="25">
        <v>0</v>
      </c>
      <c r="AA789" s="25">
        <v>0</v>
      </c>
      <c r="AB789" s="25">
        <v>0</v>
      </c>
      <c r="AC789" s="25">
        <v>0</v>
      </c>
      <c r="AD789" s="25">
        <v>0</v>
      </c>
      <c r="AE789" s="25">
        <v>1</v>
      </c>
      <c r="AF789" s="25" t="s">
        <v>131</v>
      </c>
    </row>
    <row r="790" spans="1:32" s="25" customFormat="1" x14ac:dyDescent="0.25">
      <c r="A790" s="25" t="s">
        <v>185</v>
      </c>
      <c r="B790" s="25">
        <f t="shared" si="25"/>
        <v>5450</v>
      </c>
      <c r="C790" s="25" t="s">
        <v>12</v>
      </c>
      <c r="D790" s="25">
        <v>0</v>
      </c>
      <c r="E790" s="25">
        <v>0</v>
      </c>
      <c r="F790" s="25">
        <v>256</v>
      </c>
      <c r="G790" s="25">
        <v>222</v>
      </c>
      <c r="H790" s="27">
        <v>0</v>
      </c>
      <c r="I790" s="27">
        <v>0</v>
      </c>
      <c r="J790" s="27">
        <v>0</v>
      </c>
      <c r="K790" s="27">
        <v>0</v>
      </c>
      <c r="L790" s="27">
        <v>1</v>
      </c>
      <c r="M790" s="27">
        <v>0</v>
      </c>
      <c r="N790" s="27">
        <v>0</v>
      </c>
      <c r="O790" s="27">
        <v>0</v>
      </c>
      <c r="P790" s="25">
        <v>700</v>
      </c>
      <c r="Q790" s="25">
        <v>560</v>
      </c>
      <c r="R790" s="25" t="s">
        <v>87</v>
      </c>
      <c r="S790" s="25" t="s">
        <v>89</v>
      </c>
      <c r="T790" s="25">
        <v>0</v>
      </c>
      <c r="U790" s="25">
        <v>0</v>
      </c>
      <c r="V790" s="25">
        <v>0</v>
      </c>
      <c r="W790" s="25">
        <v>0</v>
      </c>
      <c r="X790" s="25">
        <v>1</v>
      </c>
      <c r="Y790" s="25">
        <v>0</v>
      </c>
      <c r="Z790" s="25">
        <v>0</v>
      </c>
      <c r="AA790" s="25">
        <v>0</v>
      </c>
      <c r="AB790" s="25">
        <v>0</v>
      </c>
      <c r="AC790" s="25">
        <v>0</v>
      </c>
      <c r="AD790" s="25">
        <v>0</v>
      </c>
      <c r="AE790" s="25">
        <v>1</v>
      </c>
      <c r="AF790" s="25" t="s">
        <v>131</v>
      </c>
    </row>
    <row r="791" spans="1:32" s="25" customFormat="1" x14ac:dyDescent="0.25">
      <c r="A791" s="25" t="s">
        <v>185</v>
      </c>
      <c r="B791" s="25">
        <f t="shared" si="25"/>
        <v>5460</v>
      </c>
      <c r="C791" s="25" t="s">
        <v>12</v>
      </c>
      <c r="D791" s="25">
        <v>0</v>
      </c>
      <c r="E791" s="25">
        <v>0</v>
      </c>
      <c r="F791" s="25">
        <v>256</v>
      </c>
      <c r="G791" s="25">
        <v>222</v>
      </c>
      <c r="H791" s="27">
        <v>0</v>
      </c>
      <c r="I791" s="27">
        <v>0</v>
      </c>
      <c r="J791" s="27">
        <v>0</v>
      </c>
      <c r="K791" s="27">
        <v>0</v>
      </c>
      <c r="L791" s="27">
        <v>1</v>
      </c>
      <c r="M791" s="27">
        <v>0</v>
      </c>
      <c r="N791" s="27">
        <v>0</v>
      </c>
      <c r="O791" s="27">
        <v>0</v>
      </c>
      <c r="P791" s="25">
        <v>700</v>
      </c>
      <c r="Q791" s="25">
        <v>560</v>
      </c>
      <c r="R791" s="25" t="s">
        <v>87</v>
      </c>
      <c r="S791" s="25" t="s">
        <v>89</v>
      </c>
      <c r="T791" s="25">
        <v>0</v>
      </c>
      <c r="U791" s="25">
        <v>0</v>
      </c>
      <c r="V791" s="25">
        <v>0</v>
      </c>
      <c r="W791" s="25">
        <v>0</v>
      </c>
      <c r="X791" s="25">
        <v>1</v>
      </c>
      <c r="Y791" s="25">
        <v>0</v>
      </c>
      <c r="Z791" s="25">
        <v>0</v>
      </c>
      <c r="AA791" s="25">
        <v>0</v>
      </c>
      <c r="AB791" s="25">
        <v>0</v>
      </c>
      <c r="AC791" s="25">
        <v>0</v>
      </c>
      <c r="AD791" s="25">
        <v>0</v>
      </c>
      <c r="AE791" s="25">
        <v>1</v>
      </c>
      <c r="AF791" s="25" t="s">
        <v>131</v>
      </c>
    </row>
    <row r="792" spans="1:32" s="25" customFormat="1" x14ac:dyDescent="0.25">
      <c r="A792" s="25" t="s">
        <v>185</v>
      </c>
      <c r="B792" s="25">
        <f t="shared" si="25"/>
        <v>5470</v>
      </c>
      <c r="C792" s="25" t="s">
        <v>12</v>
      </c>
      <c r="D792" s="25">
        <v>0</v>
      </c>
      <c r="E792" s="25">
        <v>0</v>
      </c>
      <c r="F792" s="25">
        <v>256</v>
      </c>
      <c r="G792" s="25">
        <v>222</v>
      </c>
      <c r="H792" s="27">
        <v>0</v>
      </c>
      <c r="I792" s="27">
        <v>0</v>
      </c>
      <c r="J792" s="27">
        <v>0</v>
      </c>
      <c r="K792" s="27">
        <v>0</v>
      </c>
      <c r="L792" s="27">
        <v>1</v>
      </c>
      <c r="M792" s="27">
        <v>0</v>
      </c>
      <c r="N792" s="27">
        <v>0</v>
      </c>
      <c r="O792" s="27">
        <v>0</v>
      </c>
      <c r="P792" s="25">
        <v>700</v>
      </c>
      <c r="Q792" s="25">
        <v>560</v>
      </c>
      <c r="R792" s="25" t="s">
        <v>87</v>
      </c>
      <c r="S792" s="25" t="s">
        <v>89</v>
      </c>
      <c r="T792" s="25">
        <v>0</v>
      </c>
      <c r="U792" s="25">
        <v>0</v>
      </c>
      <c r="V792" s="25">
        <v>0</v>
      </c>
      <c r="W792" s="25">
        <v>0</v>
      </c>
      <c r="X792" s="25">
        <v>1</v>
      </c>
      <c r="Y792" s="25">
        <v>0</v>
      </c>
      <c r="Z792" s="25">
        <v>0</v>
      </c>
      <c r="AA792" s="25">
        <v>0</v>
      </c>
      <c r="AB792" s="25">
        <v>0</v>
      </c>
      <c r="AC792" s="25">
        <v>0</v>
      </c>
      <c r="AD792" s="25">
        <v>0</v>
      </c>
      <c r="AE792" s="25">
        <v>1</v>
      </c>
      <c r="AF792" s="25" t="s">
        <v>131</v>
      </c>
    </row>
    <row r="793" spans="1:32" s="25" customFormat="1" x14ac:dyDescent="0.25">
      <c r="A793" s="25" t="s">
        <v>185</v>
      </c>
      <c r="B793" s="25">
        <f t="shared" si="25"/>
        <v>5480</v>
      </c>
      <c r="C793" s="25" t="s">
        <v>12</v>
      </c>
      <c r="D793" s="25">
        <v>0</v>
      </c>
      <c r="E793" s="25">
        <v>0</v>
      </c>
      <c r="F793" s="25">
        <v>256</v>
      </c>
      <c r="G793" s="25">
        <v>222</v>
      </c>
      <c r="H793" s="27">
        <v>0</v>
      </c>
      <c r="I793" s="27">
        <v>0</v>
      </c>
      <c r="J793" s="27">
        <v>0</v>
      </c>
      <c r="K793" s="27">
        <v>0</v>
      </c>
      <c r="L793" s="27">
        <v>1</v>
      </c>
      <c r="M793" s="27">
        <v>0</v>
      </c>
      <c r="N793" s="27">
        <v>0</v>
      </c>
      <c r="O793" s="27">
        <v>0</v>
      </c>
      <c r="P793" s="25">
        <v>700</v>
      </c>
      <c r="Q793" s="25">
        <v>560</v>
      </c>
      <c r="R793" s="25" t="s">
        <v>87</v>
      </c>
      <c r="S793" s="25" t="s">
        <v>89</v>
      </c>
      <c r="T793" s="25">
        <v>0</v>
      </c>
      <c r="U793" s="25">
        <v>0</v>
      </c>
      <c r="V793" s="25">
        <v>0</v>
      </c>
      <c r="W793" s="25">
        <v>0</v>
      </c>
      <c r="X793" s="25">
        <v>1</v>
      </c>
      <c r="Y793" s="25">
        <v>0</v>
      </c>
      <c r="Z793" s="25">
        <v>0</v>
      </c>
      <c r="AA793" s="25">
        <v>0</v>
      </c>
      <c r="AB793" s="25">
        <v>0</v>
      </c>
      <c r="AC793" s="25">
        <v>0</v>
      </c>
      <c r="AD793" s="25">
        <v>0</v>
      </c>
      <c r="AE793" s="25">
        <v>1</v>
      </c>
      <c r="AF793" s="25" t="s">
        <v>131</v>
      </c>
    </row>
    <row r="794" spans="1:32" s="25" customFormat="1" x14ac:dyDescent="0.25">
      <c r="A794" s="25" t="s">
        <v>185</v>
      </c>
      <c r="B794" s="25">
        <f t="shared" si="25"/>
        <v>5490</v>
      </c>
      <c r="C794" s="25" t="s">
        <v>12</v>
      </c>
      <c r="D794" s="25">
        <v>0</v>
      </c>
      <c r="E794" s="25">
        <v>0</v>
      </c>
      <c r="F794" s="25">
        <v>256</v>
      </c>
      <c r="G794" s="25">
        <v>222</v>
      </c>
      <c r="H794" s="27">
        <v>0</v>
      </c>
      <c r="I794" s="27">
        <v>0</v>
      </c>
      <c r="J794" s="27">
        <v>0</v>
      </c>
      <c r="K794" s="27">
        <v>0</v>
      </c>
      <c r="L794" s="27">
        <v>1</v>
      </c>
      <c r="M794" s="27">
        <v>0</v>
      </c>
      <c r="N794" s="27">
        <v>0</v>
      </c>
      <c r="O794" s="27">
        <v>0</v>
      </c>
      <c r="P794" s="25">
        <v>700</v>
      </c>
      <c r="Q794" s="25">
        <v>560</v>
      </c>
      <c r="R794" s="25" t="s">
        <v>87</v>
      </c>
      <c r="S794" s="25" t="s">
        <v>89</v>
      </c>
      <c r="T794" s="25">
        <v>0</v>
      </c>
      <c r="U794" s="25">
        <v>0</v>
      </c>
      <c r="V794" s="25">
        <v>0</v>
      </c>
      <c r="W794" s="25">
        <v>0</v>
      </c>
      <c r="X794" s="25">
        <v>1</v>
      </c>
      <c r="Y794" s="25">
        <v>0</v>
      </c>
      <c r="Z794" s="25">
        <v>0</v>
      </c>
      <c r="AA794" s="25">
        <v>0</v>
      </c>
      <c r="AB794" s="25">
        <v>0</v>
      </c>
      <c r="AC794" s="25">
        <v>0</v>
      </c>
      <c r="AD794" s="25">
        <v>0</v>
      </c>
      <c r="AE794" s="25">
        <v>1</v>
      </c>
      <c r="AF794" s="25" t="s">
        <v>131</v>
      </c>
    </row>
    <row r="795" spans="1:32" s="25" customFormat="1" x14ac:dyDescent="0.25">
      <c r="A795" s="25" t="s">
        <v>185</v>
      </c>
      <c r="B795" s="25">
        <f t="shared" si="25"/>
        <v>5500</v>
      </c>
      <c r="C795" s="25" t="s">
        <v>12</v>
      </c>
      <c r="D795" s="25">
        <v>0</v>
      </c>
      <c r="E795" s="25">
        <v>0</v>
      </c>
      <c r="F795" s="25">
        <v>256</v>
      </c>
      <c r="G795" s="25">
        <v>222</v>
      </c>
      <c r="H795" s="27">
        <v>0</v>
      </c>
      <c r="I795" s="27">
        <v>0</v>
      </c>
      <c r="J795" s="27">
        <v>0</v>
      </c>
      <c r="K795" s="27">
        <v>0</v>
      </c>
      <c r="L795" s="27">
        <v>1</v>
      </c>
      <c r="M795" s="27">
        <v>0</v>
      </c>
      <c r="N795" s="27">
        <v>0</v>
      </c>
      <c r="O795" s="27">
        <v>0</v>
      </c>
      <c r="P795" s="25">
        <v>700</v>
      </c>
      <c r="Q795" s="25">
        <v>560</v>
      </c>
      <c r="R795" s="25" t="s">
        <v>87</v>
      </c>
      <c r="S795" s="25" t="s">
        <v>89</v>
      </c>
      <c r="T795" s="25">
        <v>0</v>
      </c>
      <c r="U795" s="25">
        <v>0</v>
      </c>
      <c r="V795" s="25">
        <v>0</v>
      </c>
      <c r="W795" s="25">
        <v>0</v>
      </c>
      <c r="X795" s="25">
        <v>1</v>
      </c>
      <c r="Y795" s="25">
        <v>0</v>
      </c>
      <c r="Z795" s="25">
        <v>0</v>
      </c>
      <c r="AA795" s="25">
        <v>0</v>
      </c>
      <c r="AB795" s="25">
        <v>0</v>
      </c>
      <c r="AC795" s="25">
        <v>0</v>
      </c>
      <c r="AD795" s="25">
        <v>0</v>
      </c>
      <c r="AE795" s="25">
        <v>1</v>
      </c>
      <c r="AF795" s="25" t="s">
        <v>131</v>
      </c>
    </row>
    <row r="796" spans="1:32" s="25" customFormat="1" x14ac:dyDescent="0.25">
      <c r="A796" s="25" t="s">
        <v>185</v>
      </c>
      <c r="B796" s="25">
        <f t="shared" si="25"/>
        <v>5510</v>
      </c>
      <c r="C796" s="25" t="s">
        <v>12</v>
      </c>
      <c r="D796" s="25">
        <v>0</v>
      </c>
      <c r="E796" s="25">
        <v>0</v>
      </c>
      <c r="F796" s="25">
        <v>256</v>
      </c>
      <c r="G796" s="25">
        <v>222</v>
      </c>
      <c r="H796" s="27">
        <v>0</v>
      </c>
      <c r="I796" s="27">
        <v>0</v>
      </c>
      <c r="J796" s="27">
        <v>0</v>
      </c>
      <c r="K796" s="27">
        <v>0</v>
      </c>
      <c r="L796" s="27">
        <v>1</v>
      </c>
      <c r="M796" s="27">
        <v>0</v>
      </c>
      <c r="N796" s="27">
        <v>0</v>
      </c>
      <c r="O796" s="27">
        <v>0</v>
      </c>
      <c r="P796" s="25">
        <v>700</v>
      </c>
      <c r="Q796" s="25">
        <v>560</v>
      </c>
      <c r="R796" s="25" t="s">
        <v>87</v>
      </c>
      <c r="S796" s="25" t="s">
        <v>89</v>
      </c>
      <c r="T796" s="25">
        <v>0</v>
      </c>
      <c r="U796" s="25">
        <v>0</v>
      </c>
      <c r="V796" s="25">
        <v>0</v>
      </c>
      <c r="W796" s="25">
        <v>0</v>
      </c>
      <c r="X796" s="25">
        <v>1</v>
      </c>
      <c r="Y796" s="25">
        <v>0</v>
      </c>
      <c r="Z796" s="25">
        <v>0</v>
      </c>
      <c r="AA796" s="25">
        <v>0</v>
      </c>
      <c r="AB796" s="25">
        <v>0</v>
      </c>
      <c r="AC796" s="25">
        <v>0</v>
      </c>
      <c r="AD796" s="25">
        <v>0</v>
      </c>
      <c r="AE796" s="25">
        <v>1</v>
      </c>
      <c r="AF796" s="25" t="s">
        <v>131</v>
      </c>
    </row>
    <row r="797" spans="1:32" s="25" customFormat="1" x14ac:dyDescent="0.25">
      <c r="A797" s="25" t="s">
        <v>185</v>
      </c>
      <c r="B797" s="25">
        <f t="shared" si="25"/>
        <v>5520</v>
      </c>
      <c r="C797" s="25" t="s">
        <v>12</v>
      </c>
      <c r="D797" s="25">
        <v>0</v>
      </c>
      <c r="E797" s="25">
        <v>0</v>
      </c>
      <c r="F797" s="25">
        <v>256</v>
      </c>
      <c r="G797" s="25">
        <v>222</v>
      </c>
      <c r="H797" s="27">
        <v>0</v>
      </c>
      <c r="I797" s="27">
        <v>0</v>
      </c>
      <c r="J797" s="27">
        <v>0</v>
      </c>
      <c r="K797" s="27">
        <v>0</v>
      </c>
      <c r="L797" s="27">
        <v>1</v>
      </c>
      <c r="M797" s="27">
        <v>0</v>
      </c>
      <c r="N797" s="27">
        <v>0</v>
      </c>
      <c r="O797" s="27">
        <v>0</v>
      </c>
      <c r="P797" s="25">
        <v>700</v>
      </c>
      <c r="Q797" s="25">
        <v>560</v>
      </c>
      <c r="R797" s="25" t="s">
        <v>87</v>
      </c>
      <c r="S797" s="25" t="s">
        <v>89</v>
      </c>
      <c r="T797" s="25">
        <v>0</v>
      </c>
      <c r="U797" s="25">
        <v>0</v>
      </c>
      <c r="V797" s="25">
        <v>0</v>
      </c>
      <c r="W797" s="25">
        <v>0</v>
      </c>
      <c r="X797" s="25">
        <v>1</v>
      </c>
      <c r="Y797" s="25">
        <v>0</v>
      </c>
      <c r="Z797" s="25">
        <v>0</v>
      </c>
      <c r="AA797" s="25">
        <v>0</v>
      </c>
      <c r="AB797" s="25">
        <v>0</v>
      </c>
      <c r="AC797" s="25">
        <v>0</v>
      </c>
      <c r="AD797" s="25">
        <v>0</v>
      </c>
      <c r="AE797" s="25">
        <v>1</v>
      </c>
      <c r="AF797" s="25" t="s">
        <v>131</v>
      </c>
    </row>
    <row r="798" spans="1:32" s="25" customFormat="1" x14ac:dyDescent="0.25">
      <c r="A798" s="25" t="s">
        <v>185</v>
      </c>
      <c r="B798" s="25">
        <f t="shared" si="25"/>
        <v>5530</v>
      </c>
      <c r="C798" s="25" t="s">
        <v>12</v>
      </c>
      <c r="D798" s="25">
        <v>0</v>
      </c>
      <c r="E798" s="25">
        <v>0</v>
      </c>
      <c r="F798" s="25">
        <v>256</v>
      </c>
      <c r="G798" s="25">
        <v>222</v>
      </c>
      <c r="H798" s="27">
        <v>0</v>
      </c>
      <c r="I798" s="27">
        <v>0</v>
      </c>
      <c r="J798" s="27">
        <v>0</v>
      </c>
      <c r="K798" s="27">
        <v>0</v>
      </c>
      <c r="L798" s="27">
        <v>1</v>
      </c>
      <c r="M798" s="27">
        <v>0</v>
      </c>
      <c r="N798" s="27">
        <v>0</v>
      </c>
      <c r="O798" s="27">
        <v>0</v>
      </c>
      <c r="P798" s="25">
        <v>700</v>
      </c>
      <c r="Q798" s="25">
        <v>560</v>
      </c>
      <c r="R798" s="25" t="s">
        <v>87</v>
      </c>
      <c r="S798" s="25" t="s">
        <v>89</v>
      </c>
      <c r="T798" s="25">
        <v>0</v>
      </c>
      <c r="U798" s="25">
        <v>0</v>
      </c>
      <c r="V798" s="25">
        <v>0</v>
      </c>
      <c r="W798" s="25">
        <v>0</v>
      </c>
      <c r="X798" s="25">
        <v>1</v>
      </c>
      <c r="Y798" s="25">
        <v>0</v>
      </c>
      <c r="Z798" s="25">
        <v>0</v>
      </c>
      <c r="AA798" s="25">
        <v>0</v>
      </c>
      <c r="AB798" s="25">
        <v>0</v>
      </c>
      <c r="AC798" s="25">
        <v>0</v>
      </c>
      <c r="AD798" s="25">
        <v>0</v>
      </c>
      <c r="AE798" s="25">
        <v>1</v>
      </c>
      <c r="AF798" s="25" t="s">
        <v>131</v>
      </c>
    </row>
    <row r="799" spans="1:32" s="25" customFormat="1" x14ac:dyDescent="0.25">
      <c r="A799" s="25" t="s">
        <v>185</v>
      </c>
      <c r="B799" s="25">
        <f t="shared" si="25"/>
        <v>5540</v>
      </c>
      <c r="C799" s="25" t="s">
        <v>12</v>
      </c>
      <c r="D799" s="25">
        <v>0</v>
      </c>
      <c r="E799" s="25">
        <v>0</v>
      </c>
      <c r="F799" s="25">
        <v>256</v>
      </c>
      <c r="G799" s="25">
        <v>222</v>
      </c>
      <c r="H799" s="27">
        <v>0</v>
      </c>
      <c r="I799" s="27">
        <v>0</v>
      </c>
      <c r="J799" s="27">
        <v>0</v>
      </c>
      <c r="K799" s="27">
        <v>0</v>
      </c>
      <c r="L799" s="27">
        <v>1</v>
      </c>
      <c r="M799" s="27">
        <v>0</v>
      </c>
      <c r="N799" s="27">
        <v>0</v>
      </c>
      <c r="O799" s="27">
        <v>0</v>
      </c>
      <c r="P799" s="25">
        <v>700</v>
      </c>
      <c r="Q799" s="25">
        <v>560</v>
      </c>
      <c r="R799" s="25" t="s">
        <v>87</v>
      </c>
      <c r="S799" s="25" t="s">
        <v>89</v>
      </c>
      <c r="T799" s="25">
        <v>0</v>
      </c>
      <c r="U799" s="25">
        <v>0</v>
      </c>
      <c r="V799" s="25">
        <v>0</v>
      </c>
      <c r="W799" s="25">
        <v>0</v>
      </c>
      <c r="X799" s="25">
        <v>1</v>
      </c>
      <c r="Y799" s="25">
        <v>0</v>
      </c>
      <c r="Z799" s="25">
        <v>0</v>
      </c>
      <c r="AA799" s="25">
        <v>0</v>
      </c>
      <c r="AB799" s="25">
        <v>0</v>
      </c>
      <c r="AC799" s="25">
        <v>0</v>
      </c>
      <c r="AD799" s="25">
        <v>0</v>
      </c>
      <c r="AE799" s="25">
        <v>1</v>
      </c>
      <c r="AF799" s="25" t="s">
        <v>131</v>
      </c>
    </row>
    <row r="800" spans="1:32" s="25" customFormat="1" x14ac:dyDescent="0.25">
      <c r="A800" s="25" t="s">
        <v>185</v>
      </c>
      <c r="B800" s="25">
        <f t="shared" si="25"/>
        <v>5550</v>
      </c>
      <c r="C800" s="25" t="s">
        <v>12</v>
      </c>
      <c r="D800" s="25">
        <v>0</v>
      </c>
      <c r="E800" s="25">
        <v>0</v>
      </c>
      <c r="F800" s="25">
        <v>256</v>
      </c>
      <c r="G800" s="25">
        <v>222</v>
      </c>
      <c r="H800" s="27">
        <v>0</v>
      </c>
      <c r="I800" s="27">
        <v>0</v>
      </c>
      <c r="J800" s="27">
        <v>0</v>
      </c>
      <c r="K800" s="27">
        <v>0</v>
      </c>
      <c r="L800" s="27">
        <v>1</v>
      </c>
      <c r="M800" s="27">
        <v>0</v>
      </c>
      <c r="N800" s="27">
        <v>0</v>
      </c>
      <c r="O800" s="27">
        <v>0</v>
      </c>
      <c r="P800" s="25">
        <v>700</v>
      </c>
      <c r="Q800" s="25">
        <v>560</v>
      </c>
      <c r="R800" s="25" t="s">
        <v>87</v>
      </c>
      <c r="S800" s="25" t="s">
        <v>89</v>
      </c>
      <c r="T800" s="25">
        <v>0</v>
      </c>
      <c r="U800" s="25">
        <v>0</v>
      </c>
      <c r="V800" s="25">
        <v>0</v>
      </c>
      <c r="W800" s="25">
        <v>0</v>
      </c>
      <c r="X800" s="25">
        <v>1</v>
      </c>
      <c r="Y800" s="25">
        <v>0</v>
      </c>
      <c r="Z800" s="25">
        <v>0</v>
      </c>
      <c r="AA800" s="25">
        <v>0</v>
      </c>
      <c r="AB800" s="25">
        <v>0</v>
      </c>
      <c r="AC800" s="25">
        <v>0</v>
      </c>
      <c r="AD800" s="25">
        <v>0</v>
      </c>
      <c r="AE800" s="25">
        <v>1</v>
      </c>
      <c r="AF800" s="25" t="s">
        <v>131</v>
      </c>
    </row>
    <row r="801" spans="1:32" x14ac:dyDescent="0.25">
      <c r="A801" t="s">
        <v>185</v>
      </c>
      <c r="B801" s="25">
        <f t="shared" si="25"/>
        <v>5560</v>
      </c>
      <c r="C801" t="s">
        <v>12</v>
      </c>
      <c r="D801">
        <v>0</v>
      </c>
      <c r="E801">
        <v>0</v>
      </c>
      <c r="F801">
        <v>256</v>
      </c>
      <c r="G801">
        <v>222</v>
      </c>
      <c r="H801" s="27">
        <v>0</v>
      </c>
      <c r="I801" s="27">
        <v>0</v>
      </c>
      <c r="J801" s="27">
        <v>0</v>
      </c>
      <c r="K801" s="27">
        <v>0</v>
      </c>
      <c r="L801" s="27">
        <v>1</v>
      </c>
      <c r="M801" s="27">
        <v>0</v>
      </c>
      <c r="N801" s="27">
        <v>0</v>
      </c>
      <c r="O801" s="27">
        <v>0</v>
      </c>
      <c r="P801">
        <v>700</v>
      </c>
      <c r="Q801">
        <v>560</v>
      </c>
      <c r="R801" t="s">
        <v>87</v>
      </c>
      <c r="S801" t="s">
        <v>89</v>
      </c>
      <c r="T801">
        <v>0</v>
      </c>
      <c r="U801">
        <v>0</v>
      </c>
      <c r="V801">
        <v>0</v>
      </c>
      <c r="W801">
        <v>0</v>
      </c>
      <c r="X801">
        <v>1</v>
      </c>
      <c r="Y801">
        <v>0</v>
      </c>
      <c r="Z801">
        <v>0</v>
      </c>
      <c r="AA801">
        <v>0</v>
      </c>
      <c r="AB801">
        <v>0</v>
      </c>
      <c r="AC801">
        <v>0</v>
      </c>
      <c r="AD801">
        <v>0</v>
      </c>
      <c r="AE801">
        <v>1</v>
      </c>
      <c r="AF801" t="s">
        <v>131</v>
      </c>
    </row>
    <row r="802" spans="1:32" x14ac:dyDescent="0.25">
      <c r="A802" t="s">
        <v>185</v>
      </c>
      <c r="B802" s="25">
        <f t="shared" si="25"/>
        <v>5570</v>
      </c>
      <c r="C802" t="s">
        <v>12</v>
      </c>
      <c r="D802" t="s">
        <v>13</v>
      </c>
      <c r="E802" t="s">
        <v>13</v>
      </c>
      <c r="F802" t="s">
        <v>13</v>
      </c>
      <c r="G802" t="s">
        <v>13</v>
      </c>
      <c r="H802" s="27" t="s">
        <v>13</v>
      </c>
      <c r="I802" s="27" t="s">
        <v>13</v>
      </c>
      <c r="J802" s="27" t="s">
        <v>13</v>
      </c>
      <c r="K802" s="27" t="s">
        <v>13</v>
      </c>
      <c r="L802" s="27" t="s">
        <v>13</v>
      </c>
      <c r="M802" s="27" t="s">
        <v>13</v>
      </c>
      <c r="N802" s="27" t="s">
        <v>13</v>
      </c>
      <c r="O802" s="27" t="s">
        <v>13</v>
      </c>
      <c r="P802">
        <v>700</v>
      </c>
      <c r="Q802">
        <v>560</v>
      </c>
      <c r="R802" t="s">
        <v>87</v>
      </c>
      <c r="S802" t="s">
        <v>89</v>
      </c>
      <c r="T802">
        <v>0</v>
      </c>
      <c r="U802">
        <v>0</v>
      </c>
      <c r="V802">
        <v>0</v>
      </c>
      <c r="W802">
        <v>0</v>
      </c>
      <c r="X802">
        <v>1</v>
      </c>
      <c r="Y802">
        <v>0</v>
      </c>
      <c r="Z802">
        <v>0</v>
      </c>
      <c r="AA802">
        <v>0</v>
      </c>
      <c r="AB802">
        <v>0</v>
      </c>
      <c r="AC802">
        <v>0</v>
      </c>
      <c r="AD802">
        <v>0</v>
      </c>
      <c r="AE802">
        <v>1</v>
      </c>
      <c r="AF802" t="s">
        <v>132</v>
      </c>
    </row>
    <row r="803" spans="1:32" x14ac:dyDescent="0.25">
      <c r="A803" t="s">
        <v>185</v>
      </c>
      <c r="B803" s="25">
        <f t="shared" si="25"/>
        <v>5580</v>
      </c>
      <c r="C803" t="s">
        <v>12</v>
      </c>
      <c r="D803">
        <v>0</v>
      </c>
      <c r="E803">
        <v>0</v>
      </c>
      <c r="F803">
        <v>256</v>
      </c>
      <c r="G803">
        <v>222</v>
      </c>
      <c r="H803" s="27">
        <v>0</v>
      </c>
      <c r="I803" s="27">
        <v>0</v>
      </c>
      <c r="J803" s="27">
        <v>0</v>
      </c>
      <c r="K803" s="27">
        <v>0</v>
      </c>
      <c r="L803" s="27">
        <v>1</v>
      </c>
      <c r="M803" s="27">
        <v>0</v>
      </c>
      <c r="N803" s="27">
        <v>0</v>
      </c>
      <c r="O803" s="27">
        <v>0</v>
      </c>
      <c r="P803">
        <v>700</v>
      </c>
      <c r="Q803">
        <v>560</v>
      </c>
      <c r="R803" t="s">
        <v>87</v>
      </c>
      <c r="S803" t="s">
        <v>89</v>
      </c>
      <c r="T803">
        <v>0</v>
      </c>
      <c r="U803">
        <v>0</v>
      </c>
      <c r="V803">
        <v>0</v>
      </c>
      <c r="W803">
        <v>0</v>
      </c>
      <c r="X803">
        <v>1</v>
      </c>
      <c r="Y803">
        <v>0</v>
      </c>
      <c r="Z803">
        <v>0</v>
      </c>
      <c r="AA803">
        <v>0</v>
      </c>
      <c r="AB803">
        <v>0</v>
      </c>
      <c r="AC803">
        <v>0</v>
      </c>
      <c r="AD803">
        <v>0</v>
      </c>
      <c r="AE803">
        <v>1</v>
      </c>
      <c r="AF803" t="s">
        <v>132</v>
      </c>
    </row>
    <row r="804" spans="1:32" s="25" customFormat="1" x14ac:dyDescent="0.25">
      <c r="A804" s="25" t="s">
        <v>185</v>
      </c>
      <c r="B804" s="25">
        <f t="shared" ref="B804:B856" si="26">B803+10</f>
        <v>5590</v>
      </c>
      <c r="C804" s="25" t="s">
        <v>12</v>
      </c>
      <c r="D804" s="25">
        <v>0</v>
      </c>
      <c r="E804" s="25">
        <v>0</v>
      </c>
      <c r="F804" s="25">
        <v>256</v>
      </c>
      <c r="G804" s="25">
        <v>222</v>
      </c>
      <c r="H804" s="27">
        <v>0</v>
      </c>
      <c r="I804" s="27">
        <v>0</v>
      </c>
      <c r="J804" s="27">
        <v>0</v>
      </c>
      <c r="K804" s="27">
        <v>0</v>
      </c>
      <c r="L804" s="27">
        <v>1</v>
      </c>
      <c r="M804" s="27">
        <v>0</v>
      </c>
      <c r="N804" s="27">
        <v>0</v>
      </c>
      <c r="O804" s="27">
        <v>0</v>
      </c>
      <c r="P804" s="25">
        <v>700</v>
      </c>
      <c r="Q804" s="25">
        <v>560</v>
      </c>
      <c r="R804" s="25" t="s">
        <v>87</v>
      </c>
      <c r="S804" s="25" t="s">
        <v>89</v>
      </c>
      <c r="T804" s="25">
        <v>0</v>
      </c>
      <c r="U804" s="25">
        <v>0</v>
      </c>
      <c r="V804" s="25">
        <v>0</v>
      </c>
      <c r="W804" s="25">
        <v>0</v>
      </c>
      <c r="X804" s="25">
        <v>1</v>
      </c>
      <c r="Y804" s="25">
        <v>0</v>
      </c>
      <c r="Z804" s="25">
        <v>0</v>
      </c>
      <c r="AA804" s="25">
        <v>0</v>
      </c>
      <c r="AB804" s="25">
        <v>0</v>
      </c>
      <c r="AC804" s="25">
        <v>0</v>
      </c>
      <c r="AD804" s="25">
        <v>0</v>
      </c>
      <c r="AE804" s="25">
        <v>1</v>
      </c>
      <c r="AF804" s="25" t="s">
        <v>132</v>
      </c>
    </row>
    <row r="805" spans="1:32" s="25" customFormat="1" x14ac:dyDescent="0.25">
      <c r="A805" s="25" t="s">
        <v>185</v>
      </c>
      <c r="B805" s="25">
        <f t="shared" si="26"/>
        <v>5600</v>
      </c>
      <c r="C805" s="25" t="s">
        <v>12</v>
      </c>
      <c r="D805" s="25">
        <v>0</v>
      </c>
      <c r="E805" s="25">
        <v>0</v>
      </c>
      <c r="F805" s="25">
        <v>256</v>
      </c>
      <c r="G805" s="25">
        <v>222</v>
      </c>
      <c r="H805" s="27">
        <v>0</v>
      </c>
      <c r="I805" s="27">
        <v>0</v>
      </c>
      <c r="J805" s="27">
        <v>0</v>
      </c>
      <c r="K805" s="27">
        <v>0</v>
      </c>
      <c r="L805" s="27">
        <v>1</v>
      </c>
      <c r="M805" s="27">
        <v>0</v>
      </c>
      <c r="N805" s="27">
        <v>0</v>
      </c>
      <c r="O805" s="27">
        <v>0</v>
      </c>
      <c r="P805" s="25">
        <v>700</v>
      </c>
      <c r="Q805" s="25">
        <v>560</v>
      </c>
      <c r="R805" s="25" t="s">
        <v>87</v>
      </c>
      <c r="S805" s="25" t="s">
        <v>89</v>
      </c>
      <c r="T805" s="25">
        <v>0</v>
      </c>
      <c r="U805" s="25">
        <v>0</v>
      </c>
      <c r="V805" s="25">
        <v>0</v>
      </c>
      <c r="W805" s="25">
        <v>0</v>
      </c>
      <c r="X805" s="25">
        <v>1</v>
      </c>
      <c r="Y805" s="25">
        <v>0</v>
      </c>
      <c r="Z805" s="25">
        <v>0</v>
      </c>
      <c r="AA805" s="25">
        <v>0</v>
      </c>
      <c r="AB805" s="25">
        <v>0</v>
      </c>
      <c r="AC805" s="25">
        <v>0</v>
      </c>
      <c r="AD805" s="25">
        <v>0</v>
      </c>
      <c r="AE805" s="25">
        <v>1</v>
      </c>
      <c r="AF805" s="25" t="s">
        <v>132</v>
      </c>
    </row>
    <row r="806" spans="1:32" s="25" customFormat="1" x14ac:dyDescent="0.25">
      <c r="A806" s="25" t="s">
        <v>185</v>
      </c>
      <c r="B806" s="25">
        <f t="shared" si="26"/>
        <v>5610</v>
      </c>
      <c r="C806" s="25" t="s">
        <v>12</v>
      </c>
      <c r="D806" s="25">
        <v>0</v>
      </c>
      <c r="E806" s="25">
        <v>0</v>
      </c>
      <c r="F806" s="25">
        <v>256</v>
      </c>
      <c r="G806" s="25">
        <v>222</v>
      </c>
      <c r="H806" s="27">
        <v>0</v>
      </c>
      <c r="I806" s="27">
        <v>0</v>
      </c>
      <c r="J806" s="27">
        <v>0</v>
      </c>
      <c r="K806" s="27">
        <v>0</v>
      </c>
      <c r="L806" s="27">
        <v>1</v>
      </c>
      <c r="M806" s="27">
        <v>0</v>
      </c>
      <c r="N806" s="27">
        <v>0</v>
      </c>
      <c r="O806" s="27">
        <v>0</v>
      </c>
      <c r="P806" s="25">
        <v>700</v>
      </c>
      <c r="Q806" s="25">
        <v>560</v>
      </c>
      <c r="R806" s="25" t="s">
        <v>87</v>
      </c>
      <c r="S806" s="25" t="s">
        <v>89</v>
      </c>
      <c r="T806" s="25">
        <v>0</v>
      </c>
      <c r="U806" s="25">
        <v>0</v>
      </c>
      <c r="V806" s="25">
        <v>0</v>
      </c>
      <c r="W806" s="25">
        <v>0</v>
      </c>
      <c r="X806" s="25">
        <v>1</v>
      </c>
      <c r="Y806" s="25">
        <v>0</v>
      </c>
      <c r="Z806" s="25">
        <v>0</v>
      </c>
      <c r="AA806" s="25">
        <v>0</v>
      </c>
      <c r="AB806" s="25">
        <v>0</v>
      </c>
      <c r="AC806" s="25">
        <v>0</v>
      </c>
      <c r="AD806" s="25">
        <v>0</v>
      </c>
      <c r="AE806" s="25">
        <v>1</v>
      </c>
      <c r="AF806" s="25" t="s">
        <v>132</v>
      </c>
    </row>
    <row r="807" spans="1:32" s="25" customFormat="1" x14ac:dyDescent="0.25">
      <c r="A807" s="25" t="s">
        <v>185</v>
      </c>
      <c r="B807" s="25">
        <f t="shared" si="26"/>
        <v>5620</v>
      </c>
      <c r="C807" s="25" t="s">
        <v>12</v>
      </c>
      <c r="D807" s="25">
        <v>0</v>
      </c>
      <c r="E807" s="25">
        <v>0</v>
      </c>
      <c r="F807" s="25">
        <v>256</v>
      </c>
      <c r="G807" s="25">
        <v>222</v>
      </c>
      <c r="H807" s="27">
        <v>0</v>
      </c>
      <c r="I807" s="27">
        <v>0</v>
      </c>
      <c r="J807" s="27">
        <v>0</v>
      </c>
      <c r="K807" s="27">
        <v>0</v>
      </c>
      <c r="L807" s="27">
        <v>1</v>
      </c>
      <c r="M807" s="27">
        <v>0</v>
      </c>
      <c r="N807" s="27">
        <v>0</v>
      </c>
      <c r="O807" s="27">
        <v>0</v>
      </c>
      <c r="P807" s="25">
        <v>700</v>
      </c>
      <c r="Q807" s="25">
        <v>560</v>
      </c>
      <c r="R807" s="25" t="s">
        <v>87</v>
      </c>
      <c r="S807" s="25" t="s">
        <v>89</v>
      </c>
      <c r="T807" s="25">
        <v>0</v>
      </c>
      <c r="U807" s="25">
        <v>0</v>
      </c>
      <c r="V807" s="25">
        <v>0</v>
      </c>
      <c r="W807" s="25">
        <v>0</v>
      </c>
      <c r="X807" s="25">
        <v>1</v>
      </c>
      <c r="Y807" s="25">
        <v>0</v>
      </c>
      <c r="Z807" s="25">
        <v>0</v>
      </c>
      <c r="AA807" s="25">
        <v>0</v>
      </c>
      <c r="AB807" s="25">
        <v>0</v>
      </c>
      <c r="AC807" s="25">
        <v>0</v>
      </c>
      <c r="AD807" s="25">
        <v>0</v>
      </c>
      <c r="AE807" s="25">
        <v>1</v>
      </c>
      <c r="AF807" s="25" t="s">
        <v>132</v>
      </c>
    </row>
    <row r="808" spans="1:32" s="25" customFormat="1" x14ac:dyDescent="0.25">
      <c r="A808" s="25" t="s">
        <v>185</v>
      </c>
      <c r="B808" s="25">
        <f t="shared" si="26"/>
        <v>5630</v>
      </c>
      <c r="C808" s="25" t="s">
        <v>12</v>
      </c>
      <c r="D808" s="25">
        <v>0</v>
      </c>
      <c r="E808" s="25">
        <v>0</v>
      </c>
      <c r="F808" s="25">
        <v>256</v>
      </c>
      <c r="G808" s="25">
        <v>222</v>
      </c>
      <c r="H808" s="27">
        <v>0</v>
      </c>
      <c r="I808" s="27">
        <v>0</v>
      </c>
      <c r="J808" s="27">
        <v>0</v>
      </c>
      <c r="K808" s="27">
        <v>0</v>
      </c>
      <c r="L808" s="27">
        <v>1</v>
      </c>
      <c r="M808" s="27">
        <v>0</v>
      </c>
      <c r="N808" s="27">
        <v>0</v>
      </c>
      <c r="O808" s="27">
        <v>0</v>
      </c>
      <c r="P808" s="25">
        <v>700</v>
      </c>
      <c r="Q808" s="25">
        <v>560</v>
      </c>
      <c r="R808" s="25" t="s">
        <v>87</v>
      </c>
      <c r="S808" s="25" t="s">
        <v>89</v>
      </c>
      <c r="T808" s="25">
        <v>0</v>
      </c>
      <c r="U808" s="25">
        <v>0</v>
      </c>
      <c r="V808" s="25">
        <v>0</v>
      </c>
      <c r="W808" s="25">
        <v>0</v>
      </c>
      <c r="X808" s="25">
        <v>1</v>
      </c>
      <c r="Y808" s="25">
        <v>0</v>
      </c>
      <c r="Z808" s="25">
        <v>0</v>
      </c>
      <c r="AA808" s="25">
        <v>0</v>
      </c>
      <c r="AB808" s="25">
        <v>0</v>
      </c>
      <c r="AC808" s="25">
        <v>0</v>
      </c>
      <c r="AD808" s="25">
        <v>0</v>
      </c>
      <c r="AE808" s="25">
        <v>1</v>
      </c>
      <c r="AF808" s="25" t="s">
        <v>132</v>
      </c>
    </row>
    <row r="809" spans="1:32" s="25" customFormat="1" x14ac:dyDescent="0.25">
      <c r="A809" s="25" t="s">
        <v>185</v>
      </c>
      <c r="B809" s="25">
        <f t="shared" si="26"/>
        <v>5640</v>
      </c>
      <c r="C809" s="25" t="s">
        <v>12</v>
      </c>
      <c r="D809" s="25">
        <v>0</v>
      </c>
      <c r="E809" s="25">
        <v>0</v>
      </c>
      <c r="F809" s="25">
        <v>256</v>
      </c>
      <c r="G809" s="25">
        <v>222</v>
      </c>
      <c r="H809" s="27">
        <v>0</v>
      </c>
      <c r="I809" s="27">
        <v>0</v>
      </c>
      <c r="J809" s="27">
        <v>0</v>
      </c>
      <c r="K809" s="27">
        <v>0</v>
      </c>
      <c r="L809" s="27">
        <v>1</v>
      </c>
      <c r="M809" s="27">
        <v>0</v>
      </c>
      <c r="N809" s="27">
        <v>0</v>
      </c>
      <c r="O809" s="27">
        <v>0</v>
      </c>
      <c r="P809" s="25">
        <v>700</v>
      </c>
      <c r="Q809" s="25">
        <v>560</v>
      </c>
      <c r="R809" s="25" t="s">
        <v>87</v>
      </c>
      <c r="S809" s="25" t="s">
        <v>89</v>
      </c>
      <c r="T809" s="25">
        <v>0</v>
      </c>
      <c r="U809" s="25">
        <v>0</v>
      </c>
      <c r="V809" s="25">
        <v>0</v>
      </c>
      <c r="W809" s="25">
        <v>0</v>
      </c>
      <c r="X809" s="25">
        <v>1</v>
      </c>
      <c r="Y809" s="25">
        <v>0</v>
      </c>
      <c r="Z809" s="25">
        <v>0</v>
      </c>
      <c r="AA809" s="25">
        <v>0</v>
      </c>
      <c r="AB809" s="25">
        <v>0</v>
      </c>
      <c r="AC809" s="25">
        <v>0</v>
      </c>
      <c r="AD809" s="25">
        <v>0</v>
      </c>
      <c r="AE809" s="25">
        <v>1</v>
      </c>
      <c r="AF809" s="25" t="s">
        <v>132</v>
      </c>
    </row>
    <row r="810" spans="1:32" s="25" customFormat="1" x14ac:dyDescent="0.25">
      <c r="A810" s="25" t="s">
        <v>185</v>
      </c>
      <c r="B810" s="25">
        <f t="shared" si="26"/>
        <v>5650</v>
      </c>
      <c r="C810" s="25" t="s">
        <v>12</v>
      </c>
      <c r="D810" s="25">
        <v>0</v>
      </c>
      <c r="E810" s="25">
        <v>0</v>
      </c>
      <c r="F810" s="25">
        <v>256</v>
      </c>
      <c r="G810" s="25">
        <v>222</v>
      </c>
      <c r="H810" s="27">
        <v>0</v>
      </c>
      <c r="I810" s="27">
        <v>0</v>
      </c>
      <c r="J810" s="27">
        <v>0</v>
      </c>
      <c r="K810" s="27">
        <v>0</v>
      </c>
      <c r="L810" s="27">
        <v>1</v>
      </c>
      <c r="M810" s="27">
        <v>0</v>
      </c>
      <c r="N810" s="27">
        <v>0</v>
      </c>
      <c r="O810" s="27">
        <v>0</v>
      </c>
      <c r="P810" s="25">
        <v>700</v>
      </c>
      <c r="Q810" s="25">
        <v>560</v>
      </c>
      <c r="R810" s="25" t="s">
        <v>87</v>
      </c>
      <c r="S810" s="25" t="s">
        <v>89</v>
      </c>
      <c r="T810" s="25">
        <v>0</v>
      </c>
      <c r="U810" s="25">
        <v>0</v>
      </c>
      <c r="V810" s="25">
        <v>0</v>
      </c>
      <c r="W810" s="25">
        <v>0</v>
      </c>
      <c r="X810" s="25">
        <v>1</v>
      </c>
      <c r="Y810" s="25">
        <v>0</v>
      </c>
      <c r="Z810" s="25">
        <v>0</v>
      </c>
      <c r="AA810" s="25">
        <v>0</v>
      </c>
      <c r="AB810" s="25">
        <v>0</v>
      </c>
      <c r="AC810" s="25">
        <v>0</v>
      </c>
      <c r="AD810" s="25">
        <v>0</v>
      </c>
      <c r="AE810" s="25">
        <v>1</v>
      </c>
      <c r="AF810" s="25" t="s">
        <v>132</v>
      </c>
    </row>
    <row r="811" spans="1:32" s="25" customFormat="1" x14ac:dyDescent="0.25">
      <c r="A811" s="25" t="s">
        <v>185</v>
      </c>
      <c r="B811" s="25">
        <f t="shared" si="26"/>
        <v>5660</v>
      </c>
      <c r="C811" s="25" t="s">
        <v>12</v>
      </c>
      <c r="D811" s="25">
        <v>0</v>
      </c>
      <c r="E811" s="25">
        <v>0</v>
      </c>
      <c r="F811" s="25">
        <v>256</v>
      </c>
      <c r="G811" s="25">
        <v>222</v>
      </c>
      <c r="H811" s="27">
        <v>0</v>
      </c>
      <c r="I811" s="27">
        <v>0</v>
      </c>
      <c r="J811" s="27">
        <v>0</v>
      </c>
      <c r="K811" s="27">
        <v>0</v>
      </c>
      <c r="L811" s="27">
        <v>1</v>
      </c>
      <c r="M811" s="27">
        <v>0</v>
      </c>
      <c r="N811" s="27">
        <v>0</v>
      </c>
      <c r="O811" s="27">
        <v>0</v>
      </c>
      <c r="P811" s="25">
        <v>700</v>
      </c>
      <c r="Q811" s="25">
        <v>560</v>
      </c>
      <c r="R811" s="25" t="s">
        <v>87</v>
      </c>
      <c r="S811" s="25" t="s">
        <v>89</v>
      </c>
      <c r="T811" s="25">
        <v>0</v>
      </c>
      <c r="U811" s="25">
        <v>0</v>
      </c>
      <c r="V811" s="25">
        <v>0</v>
      </c>
      <c r="W811" s="25">
        <v>0</v>
      </c>
      <c r="X811" s="25">
        <v>1</v>
      </c>
      <c r="Y811" s="25">
        <v>0</v>
      </c>
      <c r="Z811" s="25">
        <v>0</v>
      </c>
      <c r="AA811" s="25">
        <v>0</v>
      </c>
      <c r="AB811" s="25">
        <v>0</v>
      </c>
      <c r="AC811" s="25">
        <v>0</v>
      </c>
      <c r="AD811" s="25">
        <v>0</v>
      </c>
      <c r="AE811" s="25">
        <v>1</v>
      </c>
      <c r="AF811" s="25" t="s">
        <v>132</v>
      </c>
    </row>
    <row r="812" spans="1:32" s="25" customFormat="1" x14ac:dyDescent="0.25">
      <c r="A812" s="25" t="s">
        <v>185</v>
      </c>
      <c r="B812" s="25">
        <f t="shared" si="26"/>
        <v>5670</v>
      </c>
      <c r="C812" s="25" t="s">
        <v>12</v>
      </c>
      <c r="D812" s="25">
        <v>0</v>
      </c>
      <c r="E812" s="25">
        <v>0</v>
      </c>
      <c r="F812" s="25">
        <v>256</v>
      </c>
      <c r="G812" s="25">
        <v>222</v>
      </c>
      <c r="H812" s="27">
        <v>0</v>
      </c>
      <c r="I812" s="27">
        <v>0</v>
      </c>
      <c r="J812" s="27">
        <v>0</v>
      </c>
      <c r="K812" s="27">
        <v>0</v>
      </c>
      <c r="L812" s="27">
        <v>1</v>
      </c>
      <c r="M812" s="27">
        <v>0</v>
      </c>
      <c r="N812" s="27">
        <v>0</v>
      </c>
      <c r="O812" s="27">
        <v>0</v>
      </c>
      <c r="P812" s="25">
        <v>700</v>
      </c>
      <c r="Q812" s="25">
        <v>560</v>
      </c>
      <c r="R812" s="25" t="s">
        <v>87</v>
      </c>
      <c r="S812" s="25" t="s">
        <v>89</v>
      </c>
      <c r="T812" s="25">
        <v>0</v>
      </c>
      <c r="U812" s="25">
        <v>0</v>
      </c>
      <c r="V812" s="25">
        <v>0</v>
      </c>
      <c r="W812" s="25">
        <v>0</v>
      </c>
      <c r="X812" s="25">
        <v>1</v>
      </c>
      <c r="Y812" s="25">
        <v>0</v>
      </c>
      <c r="Z812" s="25">
        <v>0</v>
      </c>
      <c r="AA812" s="25">
        <v>0</v>
      </c>
      <c r="AB812" s="25">
        <v>0</v>
      </c>
      <c r="AC812" s="25">
        <v>0</v>
      </c>
      <c r="AD812" s="25">
        <v>0</v>
      </c>
      <c r="AE812" s="25">
        <v>1</v>
      </c>
      <c r="AF812" s="25" t="s">
        <v>132</v>
      </c>
    </row>
    <row r="813" spans="1:32" s="25" customFormat="1" x14ac:dyDescent="0.25">
      <c r="A813" s="25" t="s">
        <v>185</v>
      </c>
      <c r="B813" s="25">
        <f t="shared" si="26"/>
        <v>5680</v>
      </c>
      <c r="C813" s="25" t="s">
        <v>12</v>
      </c>
      <c r="D813" s="25">
        <v>0</v>
      </c>
      <c r="E813" s="25">
        <v>0</v>
      </c>
      <c r="F813" s="25">
        <v>256</v>
      </c>
      <c r="G813" s="25">
        <v>222</v>
      </c>
      <c r="H813" s="27">
        <v>0</v>
      </c>
      <c r="I813" s="27">
        <v>0</v>
      </c>
      <c r="J813" s="27">
        <v>0</v>
      </c>
      <c r="K813" s="27">
        <v>0</v>
      </c>
      <c r="L813" s="27">
        <v>1</v>
      </c>
      <c r="M813" s="27">
        <v>0</v>
      </c>
      <c r="N813" s="27">
        <v>0</v>
      </c>
      <c r="O813" s="27">
        <v>0</v>
      </c>
      <c r="P813" s="25">
        <v>700</v>
      </c>
      <c r="Q813" s="25">
        <v>560</v>
      </c>
      <c r="R813" s="25" t="s">
        <v>87</v>
      </c>
      <c r="S813" s="25" t="s">
        <v>89</v>
      </c>
      <c r="T813" s="25">
        <v>0</v>
      </c>
      <c r="U813" s="25">
        <v>0</v>
      </c>
      <c r="V813" s="25">
        <v>0</v>
      </c>
      <c r="W813" s="25">
        <v>0</v>
      </c>
      <c r="X813" s="25">
        <v>1</v>
      </c>
      <c r="Y813" s="25">
        <v>0</v>
      </c>
      <c r="Z813" s="25">
        <v>0</v>
      </c>
      <c r="AA813" s="25">
        <v>0</v>
      </c>
      <c r="AB813" s="25">
        <v>0</v>
      </c>
      <c r="AC813" s="25">
        <v>0</v>
      </c>
      <c r="AD813" s="25">
        <v>0</v>
      </c>
      <c r="AE813" s="25">
        <v>1</v>
      </c>
      <c r="AF813" s="25" t="s">
        <v>132</v>
      </c>
    </row>
    <row r="814" spans="1:32" s="25" customFormat="1" x14ac:dyDescent="0.25">
      <c r="A814" s="25" t="s">
        <v>185</v>
      </c>
      <c r="B814" s="25">
        <f t="shared" si="26"/>
        <v>5690</v>
      </c>
      <c r="C814" s="25" t="s">
        <v>12</v>
      </c>
      <c r="D814" s="25">
        <v>0</v>
      </c>
      <c r="E814" s="25">
        <v>0</v>
      </c>
      <c r="F814" s="25">
        <v>256</v>
      </c>
      <c r="G814" s="25">
        <v>222</v>
      </c>
      <c r="H814" s="27">
        <v>0</v>
      </c>
      <c r="I814" s="27">
        <v>0</v>
      </c>
      <c r="J814" s="27">
        <v>0</v>
      </c>
      <c r="K814" s="27">
        <v>0</v>
      </c>
      <c r="L814" s="27">
        <v>1</v>
      </c>
      <c r="M814" s="27">
        <v>0</v>
      </c>
      <c r="N814" s="27">
        <v>0</v>
      </c>
      <c r="O814" s="27">
        <v>0</v>
      </c>
      <c r="P814" s="25">
        <v>700</v>
      </c>
      <c r="Q814" s="25">
        <v>560</v>
      </c>
      <c r="R814" s="25" t="s">
        <v>87</v>
      </c>
      <c r="S814" s="25" t="s">
        <v>89</v>
      </c>
      <c r="T814" s="25">
        <v>0</v>
      </c>
      <c r="U814" s="25">
        <v>0</v>
      </c>
      <c r="V814" s="25">
        <v>0</v>
      </c>
      <c r="W814" s="25">
        <v>0</v>
      </c>
      <c r="X814" s="25">
        <v>1</v>
      </c>
      <c r="Y814" s="25">
        <v>0</v>
      </c>
      <c r="Z814" s="25">
        <v>0</v>
      </c>
      <c r="AA814" s="25">
        <v>0</v>
      </c>
      <c r="AB814" s="25">
        <v>0</v>
      </c>
      <c r="AC814" s="25">
        <v>0</v>
      </c>
      <c r="AD814" s="25">
        <v>0</v>
      </c>
      <c r="AE814" s="25">
        <v>1</v>
      </c>
      <c r="AF814" s="25" t="s">
        <v>132</v>
      </c>
    </row>
    <row r="815" spans="1:32" s="25" customFormat="1" x14ac:dyDescent="0.25">
      <c r="A815" s="25" t="s">
        <v>185</v>
      </c>
      <c r="B815" s="25">
        <f t="shared" si="26"/>
        <v>5700</v>
      </c>
      <c r="C815" s="25" t="s">
        <v>12</v>
      </c>
      <c r="D815" s="25">
        <v>0</v>
      </c>
      <c r="E815" s="25">
        <v>0</v>
      </c>
      <c r="F815" s="25">
        <v>256</v>
      </c>
      <c r="G815" s="25">
        <v>222</v>
      </c>
      <c r="H815" s="27">
        <v>0</v>
      </c>
      <c r="I815" s="27">
        <v>0</v>
      </c>
      <c r="J815" s="27">
        <v>0</v>
      </c>
      <c r="K815" s="27">
        <v>0</v>
      </c>
      <c r="L815" s="27">
        <v>1</v>
      </c>
      <c r="M815" s="27">
        <v>0</v>
      </c>
      <c r="N815" s="27">
        <v>0</v>
      </c>
      <c r="O815" s="27">
        <v>0</v>
      </c>
      <c r="P815" s="25">
        <v>700</v>
      </c>
      <c r="Q815" s="25">
        <v>560</v>
      </c>
      <c r="R815" s="25" t="s">
        <v>87</v>
      </c>
      <c r="S815" s="25" t="s">
        <v>89</v>
      </c>
      <c r="T815" s="25">
        <v>0</v>
      </c>
      <c r="U815" s="25">
        <v>0</v>
      </c>
      <c r="V815" s="25">
        <v>0</v>
      </c>
      <c r="W815" s="25">
        <v>0</v>
      </c>
      <c r="X815" s="25">
        <v>1</v>
      </c>
      <c r="Y815" s="25">
        <v>0</v>
      </c>
      <c r="Z815" s="25">
        <v>0</v>
      </c>
      <c r="AA815" s="25">
        <v>0</v>
      </c>
      <c r="AB815" s="25">
        <v>0</v>
      </c>
      <c r="AC815" s="25">
        <v>0</v>
      </c>
      <c r="AD815" s="25">
        <v>0</v>
      </c>
      <c r="AE815" s="25">
        <v>1</v>
      </c>
      <c r="AF815" s="25" t="s">
        <v>132</v>
      </c>
    </row>
    <row r="816" spans="1:32" s="25" customFormat="1" x14ac:dyDescent="0.25">
      <c r="A816" s="25" t="s">
        <v>185</v>
      </c>
      <c r="B816" s="25">
        <f t="shared" si="26"/>
        <v>5710</v>
      </c>
      <c r="C816" s="25" t="s">
        <v>12</v>
      </c>
      <c r="D816" s="25">
        <v>0</v>
      </c>
      <c r="E816" s="25">
        <v>0</v>
      </c>
      <c r="F816" s="25">
        <v>256</v>
      </c>
      <c r="G816" s="25">
        <v>222</v>
      </c>
      <c r="H816" s="27">
        <v>0</v>
      </c>
      <c r="I816" s="27">
        <v>0</v>
      </c>
      <c r="J816" s="27">
        <v>0</v>
      </c>
      <c r="K816" s="27">
        <v>0</v>
      </c>
      <c r="L816" s="27">
        <v>1</v>
      </c>
      <c r="M816" s="27">
        <v>0</v>
      </c>
      <c r="N816" s="27">
        <v>0</v>
      </c>
      <c r="O816" s="27">
        <v>0</v>
      </c>
      <c r="P816" s="25">
        <v>700</v>
      </c>
      <c r="Q816" s="25">
        <v>560</v>
      </c>
      <c r="R816" s="25" t="s">
        <v>87</v>
      </c>
      <c r="S816" s="25" t="s">
        <v>89</v>
      </c>
      <c r="T816" s="25">
        <v>0</v>
      </c>
      <c r="U816" s="25">
        <v>0</v>
      </c>
      <c r="V816" s="25">
        <v>0</v>
      </c>
      <c r="W816" s="25">
        <v>0</v>
      </c>
      <c r="X816" s="25">
        <v>1</v>
      </c>
      <c r="Y816" s="25">
        <v>0</v>
      </c>
      <c r="Z816" s="25">
        <v>0</v>
      </c>
      <c r="AA816" s="25">
        <v>0</v>
      </c>
      <c r="AB816" s="25">
        <v>0</v>
      </c>
      <c r="AC816" s="25">
        <v>0</v>
      </c>
      <c r="AD816" s="25">
        <v>0</v>
      </c>
      <c r="AE816" s="25">
        <v>1</v>
      </c>
      <c r="AF816" s="25" t="s">
        <v>132</v>
      </c>
    </row>
    <row r="817" spans="1:32" s="25" customFormat="1" x14ac:dyDescent="0.25">
      <c r="A817" s="25" t="s">
        <v>185</v>
      </c>
      <c r="B817" s="25">
        <f t="shared" si="26"/>
        <v>5720</v>
      </c>
      <c r="C817" s="25" t="s">
        <v>12</v>
      </c>
      <c r="D817" s="25">
        <v>0</v>
      </c>
      <c r="E817" s="25">
        <v>0</v>
      </c>
      <c r="F817" s="25">
        <v>256</v>
      </c>
      <c r="G817" s="25">
        <v>222</v>
      </c>
      <c r="H817" s="27">
        <v>0</v>
      </c>
      <c r="I817" s="27">
        <v>0</v>
      </c>
      <c r="J817" s="27">
        <v>0</v>
      </c>
      <c r="K817" s="27">
        <v>0</v>
      </c>
      <c r="L817" s="27">
        <v>1</v>
      </c>
      <c r="M817" s="27">
        <v>0</v>
      </c>
      <c r="N817" s="27">
        <v>0</v>
      </c>
      <c r="O817" s="27">
        <v>0</v>
      </c>
      <c r="P817" s="25">
        <v>700</v>
      </c>
      <c r="Q817" s="25">
        <v>560</v>
      </c>
      <c r="R817" s="25" t="s">
        <v>87</v>
      </c>
      <c r="S817" s="25" t="s">
        <v>89</v>
      </c>
      <c r="T817" s="25">
        <v>0</v>
      </c>
      <c r="U817" s="25">
        <v>0</v>
      </c>
      <c r="V817" s="25">
        <v>0</v>
      </c>
      <c r="W817" s="25">
        <v>0</v>
      </c>
      <c r="X817" s="25">
        <v>1</v>
      </c>
      <c r="Y817" s="25">
        <v>0</v>
      </c>
      <c r="Z817" s="25">
        <v>0</v>
      </c>
      <c r="AA817" s="25">
        <v>0</v>
      </c>
      <c r="AB817" s="25">
        <v>0</v>
      </c>
      <c r="AC817" s="25">
        <v>0</v>
      </c>
      <c r="AD817" s="25">
        <v>0</v>
      </c>
      <c r="AE817" s="25">
        <v>1</v>
      </c>
      <c r="AF817" s="25" t="s">
        <v>132</v>
      </c>
    </row>
    <row r="818" spans="1:32" s="25" customFormat="1" x14ac:dyDescent="0.25">
      <c r="A818" s="25" t="s">
        <v>185</v>
      </c>
      <c r="B818" s="25">
        <f t="shared" si="26"/>
        <v>5730</v>
      </c>
      <c r="C818" s="25" t="s">
        <v>12</v>
      </c>
      <c r="D818" s="25">
        <v>0</v>
      </c>
      <c r="E818" s="25">
        <v>0</v>
      </c>
      <c r="F818" s="25">
        <v>256</v>
      </c>
      <c r="G818" s="25">
        <v>222</v>
      </c>
      <c r="H818" s="27">
        <v>0</v>
      </c>
      <c r="I818" s="27">
        <v>0</v>
      </c>
      <c r="J818" s="27">
        <v>0</v>
      </c>
      <c r="K818" s="27">
        <v>0</v>
      </c>
      <c r="L818" s="27">
        <v>1</v>
      </c>
      <c r="M818" s="27">
        <v>0</v>
      </c>
      <c r="N818" s="27">
        <v>0</v>
      </c>
      <c r="O818" s="27">
        <v>0</v>
      </c>
      <c r="P818" s="25">
        <v>700</v>
      </c>
      <c r="Q818" s="25">
        <v>560</v>
      </c>
      <c r="R818" s="25" t="s">
        <v>87</v>
      </c>
      <c r="S818" s="25" t="s">
        <v>89</v>
      </c>
      <c r="T818" s="25">
        <v>0</v>
      </c>
      <c r="U818" s="25">
        <v>0</v>
      </c>
      <c r="V818" s="25">
        <v>0</v>
      </c>
      <c r="W818" s="25">
        <v>0</v>
      </c>
      <c r="X818" s="25">
        <v>1</v>
      </c>
      <c r="Y818" s="25">
        <v>0</v>
      </c>
      <c r="Z818" s="25">
        <v>0</v>
      </c>
      <c r="AA818" s="25">
        <v>0</v>
      </c>
      <c r="AB818" s="25">
        <v>0</v>
      </c>
      <c r="AC818" s="25">
        <v>0</v>
      </c>
      <c r="AD818" s="25">
        <v>0</v>
      </c>
      <c r="AE818" s="25">
        <v>1</v>
      </c>
      <c r="AF818" s="25" t="s">
        <v>132</v>
      </c>
    </row>
    <row r="819" spans="1:32" s="25" customFormat="1" x14ac:dyDescent="0.25">
      <c r="A819" s="25" t="s">
        <v>185</v>
      </c>
      <c r="B819" s="25">
        <f t="shared" si="26"/>
        <v>5740</v>
      </c>
      <c r="C819" s="25" t="s">
        <v>12</v>
      </c>
      <c r="D819" s="25">
        <v>0</v>
      </c>
      <c r="E819" s="25">
        <v>0</v>
      </c>
      <c r="F819" s="25">
        <v>256</v>
      </c>
      <c r="G819" s="25">
        <v>222</v>
      </c>
      <c r="H819" s="27">
        <v>0</v>
      </c>
      <c r="I819" s="27">
        <v>0</v>
      </c>
      <c r="J819" s="27">
        <v>0</v>
      </c>
      <c r="K819" s="27">
        <v>0</v>
      </c>
      <c r="L819" s="27">
        <v>1</v>
      </c>
      <c r="M819" s="27">
        <v>0</v>
      </c>
      <c r="N819" s="27">
        <v>0</v>
      </c>
      <c r="O819" s="27">
        <v>0</v>
      </c>
      <c r="P819" s="25">
        <v>700</v>
      </c>
      <c r="Q819" s="25">
        <v>560</v>
      </c>
      <c r="R819" s="25" t="s">
        <v>87</v>
      </c>
      <c r="S819" s="25" t="s">
        <v>89</v>
      </c>
      <c r="T819" s="25">
        <v>0</v>
      </c>
      <c r="U819" s="25">
        <v>0</v>
      </c>
      <c r="V819" s="25">
        <v>0</v>
      </c>
      <c r="W819" s="25">
        <v>0</v>
      </c>
      <c r="X819" s="25">
        <v>1</v>
      </c>
      <c r="Y819" s="25">
        <v>0</v>
      </c>
      <c r="Z819" s="25">
        <v>0</v>
      </c>
      <c r="AA819" s="25">
        <v>0</v>
      </c>
      <c r="AB819" s="25">
        <v>0</v>
      </c>
      <c r="AC819" s="25">
        <v>0</v>
      </c>
      <c r="AD819" s="25">
        <v>0</v>
      </c>
      <c r="AE819" s="25">
        <v>1</v>
      </c>
      <c r="AF819" s="25" t="s">
        <v>132</v>
      </c>
    </row>
    <row r="820" spans="1:32" s="25" customFormat="1" x14ac:dyDescent="0.25">
      <c r="A820" s="25" t="s">
        <v>185</v>
      </c>
      <c r="B820" s="25">
        <f t="shared" si="26"/>
        <v>5750</v>
      </c>
      <c r="C820" s="25" t="s">
        <v>12</v>
      </c>
      <c r="D820" s="25">
        <v>0</v>
      </c>
      <c r="E820" s="25">
        <v>0</v>
      </c>
      <c r="F820" s="25">
        <v>256</v>
      </c>
      <c r="G820" s="25">
        <v>222</v>
      </c>
      <c r="H820" s="27">
        <v>0</v>
      </c>
      <c r="I820" s="27">
        <v>0</v>
      </c>
      <c r="J820" s="27">
        <v>0</v>
      </c>
      <c r="K820" s="27">
        <v>0</v>
      </c>
      <c r="L820" s="27">
        <v>1</v>
      </c>
      <c r="M820" s="27">
        <v>0</v>
      </c>
      <c r="N820" s="27">
        <v>0</v>
      </c>
      <c r="O820" s="27">
        <v>0</v>
      </c>
      <c r="P820" s="25">
        <v>700</v>
      </c>
      <c r="Q820" s="25">
        <v>560</v>
      </c>
      <c r="R820" s="25" t="s">
        <v>87</v>
      </c>
      <c r="S820" s="25" t="s">
        <v>89</v>
      </c>
      <c r="T820" s="25">
        <v>0</v>
      </c>
      <c r="U820" s="25">
        <v>0</v>
      </c>
      <c r="V820" s="25">
        <v>0</v>
      </c>
      <c r="W820" s="25">
        <v>0</v>
      </c>
      <c r="X820" s="25">
        <v>1</v>
      </c>
      <c r="Y820" s="25">
        <v>0</v>
      </c>
      <c r="Z820" s="25">
        <v>0</v>
      </c>
      <c r="AA820" s="25">
        <v>0</v>
      </c>
      <c r="AB820" s="25">
        <v>0</v>
      </c>
      <c r="AC820" s="25">
        <v>0</v>
      </c>
      <c r="AD820" s="25">
        <v>0</v>
      </c>
      <c r="AE820" s="25">
        <v>1</v>
      </c>
      <c r="AF820" s="25" t="s">
        <v>132</v>
      </c>
    </row>
    <row r="821" spans="1:32" s="25" customFormat="1" x14ac:dyDescent="0.25">
      <c r="A821" s="25" t="s">
        <v>185</v>
      </c>
      <c r="B821" s="25">
        <f t="shared" si="26"/>
        <v>5760</v>
      </c>
      <c r="C821" s="25" t="s">
        <v>12</v>
      </c>
      <c r="D821" s="25">
        <v>0</v>
      </c>
      <c r="E821" s="25">
        <v>0</v>
      </c>
      <c r="F821" s="25">
        <v>256</v>
      </c>
      <c r="G821" s="25">
        <v>222</v>
      </c>
      <c r="H821" s="27">
        <v>0</v>
      </c>
      <c r="I821" s="27">
        <v>0</v>
      </c>
      <c r="J821" s="27">
        <v>0</v>
      </c>
      <c r="K821" s="27">
        <v>0</v>
      </c>
      <c r="L821" s="27">
        <v>1</v>
      </c>
      <c r="M821" s="27">
        <v>0</v>
      </c>
      <c r="N821" s="27">
        <v>0</v>
      </c>
      <c r="O821" s="27">
        <v>0</v>
      </c>
      <c r="P821" s="25">
        <v>700</v>
      </c>
      <c r="Q821" s="25">
        <v>560</v>
      </c>
      <c r="R821" s="25" t="s">
        <v>87</v>
      </c>
      <c r="S821" s="25" t="s">
        <v>89</v>
      </c>
      <c r="T821" s="25">
        <v>0</v>
      </c>
      <c r="U821" s="25">
        <v>0</v>
      </c>
      <c r="V821" s="25">
        <v>0</v>
      </c>
      <c r="W821" s="25">
        <v>0</v>
      </c>
      <c r="X821" s="25">
        <v>1</v>
      </c>
      <c r="Y821" s="25">
        <v>0</v>
      </c>
      <c r="Z821" s="25">
        <v>0</v>
      </c>
      <c r="AA821" s="25">
        <v>0</v>
      </c>
      <c r="AB821" s="25">
        <v>0</v>
      </c>
      <c r="AC821" s="25">
        <v>0</v>
      </c>
      <c r="AD821" s="25">
        <v>0</v>
      </c>
      <c r="AE821" s="25">
        <v>1</v>
      </c>
      <c r="AF821" s="25" t="s">
        <v>132</v>
      </c>
    </row>
    <row r="822" spans="1:32" s="25" customFormat="1" x14ac:dyDescent="0.25">
      <c r="A822" s="25" t="s">
        <v>185</v>
      </c>
      <c r="B822" s="25">
        <f t="shared" si="26"/>
        <v>5770</v>
      </c>
      <c r="C822" s="25" t="s">
        <v>12</v>
      </c>
      <c r="D822" s="25">
        <v>0</v>
      </c>
      <c r="E822" s="25">
        <v>0</v>
      </c>
      <c r="F822" s="25">
        <v>256</v>
      </c>
      <c r="G822" s="25">
        <v>222</v>
      </c>
      <c r="H822" s="27">
        <v>0</v>
      </c>
      <c r="I822" s="27">
        <v>0</v>
      </c>
      <c r="J822" s="27">
        <v>0</v>
      </c>
      <c r="K822" s="27">
        <v>0</v>
      </c>
      <c r="L822" s="27">
        <v>1</v>
      </c>
      <c r="M822" s="27">
        <v>0</v>
      </c>
      <c r="N822" s="27">
        <v>0</v>
      </c>
      <c r="O822" s="27">
        <v>0</v>
      </c>
      <c r="P822" s="25">
        <v>700</v>
      </c>
      <c r="Q822" s="25">
        <v>560</v>
      </c>
      <c r="R822" s="25" t="s">
        <v>87</v>
      </c>
      <c r="S822" s="25" t="s">
        <v>89</v>
      </c>
      <c r="T822" s="25">
        <v>0</v>
      </c>
      <c r="U822" s="25">
        <v>0</v>
      </c>
      <c r="V822" s="25">
        <v>0</v>
      </c>
      <c r="W822" s="25">
        <v>0</v>
      </c>
      <c r="X822" s="25">
        <v>1</v>
      </c>
      <c r="Y822" s="25">
        <v>0</v>
      </c>
      <c r="Z822" s="25">
        <v>0</v>
      </c>
      <c r="AA822" s="25">
        <v>0</v>
      </c>
      <c r="AB822" s="25">
        <v>0</v>
      </c>
      <c r="AC822" s="25">
        <v>0</v>
      </c>
      <c r="AD822" s="25">
        <v>0</v>
      </c>
      <c r="AE822" s="25">
        <v>1</v>
      </c>
      <c r="AF822" s="25" t="s">
        <v>132</v>
      </c>
    </row>
    <row r="823" spans="1:32" s="25" customFormat="1" x14ac:dyDescent="0.25">
      <c r="A823" s="25" t="s">
        <v>185</v>
      </c>
      <c r="B823" s="25">
        <f t="shared" si="26"/>
        <v>5780</v>
      </c>
      <c r="C823" s="25" t="s">
        <v>12</v>
      </c>
      <c r="D823" s="25">
        <v>0</v>
      </c>
      <c r="E823" s="25">
        <v>0</v>
      </c>
      <c r="F823" s="25">
        <v>256</v>
      </c>
      <c r="G823" s="25">
        <v>222</v>
      </c>
      <c r="H823" s="27">
        <v>0</v>
      </c>
      <c r="I823" s="27">
        <v>0</v>
      </c>
      <c r="J823" s="27">
        <v>0</v>
      </c>
      <c r="K823" s="27">
        <v>0</v>
      </c>
      <c r="L823" s="27">
        <v>1</v>
      </c>
      <c r="M823" s="27">
        <v>0</v>
      </c>
      <c r="N823" s="27">
        <v>0</v>
      </c>
      <c r="O823" s="27">
        <v>0</v>
      </c>
      <c r="P823" s="25">
        <v>700</v>
      </c>
      <c r="Q823" s="25">
        <v>560</v>
      </c>
      <c r="R823" s="25" t="s">
        <v>87</v>
      </c>
      <c r="S823" s="25" t="s">
        <v>89</v>
      </c>
      <c r="T823" s="25">
        <v>0</v>
      </c>
      <c r="U823" s="25">
        <v>0</v>
      </c>
      <c r="V823" s="25">
        <v>0</v>
      </c>
      <c r="W823" s="25">
        <v>0</v>
      </c>
      <c r="X823" s="25">
        <v>1</v>
      </c>
      <c r="Y823" s="25">
        <v>0</v>
      </c>
      <c r="Z823" s="25">
        <v>0</v>
      </c>
      <c r="AA823" s="25">
        <v>0</v>
      </c>
      <c r="AB823" s="25">
        <v>0</v>
      </c>
      <c r="AC823" s="25">
        <v>0</v>
      </c>
      <c r="AD823" s="25">
        <v>0</v>
      </c>
      <c r="AE823" s="25">
        <v>1</v>
      </c>
      <c r="AF823" s="25" t="s">
        <v>132</v>
      </c>
    </row>
    <row r="824" spans="1:32" s="25" customFormat="1" x14ac:dyDescent="0.25">
      <c r="A824" s="25" t="s">
        <v>185</v>
      </c>
      <c r="B824" s="25">
        <f t="shared" si="26"/>
        <v>5790</v>
      </c>
      <c r="C824" s="25" t="s">
        <v>12</v>
      </c>
      <c r="D824" s="25">
        <v>0</v>
      </c>
      <c r="E824" s="25">
        <v>0</v>
      </c>
      <c r="F824" s="25">
        <v>256</v>
      </c>
      <c r="G824" s="25">
        <v>222</v>
      </c>
      <c r="H824" s="27">
        <v>0</v>
      </c>
      <c r="I824" s="27">
        <v>0</v>
      </c>
      <c r="J824" s="27">
        <v>0</v>
      </c>
      <c r="K824" s="27">
        <v>0</v>
      </c>
      <c r="L824" s="27">
        <v>1</v>
      </c>
      <c r="M824" s="27">
        <v>0</v>
      </c>
      <c r="N824" s="27">
        <v>0</v>
      </c>
      <c r="O824" s="27">
        <v>0</v>
      </c>
      <c r="P824" s="25">
        <v>700</v>
      </c>
      <c r="Q824" s="25">
        <v>560</v>
      </c>
      <c r="R824" s="25" t="s">
        <v>87</v>
      </c>
      <c r="S824" s="25" t="s">
        <v>89</v>
      </c>
      <c r="T824" s="25">
        <v>0</v>
      </c>
      <c r="U824" s="25">
        <v>0</v>
      </c>
      <c r="V824" s="25">
        <v>0</v>
      </c>
      <c r="W824" s="25">
        <v>0</v>
      </c>
      <c r="X824" s="25">
        <v>1</v>
      </c>
      <c r="Y824" s="25">
        <v>0</v>
      </c>
      <c r="Z824" s="25">
        <v>0</v>
      </c>
      <c r="AA824" s="25">
        <v>0</v>
      </c>
      <c r="AB824" s="25">
        <v>0</v>
      </c>
      <c r="AC824" s="25">
        <v>0</v>
      </c>
      <c r="AD824" s="25">
        <v>0</v>
      </c>
      <c r="AE824" s="25">
        <v>1</v>
      </c>
      <c r="AF824" s="25" t="s">
        <v>132</v>
      </c>
    </row>
    <row r="825" spans="1:32" s="25" customFormat="1" x14ac:dyDescent="0.25">
      <c r="A825" s="25" t="s">
        <v>185</v>
      </c>
      <c r="B825" s="25">
        <f t="shared" si="26"/>
        <v>5800</v>
      </c>
      <c r="C825" s="25" t="s">
        <v>12</v>
      </c>
      <c r="D825" s="25">
        <v>0</v>
      </c>
      <c r="E825" s="25">
        <v>0</v>
      </c>
      <c r="F825" s="25">
        <v>256</v>
      </c>
      <c r="G825" s="25">
        <v>222</v>
      </c>
      <c r="H825" s="27">
        <v>0</v>
      </c>
      <c r="I825" s="27">
        <v>0</v>
      </c>
      <c r="J825" s="27">
        <v>0</v>
      </c>
      <c r="K825" s="27">
        <v>0</v>
      </c>
      <c r="L825" s="27">
        <v>1</v>
      </c>
      <c r="M825" s="27">
        <v>0</v>
      </c>
      <c r="N825" s="27">
        <v>0</v>
      </c>
      <c r="O825" s="27">
        <v>0</v>
      </c>
      <c r="P825" s="25">
        <v>700</v>
      </c>
      <c r="Q825" s="25">
        <v>560</v>
      </c>
      <c r="R825" s="25" t="s">
        <v>87</v>
      </c>
      <c r="S825" s="25" t="s">
        <v>89</v>
      </c>
      <c r="T825" s="25">
        <v>0</v>
      </c>
      <c r="U825" s="25">
        <v>0</v>
      </c>
      <c r="V825" s="25">
        <v>0</v>
      </c>
      <c r="W825" s="25">
        <v>0</v>
      </c>
      <c r="X825" s="25">
        <v>1</v>
      </c>
      <c r="Y825" s="25">
        <v>0</v>
      </c>
      <c r="Z825" s="25">
        <v>0</v>
      </c>
      <c r="AA825" s="25">
        <v>0</v>
      </c>
      <c r="AB825" s="25">
        <v>0</v>
      </c>
      <c r="AC825" s="25">
        <v>0</v>
      </c>
      <c r="AD825" s="25">
        <v>0</v>
      </c>
      <c r="AE825" s="25">
        <v>1</v>
      </c>
      <c r="AF825" s="25" t="s">
        <v>132</v>
      </c>
    </row>
    <row r="826" spans="1:32" s="25" customFormat="1" x14ac:dyDescent="0.25">
      <c r="A826" s="25" t="s">
        <v>185</v>
      </c>
      <c r="B826" s="25">
        <f t="shared" si="26"/>
        <v>5810</v>
      </c>
      <c r="C826" s="25" t="s">
        <v>12</v>
      </c>
      <c r="D826" s="25">
        <v>0</v>
      </c>
      <c r="E826" s="25">
        <v>0</v>
      </c>
      <c r="F826" s="25">
        <v>256</v>
      </c>
      <c r="G826" s="25">
        <v>222</v>
      </c>
      <c r="H826" s="27">
        <v>0</v>
      </c>
      <c r="I826" s="27">
        <v>0</v>
      </c>
      <c r="J826" s="27">
        <v>0</v>
      </c>
      <c r="K826" s="27">
        <v>0</v>
      </c>
      <c r="L826" s="27">
        <v>1</v>
      </c>
      <c r="M826" s="27">
        <v>0</v>
      </c>
      <c r="N826" s="27">
        <v>0</v>
      </c>
      <c r="O826" s="27">
        <v>0</v>
      </c>
      <c r="P826" s="25">
        <v>700</v>
      </c>
      <c r="Q826" s="25">
        <v>560</v>
      </c>
      <c r="R826" s="25" t="s">
        <v>87</v>
      </c>
      <c r="S826" s="25" t="s">
        <v>89</v>
      </c>
      <c r="T826" s="25">
        <v>0</v>
      </c>
      <c r="U826" s="25">
        <v>0</v>
      </c>
      <c r="V826" s="25">
        <v>0</v>
      </c>
      <c r="W826" s="25">
        <v>0</v>
      </c>
      <c r="X826" s="25">
        <v>1</v>
      </c>
      <c r="Y826" s="25">
        <v>0</v>
      </c>
      <c r="Z826" s="25">
        <v>0</v>
      </c>
      <c r="AA826" s="25">
        <v>0</v>
      </c>
      <c r="AB826" s="25">
        <v>0</v>
      </c>
      <c r="AC826" s="25">
        <v>0</v>
      </c>
      <c r="AD826" s="25">
        <v>0</v>
      </c>
      <c r="AE826" s="25">
        <v>1</v>
      </c>
      <c r="AF826" s="25" t="s">
        <v>132</v>
      </c>
    </row>
    <row r="827" spans="1:32" s="25" customFormat="1" x14ac:dyDescent="0.25">
      <c r="A827" s="25" t="s">
        <v>185</v>
      </c>
      <c r="B827" s="25">
        <f t="shared" si="26"/>
        <v>5820</v>
      </c>
      <c r="C827" s="25" t="s">
        <v>12</v>
      </c>
      <c r="D827" s="25">
        <v>0</v>
      </c>
      <c r="E827" s="25">
        <v>0</v>
      </c>
      <c r="F827" s="25">
        <v>256</v>
      </c>
      <c r="G827" s="25">
        <v>222</v>
      </c>
      <c r="H827" s="27">
        <v>0</v>
      </c>
      <c r="I827" s="27">
        <v>0</v>
      </c>
      <c r="J827" s="27">
        <v>0</v>
      </c>
      <c r="K827" s="27">
        <v>0</v>
      </c>
      <c r="L827" s="27">
        <v>1</v>
      </c>
      <c r="M827" s="27">
        <v>0</v>
      </c>
      <c r="N827" s="27">
        <v>0</v>
      </c>
      <c r="O827" s="27">
        <v>0</v>
      </c>
      <c r="P827" s="25">
        <v>700</v>
      </c>
      <c r="Q827" s="25">
        <v>560</v>
      </c>
      <c r="R827" s="25" t="s">
        <v>87</v>
      </c>
      <c r="S827" s="25" t="s">
        <v>89</v>
      </c>
      <c r="T827" s="25">
        <v>0</v>
      </c>
      <c r="U827" s="25">
        <v>0</v>
      </c>
      <c r="V827" s="25">
        <v>0</v>
      </c>
      <c r="W827" s="25">
        <v>0</v>
      </c>
      <c r="X827" s="25">
        <v>1</v>
      </c>
      <c r="Y827" s="25">
        <v>0</v>
      </c>
      <c r="Z827" s="25">
        <v>0</v>
      </c>
      <c r="AA827" s="25">
        <v>0</v>
      </c>
      <c r="AB827" s="25">
        <v>0</v>
      </c>
      <c r="AC827" s="25">
        <v>0</v>
      </c>
      <c r="AD827" s="25">
        <v>0</v>
      </c>
      <c r="AE827" s="25">
        <v>1</v>
      </c>
      <c r="AF827" s="25" t="s">
        <v>132</v>
      </c>
    </row>
    <row r="828" spans="1:32" s="25" customFormat="1" x14ac:dyDescent="0.25">
      <c r="A828" s="25" t="s">
        <v>185</v>
      </c>
      <c r="B828" s="25">
        <f t="shared" si="26"/>
        <v>5830</v>
      </c>
      <c r="C828" s="25" t="s">
        <v>12</v>
      </c>
      <c r="D828" s="25">
        <v>0</v>
      </c>
      <c r="E828" s="25">
        <v>0</v>
      </c>
      <c r="F828" s="25">
        <v>256</v>
      </c>
      <c r="G828" s="25">
        <v>222</v>
      </c>
      <c r="H828" s="27">
        <v>0</v>
      </c>
      <c r="I828" s="27">
        <v>0</v>
      </c>
      <c r="J828" s="27">
        <v>0</v>
      </c>
      <c r="K828" s="27">
        <v>0</v>
      </c>
      <c r="L828" s="27">
        <v>1</v>
      </c>
      <c r="M828" s="27">
        <v>0</v>
      </c>
      <c r="N828" s="27">
        <v>0</v>
      </c>
      <c r="O828" s="27">
        <v>0</v>
      </c>
      <c r="P828" s="25">
        <v>700</v>
      </c>
      <c r="Q828" s="25">
        <v>560</v>
      </c>
      <c r="R828" s="25" t="s">
        <v>87</v>
      </c>
      <c r="S828" s="25" t="s">
        <v>89</v>
      </c>
      <c r="T828" s="25">
        <v>0</v>
      </c>
      <c r="U828" s="25">
        <v>0</v>
      </c>
      <c r="V828" s="25">
        <v>0</v>
      </c>
      <c r="W828" s="25">
        <v>0</v>
      </c>
      <c r="X828" s="25">
        <v>1</v>
      </c>
      <c r="Y828" s="25">
        <v>0</v>
      </c>
      <c r="Z828" s="25">
        <v>0</v>
      </c>
      <c r="AA828" s="25">
        <v>0</v>
      </c>
      <c r="AB828" s="25">
        <v>0</v>
      </c>
      <c r="AC828" s="25">
        <v>0</v>
      </c>
      <c r="AD828" s="25">
        <v>0</v>
      </c>
      <c r="AE828" s="25">
        <v>1</v>
      </c>
      <c r="AF828" s="25" t="s">
        <v>132</v>
      </c>
    </row>
    <row r="829" spans="1:32" s="25" customFormat="1" x14ac:dyDescent="0.25">
      <c r="A829" s="25" t="s">
        <v>185</v>
      </c>
      <c r="B829" s="25">
        <f t="shared" si="26"/>
        <v>5840</v>
      </c>
      <c r="C829" s="25" t="s">
        <v>12</v>
      </c>
      <c r="D829" s="25">
        <v>0</v>
      </c>
      <c r="E829" s="25">
        <v>0</v>
      </c>
      <c r="F829" s="25">
        <v>256</v>
      </c>
      <c r="G829" s="25">
        <v>222</v>
      </c>
      <c r="H829" s="27">
        <v>0</v>
      </c>
      <c r="I829" s="27">
        <v>0</v>
      </c>
      <c r="J829" s="27">
        <v>0</v>
      </c>
      <c r="K829" s="27">
        <v>0</v>
      </c>
      <c r="L829" s="27">
        <v>1</v>
      </c>
      <c r="M829" s="27">
        <v>0</v>
      </c>
      <c r="N829" s="27">
        <v>0</v>
      </c>
      <c r="O829" s="27">
        <v>0</v>
      </c>
      <c r="P829" s="25">
        <v>700</v>
      </c>
      <c r="Q829" s="25">
        <v>560</v>
      </c>
      <c r="R829" s="25" t="s">
        <v>87</v>
      </c>
      <c r="S829" s="25" t="s">
        <v>89</v>
      </c>
      <c r="T829" s="25">
        <v>0</v>
      </c>
      <c r="U829" s="25">
        <v>0</v>
      </c>
      <c r="V829" s="25">
        <v>0</v>
      </c>
      <c r="W829" s="25">
        <v>0</v>
      </c>
      <c r="X829" s="25">
        <v>1</v>
      </c>
      <c r="Y829" s="25">
        <v>0</v>
      </c>
      <c r="Z829" s="25">
        <v>0</v>
      </c>
      <c r="AA829" s="25">
        <v>0</v>
      </c>
      <c r="AB829" s="25">
        <v>0</v>
      </c>
      <c r="AC829" s="25">
        <v>0</v>
      </c>
      <c r="AD829" s="25">
        <v>0</v>
      </c>
      <c r="AE829" s="25">
        <v>1</v>
      </c>
      <c r="AF829" s="25" t="s">
        <v>132</v>
      </c>
    </row>
    <row r="830" spans="1:32" s="25" customFormat="1" x14ac:dyDescent="0.25">
      <c r="A830" s="25" t="s">
        <v>185</v>
      </c>
      <c r="B830" s="25">
        <f t="shared" si="26"/>
        <v>5850</v>
      </c>
      <c r="C830" s="25" t="s">
        <v>12</v>
      </c>
      <c r="D830" s="25">
        <v>0</v>
      </c>
      <c r="E830" s="25">
        <v>0</v>
      </c>
      <c r="F830" s="25">
        <v>256</v>
      </c>
      <c r="G830" s="25">
        <v>222</v>
      </c>
      <c r="H830" s="27">
        <v>0</v>
      </c>
      <c r="I830" s="27">
        <v>0</v>
      </c>
      <c r="J830" s="27">
        <v>0</v>
      </c>
      <c r="K830" s="27">
        <v>0</v>
      </c>
      <c r="L830" s="27">
        <v>1</v>
      </c>
      <c r="M830" s="27">
        <v>0</v>
      </c>
      <c r="N830" s="27">
        <v>0</v>
      </c>
      <c r="O830" s="27">
        <v>0</v>
      </c>
      <c r="P830" s="25">
        <v>700</v>
      </c>
      <c r="Q830" s="25">
        <v>560</v>
      </c>
      <c r="R830" s="25" t="s">
        <v>87</v>
      </c>
      <c r="S830" s="25" t="s">
        <v>89</v>
      </c>
      <c r="T830" s="25">
        <v>0</v>
      </c>
      <c r="U830" s="25">
        <v>0</v>
      </c>
      <c r="V830" s="25">
        <v>0</v>
      </c>
      <c r="W830" s="25">
        <v>0</v>
      </c>
      <c r="X830" s="25">
        <v>1</v>
      </c>
      <c r="Y830" s="25">
        <v>0</v>
      </c>
      <c r="Z830" s="25">
        <v>0</v>
      </c>
      <c r="AA830" s="25">
        <v>0</v>
      </c>
      <c r="AB830" s="25">
        <v>0</v>
      </c>
      <c r="AC830" s="25">
        <v>0</v>
      </c>
      <c r="AD830" s="25">
        <v>0</v>
      </c>
      <c r="AE830" s="25">
        <v>1</v>
      </c>
      <c r="AF830" s="25" t="s">
        <v>132</v>
      </c>
    </row>
    <row r="831" spans="1:32" s="25" customFormat="1" x14ac:dyDescent="0.25">
      <c r="A831" s="25" t="s">
        <v>185</v>
      </c>
      <c r="B831" s="25">
        <f t="shared" si="26"/>
        <v>5860</v>
      </c>
      <c r="C831" s="25" t="s">
        <v>12</v>
      </c>
      <c r="D831" s="25">
        <v>0</v>
      </c>
      <c r="E831" s="25">
        <v>0</v>
      </c>
      <c r="F831" s="25">
        <v>256</v>
      </c>
      <c r="G831" s="25">
        <v>222</v>
      </c>
      <c r="H831" s="27">
        <v>0</v>
      </c>
      <c r="I831" s="27">
        <v>0</v>
      </c>
      <c r="J831" s="27">
        <v>0</v>
      </c>
      <c r="K831" s="27">
        <v>0</v>
      </c>
      <c r="L831" s="27">
        <v>1</v>
      </c>
      <c r="M831" s="27">
        <v>0</v>
      </c>
      <c r="N831" s="27">
        <v>0</v>
      </c>
      <c r="O831" s="27">
        <v>0</v>
      </c>
      <c r="P831" s="25">
        <v>700</v>
      </c>
      <c r="Q831" s="25">
        <v>560</v>
      </c>
      <c r="R831" s="25" t="s">
        <v>87</v>
      </c>
      <c r="S831" s="25" t="s">
        <v>89</v>
      </c>
      <c r="T831" s="25">
        <v>0</v>
      </c>
      <c r="U831" s="25">
        <v>0</v>
      </c>
      <c r="V831" s="25">
        <v>0</v>
      </c>
      <c r="W831" s="25">
        <v>0</v>
      </c>
      <c r="X831" s="25">
        <v>1</v>
      </c>
      <c r="Y831" s="25">
        <v>0</v>
      </c>
      <c r="Z831" s="25">
        <v>0</v>
      </c>
      <c r="AA831" s="25">
        <v>0</v>
      </c>
      <c r="AB831" s="25">
        <v>0</v>
      </c>
      <c r="AC831" s="25">
        <v>0</v>
      </c>
      <c r="AD831" s="25">
        <v>0</v>
      </c>
      <c r="AE831" s="25">
        <v>1</v>
      </c>
      <c r="AF831" s="25" t="s">
        <v>132</v>
      </c>
    </row>
    <row r="832" spans="1:32" s="25" customFormat="1" x14ac:dyDescent="0.25">
      <c r="A832" s="25" t="s">
        <v>185</v>
      </c>
      <c r="B832" s="25">
        <f t="shared" si="26"/>
        <v>5870</v>
      </c>
      <c r="C832" s="25" t="s">
        <v>12</v>
      </c>
      <c r="D832" s="25">
        <v>0</v>
      </c>
      <c r="E832" s="25">
        <v>0</v>
      </c>
      <c r="F832" s="25">
        <v>256</v>
      </c>
      <c r="G832" s="25">
        <v>222</v>
      </c>
      <c r="H832" s="27">
        <v>0</v>
      </c>
      <c r="I832" s="27">
        <v>0</v>
      </c>
      <c r="J832" s="27">
        <v>0</v>
      </c>
      <c r="K832" s="27">
        <v>0</v>
      </c>
      <c r="L832" s="27">
        <v>1</v>
      </c>
      <c r="M832" s="27">
        <v>0</v>
      </c>
      <c r="N832" s="27">
        <v>0</v>
      </c>
      <c r="O832" s="27">
        <v>0</v>
      </c>
      <c r="P832" s="25">
        <v>700</v>
      </c>
      <c r="Q832" s="25">
        <v>560</v>
      </c>
      <c r="R832" s="25" t="s">
        <v>87</v>
      </c>
      <c r="S832" s="25" t="s">
        <v>89</v>
      </c>
      <c r="T832" s="25">
        <v>0</v>
      </c>
      <c r="U832" s="25">
        <v>0</v>
      </c>
      <c r="V832" s="25">
        <v>0</v>
      </c>
      <c r="W832" s="25">
        <v>0</v>
      </c>
      <c r="X832" s="25">
        <v>1</v>
      </c>
      <c r="Y832" s="25">
        <v>0</v>
      </c>
      <c r="Z832" s="25">
        <v>0</v>
      </c>
      <c r="AA832" s="25">
        <v>0</v>
      </c>
      <c r="AB832" s="25">
        <v>0</v>
      </c>
      <c r="AC832" s="25">
        <v>0</v>
      </c>
      <c r="AD832" s="25">
        <v>0</v>
      </c>
      <c r="AE832" s="25">
        <v>1</v>
      </c>
      <c r="AF832" s="25" t="s">
        <v>132</v>
      </c>
    </row>
    <row r="833" spans="1:32" s="25" customFormat="1" x14ac:dyDescent="0.25">
      <c r="A833" s="25" t="s">
        <v>185</v>
      </c>
      <c r="B833" s="25">
        <f t="shared" si="26"/>
        <v>5880</v>
      </c>
      <c r="C833" s="25" t="s">
        <v>12</v>
      </c>
      <c r="D833" s="25">
        <v>0</v>
      </c>
      <c r="E833" s="25">
        <v>0</v>
      </c>
      <c r="F833" s="25">
        <v>256</v>
      </c>
      <c r="G833" s="25">
        <v>222</v>
      </c>
      <c r="H833" s="27">
        <v>0</v>
      </c>
      <c r="I833" s="27">
        <v>0</v>
      </c>
      <c r="J833" s="27">
        <v>0</v>
      </c>
      <c r="K833" s="27">
        <v>0</v>
      </c>
      <c r="L833" s="27">
        <v>1</v>
      </c>
      <c r="M833" s="27">
        <v>0</v>
      </c>
      <c r="N833" s="27">
        <v>0</v>
      </c>
      <c r="O833" s="27">
        <v>0</v>
      </c>
      <c r="P833" s="25">
        <v>700</v>
      </c>
      <c r="Q833" s="25">
        <v>560</v>
      </c>
      <c r="R833" s="25" t="s">
        <v>87</v>
      </c>
      <c r="S833" s="25" t="s">
        <v>89</v>
      </c>
      <c r="T833" s="25">
        <v>0</v>
      </c>
      <c r="U833" s="25">
        <v>0</v>
      </c>
      <c r="V833" s="25">
        <v>0</v>
      </c>
      <c r="W833" s="25">
        <v>0</v>
      </c>
      <c r="X833" s="25">
        <v>1</v>
      </c>
      <c r="Y833" s="25">
        <v>0</v>
      </c>
      <c r="Z833" s="25">
        <v>0</v>
      </c>
      <c r="AA833" s="25">
        <v>0</v>
      </c>
      <c r="AB833" s="25">
        <v>0</v>
      </c>
      <c r="AC833" s="25">
        <v>0</v>
      </c>
      <c r="AD833" s="25">
        <v>0</v>
      </c>
      <c r="AE833" s="25">
        <v>1</v>
      </c>
      <c r="AF833" s="25" t="s">
        <v>132</v>
      </c>
    </row>
    <row r="834" spans="1:32" s="25" customFormat="1" x14ac:dyDescent="0.25">
      <c r="A834" s="25" t="s">
        <v>185</v>
      </c>
      <c r="B834" s="25">
        <f t="shared" si="26"/>
        <v>5890</v>
      </c>
      <c r="C834" s="25" t="s">
        <v>12</v>
      </c>
      <c r="D834" s="25">
        <v>0</v>
      </c>
      <c r="E834" s="25">
        <v>0</v>
      </c>
      <c r="F834" s="25">
        <v>256</v>
      </c>
      <c r="G834" s="25">
        <v>222</v>
      </c>
      <c r="H834" s="27">
        <v>0</v>
      </c>
      <c r="I834" s="27">
        <v>0</v>
      </c>
      <c r="J834" s="27">
        <v>0</v>
      </c>
      <c r="K834" s="27">
        <v>0</v>
      </c>
      <c r="L834" s="27">
        <v>1</v>
      </c>
      <c r="M834" s="27">
        <v>0</v>
      </c>
      <c r="N834" s="27">
        <v>0</v>
      </c>
      <c r="O834" s="27">
        <v>0</v>
      </c>
      <c r="P834" s="25">
        <v>700</v>
      </c>
      <c r="Q834" s="25">
        <v>560</v>
      </c>
      <c r="R834" s="25" t="s">
        <v>87</v>
      </c>
      <c r="S834" s="25" t="s">
        <v>89</v>
      </c>
      <c r="T834" s="25">
        <v>0</v>
      </c>
      <c r="U834" s="25">
        <v>0</v>
      </c>
      <c r="V834" s="25">
        <v>0</v>
      </c>
      <c r="W834" s="25">
        <v>0</v>
      </c>
      <c r="X834" s="25">
        <v>1</v>
      </c>
      <c r="Y834" s="25">
        <v>0</v>
      </c>
      <c r="Z834" s="25">
        <v>0</v>
      </c>
      <c r="AA834" s="25">
        <v>0</v>
      </c>
      <c r="AB834" s="25">
        <v>0</v>
      </c>
      <c r="AC834" s="25">
        <v>0</v>
      </c>
      <c r="AD834" s="25">
        <v>0</v>
      </c>
      <c r="AE834" s="25">
        <v>1</v>
      </c>
      <c r="AF834" s="25" t="s">
        <v>132</v>
      </c>
    </row>
    <row r="835" spans="1:32" s="25" customFormat="1" x14ac:dyDescent="0.25">
      <c r="A835" s="25" t="s">
        <v>185</v>
      </c>
      <c r="B835" s="25">
        <f t="shared" si="26"/>
        <v>5900</v>
      </c>
      <c r="C835" s="25" t="s">
        <v>12</v>
      </c>
      <c r="D835" s="25">
        <v>0</v>
      </c>
      <c r="E835" s="25">
        <v>0</v>
      </c>
      <c r="F835" s="25">
        <v>256</v>
      </c>
      <c r="G835" s="25">
        <v>222</v>
      </c>
      <c r="H835" s="27">
        <v>0</v>
      </c>
      <c r="I835" s="27">
        <v>0</v>
      </c>
      <c r="J835" s="27">
        <v>0</v>
      </c>
      <c r="K835" s="27">
        <v>0</v>
      </c>
      <c r="L835" s="27">
        <v>1</v>
      </c>
      <c r="M835" s="27">
        <v>0</v>
      </c>
      <c r="N835" s="27">
        <v>0</v>
      </c>
      <c r="O835" s="27">
        <v>0</v>
      </c>
      <c r="P835" s="25">
        <v>700</v>
      </c>
      <c r="Q835" s="25">
        <v>560</v>
      </c>
      <c r="R835" s="25" t="s">
        <v>87</v>
      </c>
      <c r="S835" s="25" t="s">
        <v>89</v>
      </c>
      <c r="T835" s="25">
        <v>0</v>
      </c>
      <c r="U835" s="25">
        <v>0</v>
      </c>
      <c r="V835" s="25">
        <v>0</v>
      </c>
      <c r="W835" s="25">
        <v>0</v>
      </c>
      <c r="X835" s="25">
        <v>1</v>
      </c>
      <c r="Y835" s="25">
        <v>0</v>
      </c>
      <c r="Z835" s="25">
        <v>0</v>
      </c>
      <c r="AA835" s="25">
        <v>0</v>
      </c>
      <c r="AB835" s="25">
        <v>0</v>
      </c>
      <c r="AC835" s="25">
        <v>0</v>
      </c>
      <c r="AD835" s="25">
        <v>0</v>
      </c>
      <c r="AE835" s="25">
        <v>1</v>
      </c>
      <c r="AF835" s="25" t="s">
        <v>132</v>
      </c>
    </row>
    <row r="836" spans="1:32" s="25" customFormat="1" x14ac:dyDescent="0.25">
      <c r="A836" s="25" t="s">
        <v>185</v>
      </c>
      <c r="B836" s="25">
        <f t="shared" si="26"/>
        <v>5910</v>
      </c>
      <c r="C836" s="25" t="s">
        <v>12</v>
      </c>
      <c r="D836" s="25">
        <v>0</v>
      </c>
      <c r="E836" s="25">
        <v>0</v>
      </c>
      <c r="F836" s="25">
        <v>256</v>
      </c>
      <c r="G836" s="25">
        <v>222</v>
      </c>
      <c r="H836" s="27">
        <v>0</v>
      </c>
      <c r="I836" s="27">
        <v>0</v>
      </c>
      <c r="J836" s="27">
        <v>0</v>
      </c>
      <c r="K836" s="27">
        <v>0</v>
      </c>
      <c r="L836" s="27">
        <v>1</v>
      </c>
      <c r="M836" s="27">
        <v>0</v>
      </c>
      <c r="N836" s="27">
        <v>0</v>
      </c>
      <c r="O836" s="27">
        <v>0</v>
      </c>
      <c r="P836" s="25">
        <v>700</v>
      </c>
      <c r="Q836" s="25">
        <v>560</v>
      </c>
      <c r="R836" s="25" t="s">
        <v>87</v>
      </c>
      <c r="S836" s="25" t="s">
        <v>89</v>
      </c>
      <c r="T836" s="25">
        <v>0</v>
      </c>
      <c r="U836" s="25">
        <v>0</v>
      </c>
      <c r="V836" s="25">
        <v>0</v>
      </c>
      <c r="W836" s="25">
        <v>0</v>
      </c>
      <c r="X836" s="25">
        <v>1</v>
      </c>
      <c r="Y836" s="25">
        <v>0</v>
      </c>
      <c r="Z836" s="25">
        <v>0</v>
      </c>
      <c r="AA836" s="25">
        <v>0</v>
      </c>
      <c r="AB836" s="25">
        <v>0</v>
      </c>
      <c r="AC836" s="25">
        <v>0</v>
      </c>
      <c r="AD836" s="25">
        <v>0</v>
      </c>
      <c r="AE836" s="25">
        <v>1</v>
      </c>
      <c r="AF836" s="25" t="s">
        <v>132</v>
      </c>
    </row>
    <row r="837" spans="1:32" s="25" customFormat="1" x14ac:dyDescent="0.25">
      <c r="A837" s="25" t="s">
        <v>185</v>
      </c>
      <c r="B837" s="25">
        <f t="shared" si="26"/>
        <v>5920</v>
      </c>
      <c r="C837" s="25" t="s">
        <v>12</v>
      </c>
      <c r="D837" s="25">
        <v>0</v>
      </c>
      <c r="E837" s="25">
        <v>0</v>
      </c>
      <c r="F837" s="25">
        <v>256</v>
      </c>
      <c r="G837" s="25">
        <v>222</v>
      </c>
      <c r="H837" s="27">
        <v>0</v>
      </c>
      <c r="I837" s="27">
        <v>0</v>
      </c>
      <c r="J837" s="27">
        <v>0</v>
      </c>
      <c r="K837" s="27">
        <v>0</v>
      </c>
      <c r="L837" s="27">
        <v>1</v>
      </c>
      <c r="M837" s="27">
        <v>0</v>
      </c>
      <c r="N837" s="27">
        <v>0</v>
      </c>
      <c r="O837" s="27">
        <v>0</v>
      </c>
      <c r="P837" s="25">
        <v>700</v>
      </c>
      <c r="Q837" s="25">
        <v>560</v>
      </c>
      <c r="R837" s="25" t="s">
        <v>87</v>
      </c>
      <c r="S837" s="25" t="s">
        <v>89</v>
      </c>
      <c r="T837" s="25">
        <v>0</v>
      </c>
      <c r="U837" s="25">
        <v>0</v>
      </c>
      <c r="V837" s="25">
        <v>0</v>
      </c>
      <c r="W837" s="25">
        <v>0</v>
      </c>
      <c r="X837" s="25">
        <v>1</v>
      </c>
      <c r="Y837" s="25">
        <v>0</v>
      </c>
      <c r="Z837" s="25">
        <v>0</v>
      </c>
      <c r="AA837" s="25">
        <v>0</v>
      </c>
      <c r="AB837" s="25">
        <v>0</v>
      </c>
      <c r="AC837" s="25">
        <v>0</v>
      </c>
      <c r="AD837" s="25">
        <v>0</v>
      </c>
      <c r="AE837" s="25">
        <v>1</v>
      </c>
      <c r="AF837" s="25" t="s">
        <v>132</v>
      </c>
    </row>
    <row r="838" spans="1:32" s="25" customFormat="1" x14ac:dyDescent="0.25">
      <c r="A838" s="25" t="s">
        <v>185</v>
      </c>
      <c r="B838" s="25">
        <f t="shared" si="26"/>
        <v>5930</v>
      </c>
      <c r="C838" s="25" t="s">
        <v>12</v>
      </c>
      <c r="D838" s="25">
        <v>0</v>
      </c>
      <c r="E838" s="25">
        <v>0</v>
      </c>
      <c r="F838" s="25">
        <v>256</v>
      </c>
      <c r="G838" s="25">
        <v>222</v>
      </c>
      <c r="H838" s="27">
        <v>0</v>
      </c>
      <c r="I838" s="27">
        <v>0</v>
      </c>
      <c r="J838" s="27">
        <v>0</v>
      </c>
      <c r="K838" s="27">
        <v>0</v>
      </c>
      <c r="L838" s="27">
        <v>1</v>
      </c>
      <c r="M838" s="27">
        <v>0</v>
      </c>
      <c r="N838" s="27">
        <v>0</v>
      </c>
      <c r="O838" s="27">
        <v>0</v>
      </c>
      <c r="P838" s="25">
        <v>700</v>
      </c>
      <c r="Q838" s="25">
        <v>560</v>
      </c>
      <c r="R838" s="25" t="s">
        <v>87</v>
      </c>
      <c r="S838" s="25" t="s">
        <v>89</v>
      </c>
      <c r="T838" s="25">
        <v>0</v>
      </c>
      <c r="U838" s="25">
        <v>0</v>
      </c>
      <c r="V838" s="25">
        <v>0</v>
      </c>
      <c r="W838" s="25">
        <v>0</v>
      </c>
      <c r="X838" s="25">
        <v>1</v>
      </c>
      <c r="Y838" s="25">
        <v>0</v>
      </c>
      <c r="Z838" s="25">
        <v>0</v>
      </c>
      <c r="AA838" s="25">
        <v>0</v>
      </c>
      <c r="AB838" s="25">
        <v>0</v>
      </c>
      <c r="AC838" s="25">
        <v>0</v>
      </c>
      <c r="AD838" s="25">
        <v>0</v>
      </c>
      <c r="AE838" s="25">
        <v>1</v>
      </c>
      <c r="AF838" s="25" t="s">
        <v>132</v>
      </c>
    </row>
    <row r="839" spans="1:32" s="25" customFormat="1" x14ac:dyDescent="0.25">
      <c r="A839" s="25" t="s">
        <v>185</v>
      </c>
      <c r="B839" s="25">
        <f t="shared" si="26"/>
        <v>5940</v>
      </c>
      <c r="C839" s="25" t="s">
        <v>12</v>
      </c>
      <c r="D839" s="25">
        <v>0</v>
      </c>
      <c r="E839" s="25">
        <v>0</v>
      </c>
      <c r="F839" s="25">
        <v>256</v>
      </c>
      <c r="G839" s="25">
        <v>222</v>
      </c>
      <c r="H839" s="27">
        <v>0</v>
      </c>
      <c r="I839" s="27">
        <v>0</v>
      </c>
      <c r="J839" s="27">
        <v>0</v>
      </c>
      <c r="K839" s="27">
        <v>0</v>
      </c>
      <c r="L839" s="27">
        <v>1</v>
      </c>
      <c r="M839" s="27">
        <v>0</v>
      </c>
      <c r="N839" s="27">
        <v>0</v>
      </c>
      <c r="O839" s="27">
        <v>0</v>
      </c>
      <c r="P839" s="25">
        <v>700</v>
      </c>
      <c r="Q839" s="25">
        <v>560</v>
      </c>
      <c r="R839" s="25" t="s">
        <v>87</v>
      </c>
      <c r="S839" s="25" t="s">
        <v>89</v>
      </c>
      <c r="T839" s="25">
        <v>0</v>
      </c>
      <c r="U839" s="25">
        <v>0</v>
      </c>
      <c r="V839" s="25">
        <v>0</v>
      </c>
      <c r="W839" s="25">
        <v>0</v>
      </c>
      <c r="X839" s="25">
        <v>1</v>
      </c>
      <c r="Y839" s="25">
        <v>0</v>
      </c>
      <c r="Z839" s="25">
        <v>0</v>
      </c>
      <c r="AA839" s="25">
        <v>0</v>
      </c>
      <c r="AB839" s="25">
        <v>0</v>
      </c>
      <c r="AC839" s="25">
        <v>0</v>
      </c>
      <c r="AD839" s="25">
        <v>0</v>
      </c>
      <c r="AE839" s="25">
        <v>1</v>
      </c>
      <c r="AF839" s="25" t="s">
        <v>132</v>
      </c>
    </row>
    <row r="840" spans="1:32" s="25" customFormat="1" x14ac:dyDescent="0.25">
      <c r="A840" s="25" t="s">
        <v>185</v>
      </c>
      <c r="B840" s="25">
        <f t="shared" si="26"/>
        <v>5950</v>
      </c>
      <c r="C840" s="25" t="s">
        <v>12</v>
      </c>
      <c r="D840" s="25">
        <v>0</v>
      </c>
      <c r="E840" s="25">
        <v>0</v>
      </c>
      <c r="F840" s="25">
        <v>256</v>
      </c>
      <c r="G840" s="25">
        <v>222</v>
      </c>
      <c r="H840" s="27">
        <v>0</v>
      </c>
      <c r="I840" s="27">
        <v>0</v>
      </c>
      <c r="J840" s="27">
        <v>0</v>
      </c>
      <c r="K840" s="27">
        <v>0</v>
      </c>
      <c r="L840" s="27">
        <v>1</v>
      </c>
      <c r="M840" s="27">
        <v>0</v>
      </c>
      <c r="N840" s="27">
        <v>0</v>
      </c>
      <c r="O840" s="27">
        <v>0</v>
      </c>
      <c r="P840" s="25">
        <v>700</v>
      </c>
      <c r="Q840" s="25">
        <v>560</v>
      </c>
      <c r="R840" s="25" t="s">
        <v>87</v>
      </c>
      <c r="S840" s="25" t="s">
        <v>89</v>
      </c>
      <c r="T840" s="25">
        <v>0</v>
      </c>
      <c r="U840" s="25">
        <v>0</v>
      </c>
      <c r="V840" s="25">
        <v>0</v>
      </c>
      <c r="W840" s="25">
        <v>0</v>
      </c>
      <c r="X840" s="25">
        <v>1</v>
      </c>
      <c r="Y840" s="25">
        <v>0</v>
      </c>
      <c r="Z840" s="25">
        <v>0</v>
      </c>
      <c r="AA840" s="25">
        <v>0</v>
      </c>
      <c r="AB840" s="25">
        <v>0</v>
      </c>
      <c r="AC840" s="25">
        <v>0</v>
      </c>
      <c r="AD840" s="25">
        <v>0</v>
      </c>
      <c r="AE840" s="25">
        <v>1</v>
      </c>
      <c r="AF840" s="25" t="s">
        <v>132</v>
      </c>
    </row>
    <row r="841" spans="1:32" s="25" customFormat="1" x14ac:dyDescent="0.25">
      <c r="A841" s="25" t="s">
        <v>185</v>
      </c>
      <c r="B841" s="25">
        <f t="shared" si="26"/>
        <v>5960</v>
      </c>
      <c r="C841" s="25" t="s">
        <v>12</v>
      </c>
      <c r="D841" s="25">
        <v>0</v>
      </c>
      <c r="E841" s="25">
        <v>0</v>
      </c>
      <c r="F841" s="25">
        <v>256</v>
      </c>
      <c r="G841" s="25">
        <v>222</v>
      </c>
      <c r="H841" s="27">
        <v>0</v>
      </c>
      <c r="I841" s="27">
        <v>0</v>
      </c>
      <c r="J841" s="27">
        <v>0</v>
      </c>
      <c r="K841" s="27">
        <v>0</v>
      </c>
      <c r="L841" s="27">
        <v>1</v>
      </c>
      <c r="M841" s="27">
        <v>0</v>
      </c>
      <c r="N841" s="27">
        <v>0</v>
      </c>
      <c r="O841" s="27">
        <v>0</v>
      </c>
      <c r="P841" s="25">
        <v>700</v>
      </c>
      <c r="Q841" s="25">
        <v>560</v>
      </c>
      <c r="R841" s="25" t="s">
        <v>87</v>
      </c>
      <c r="S841" s="25" t="s">
        <v>89</v>
      </c>
      <c r="T841" s="25">
        <v>0</v>
      </c>
      <c r="U841" s="25">
        <v>0</v>
      </c>
      <c r="V841" s="25">
        <v>0</v>
      </c>
      <c r="W841" s="25">
        <v>0</v>
      </c>
      <c r="X841" s="25">
        <v>1</v>
      </c>
      <c r="Y841" s="25">
        <v>0</v>
      </c>
      <c r="Z841" s="25">
        <v>0</v>
      </c>
      <c r="AA841" s="25">
        <v>0</v>
      </c>
      <c r="AB841" s="25">
        <v>0</v>
      </c>
      <c r="AC841" s="25">
        <v>0</v>
      </c>
      <c r="AD841" s="25">
        <v>0</v>
      </c>
      <c r="AE841" s="25">
        <v>1</v>
      </c>
      <c r="AF841" s="25" t="s">
        <v>132</v>
      </c>
    </row>
    <row r="842" spans="1:32" s="25" customFormat="1" x14ac:dyDescent="0.25">
      <c r="A842" s="25" t="s">
        <v>185</v>
      </c>
      <c r="B842" s="25">
        <f t="shared" si="26"/>
        <v>5970</v>
      </c>
      <c r="C842" s="25" t="s">
        <v>12</v>
      </c>
      <c r="D842" s="25">
        <v>0</v>
      </c>
      <c r="E842" s="25">
        <v>0</v>
      </c>
      <c r="F842" s="25">
        <v>256</v>
      </c>
      <c r="G842" s="25">
        <v>222</v>
      </c>
      <c r="H842" s="27">
        <v>0</v>
      </c>
      <c r="I842" s="27">
        <v>0</v>
      </c>
      <c r="J842" s="27">
        <v>0</v>
      </c>
      <c r="K842" s="27">
        <v>0</v>
      </c>
      <c r="L842" s="27">
        <v>1</v>
      </c>
      <c r="M842" s="27">
        <v>0</v>
      </c>
      <c r="N842" s="27">
        <v>0</v>
      </c>
      <c r="O842" s="27">
        <v>0</v>
      </c>
      <c r="P842" s="25">
        <v>700</v>
      </c>
      <c r="Q842" s="25">
        <v>560</v>
      </c>
      <c r="R842" s="25" t="s">
        <v>87</v>
      </c>
      <c r="S842" s="25" t="s">
        <v>89</v>
      </c>
      <c r="T842" s="25">
        <v>0</v>
      </c>
      <c r="U842" s="25">
        <v>0</v>
      </c>
      <c r="V842" s="25">
        <v>0</v>
      </c>
      <c r="W842" s="25">
        <v>0</v>
      </c>
      <c r="X842" s="25">
        <v>1</v>
      </c>
      <c r="Y842" s="25">
        <v>0</v>
      </c>
      <c r="Z842" s="25">
        <v>0</v>
      </c>
      <c r="AA842" s="25">
        <v>0</v>
      </c>
      <c r="AB842" s="25">
        <v>0</v>
      </c>
      <c r="AC842" s="25">
        <v>0</v>
      </c>
      <c r="AD842" s="25">
        <v>0</v>
      </c>
      <c r="AE842" s="25">
        <v>1</v>
      </c>
      <c r="AF842" s="25" t="s">
        <v>132</v>
      </c>
    </row>
    <row r="843" spans="1:32" s="25" customFormat="1" x14ac:dyDescent="0.25">
      <c r="A843" s="25" t="s">
        <v>185</v>
      </c>
      <c r="B843" s="25">
        <f t="shared" si="26"/>
        <v>5980</v>
      </c>
      <c r="C843" s="25" t="s">
        <v>12</v>
      </c>
      <c r="D843" s="25">
        <v>0</v>
      </c>
      <c r="E843" s="25">
        <v>0</v>
      </c>
      <c r="F843" s="25">
        <v>256</v>
      </c>
      <c r="G843" s="25">
        <v>222</v>
      </c>
      <c r="H843" s="27">
        <v>0</v>
      </c>
      <c r="I843" s="27">
        <v>0</v>
      </c>
      <c r="J843" s="27">
        <v>0</v>
      </c>
      <c r="K843" s="27">
        <v>0</v>
      </c>
      <c r="L843" s="27">
        <v>1</v>
      </c>
      <c r="M843" s="27">
        <v>0</v>
      </c>
      <c r="N843" s="27">
        <v>0</v>
      </c>
      <c r="O843" s="27">
        <v>0</v>
      </c>
      <c r="P843" s="25">
        <v>700</v>
      </c>
      <c r="Q843" s="25">
        <v>560</v>
      </c>
      <c r="R843" s="25" t="s">
        <v>87</v>
      </c>
      <c r="S843" s="25" t="s">
        <v>89</v>
      </c>
      <c r="T843" s="25">
        <v>0</v>
      </c>
      <c r="U843" s="25">
        <v>0</v>
      </c>
      <c r="V843" s="25">
        <v>0</v>
      </c>
      <c r="W843" s="25">
        <v>0</v>
      </c>
      <c r="X843" s="25">
        <v>1</v>
      </c>
      <c r="Y843" s="25">
        <v>0</v>
      </c>
      <c r="Z843" s="25">
        <v>0</v>
      </c>
      <c r="AA843" s="25">
        <v>0</v>
      </c>
      <c r="AB843" s="25">
        <v>0</v>
      </c>
      <c r="AC843" s="25">
        <v>0</v>
      </c>
      <c r="AD843" s="25">
        <v>0</v>
      </c>
      <c r="AE843" s="25">
        <v>1</v>
      </c>
      <c r="AF843" s="25" t="s">
        <v>132</v>
      </c>
    </row>
    <row r="844" spans="1:32" s="25" customFormat="1" x14ac:dyDescent="0.25">
      <c r="A844" s="25" t="s">
        <v>185</v>
      </c>
      <c r="B844" s="25">
        <f t="shared" si="26"/>
        <v>5990</v>
      </c>
      <c r="C844" s="25" t="s">
        <v>12</v>
      </c>
      <c r="D844" s="25">
        <v>0</v>
      </c>
      <c r="E844" s="25">
        <v>0</v>
      </c>
      <c r="F844" s="25">
        <v>256</v>
      </c>
      <c r="G844" s="25">
        <v>222</v>
      </c>
      <c r="H844" s="27">
        <v>0</v>
      </c>
      <c r="I844" s="27">
        <v>0</v>
      </c>
      <c r="J844" s="27">
        <v>0</v>
      </c>
      <c r="K844" s="27">
        <v>0</v>
      </c>
      <c r="L844" s="27">
        <v>1</v>
      </c>
      <c r="M844" s="27">
        <v>0</v>
      </c>
      <c r="N844" s="27">
        <v>0</v>
      </c>
      <c r="O844" s="27">
        <v>0</v>
      </c>
      <c r="P844" s="25">
        <v>700</v>
      </c>
      <c r="Q844" s="25">
        <v>560</v>
      </c>
      <c r="R844" s="25" t="s">
        <v>87</v>
      </c>
      <c r="S844" s="25" t="s">
        <v>89</v>
      </c>
      <c r="T844" s="25">
        <v>0</v>
      </c>
      <c r="U844" s="25">
        <v>0</v>
      </c>
      <c r="V844" s="25">
        <v>0</v>
      </c>
      <c r="W844" s="25">
        <v>0</v>
      </c>
      <c r="X844" s="25">
        <v>1</v>
      </c>
      <c r="Y844" s="25">
        <v>0</v>
      </c>
      <c r="Z844" s="25">
        <v>0</v>
      </c>
      <c r="AA844" s="25">
        <v>0</v>
      </c>
      <c r="AB844" s="25">
        <v>0</v>
      </c>
      <c r="AC844" s="25">
        <v>0</v>
      </c>
      <c r="AD844" s="25">
        <v>0</v>
      </c>
      <c r="AE844" s="25">
        <v>1</v>
      </c>
      <c r="AF844" s="25" t="s">
        <v>132</v>
      </c>
    </row>
    <row r="845" spans="1:32" s="25" customFormat="1" x14ac:dyDescent="0.25">
      <c r="A845" s="25" t="s">
        <v>185</v>
      </c>
      <c r="B845" s="25">
        <f t="shared" si="26"/>
        <v>6000</v>
      </c>
      <c r="C845" s="25" t="s">
        <v>12</v>
      </c>
      <c r="D845" s="25">
        <v>0</v>
      </c>
      <c r="E845" s="25">
        <v>0</v>
      </c>
      <c r="F845" s="25">
        <v>256</v>
      </c>
      <c r="G845" s="25">
        <v>222</v>
      </c>
      <c r="H845" s="27">
        <v>0</v>
      </c>
      <c r="I845" s="27">
        <v>0</v>
      </c>
      <c r="J845" s="27">
        <v>0</v>
      </c>
      <c r="K845" s="27">
        <v>0</v>
      </c>
      <c r="L845" s="27">
        <v>1</v>
      </c>
      <c r="M845" s="27">
        <v>0</v>
      </c>
      <c r="N845" s="27">
        <v>0</v>
      </c>
      <c r="O845" s="27">
        <v>0</v>
      </c>
      <c r="P845" s="25">
        <v>700</v>
      </c>
      <c r="Q845" s="25">
        <v>560</v>
      </c>
      <c r="R845" s="25" t="s">
        <v>87</v>
      </c>
      <c r="S845" s="25" t="s">
        <v>89</v>
      </c>
      <c r="T845" s="25">
        <v>0</v>
      </c>
      <c r="U845" s="25">
        <v>0</v>
      </c>
      <c r="V845" s="25">
        <v>0</v>
      </c>
      <c r="W845" s="25">
        <v>0</v>
      </c>
      <c r="X845" s="25">
        <v>1</v>
      </c>
      <c r="Y845" s="25">
        <v>0</v>
      </c>
      <c r="Z845" s="25">
        <v>0</v>
      </c>
      <c r="AA845" s="25">
        <v>0</v>
      </c>
      <c r="AB845" s="25">
        <v>0</v>
      </c>
      <c r="AC845" s="25">
        <v>0</v>
      </c>
      <c r="AD845" s="25">
        <v>0</v>
      </c>
      <c r="AE845" s="25">
        <v>1</v>
      </c>
      <c r="AF845" s="25" t="s">
        <v>132</v>
      </c>
    </row>
    <row r="846" spans="1:32" s="25" customFormat="1" x14ac:dyDescent="0.25">
      <c r="A846" s="25" t="s">
        <v>185</v>
      </c>
      <c r="B846" s="25">
        <f t="shared" si="26"/>
        <v>6010</v>
      </c>
      <c r="C846" s="25" t="s">
        <v>12</v>
      </c>
      <c r="D846" s="25">
        <v>0</v>
      </c>
      <c r="E846" s="25">
        <v>0</v>
      </c>
      <c r="F846" s="25">
        <v>256</v>
      </c>
      <c r="G846" s="25">
        <v>222</v>
      </c>
      <c r="H846" s="27">
        <v>0</v>
      </c>
      <c r="I846" s="27">
        <v>0</v>
      </c>
      <c r="J846" s="27">
        <v>0</v>
      </c>
      <c r="K846" s="27">
        <v>0</v>
      </c>
      <c r="L846" s="27">
        <v>1</v>
      </c>
      <c r="M846" s="27">
        <v>0</v>
      </c>
      <c r="N846" s="27">
        <v>0</v>
      </c>
      <c r="O846" s="27">
        <v>0</v>
      </c>
      <c r="P846" s="25">
        <v>700</v>
      </c>
      <c r="Q846" s="25">
        <v>560</v>
      </c>
      <c r="R846" s="25" t="s">
        <v>87</v>
      </c>
      <c r="S846" s="25" t="s">
        <v>89</v>
      </c>
      <c r="T846" s="25">
        <v>0</v>
      </c>
      <c r="U846" s="25">
        <v>0</v>
      </c>
      <c r="V846" s="25">
        <v>0</v>
      </c>
      <c r="W846" s="25">
        <v>0</v>
      </c>
      <c r="X846" s="25">
        <v>1</v>
      </c>
      <c r="Y846" s="25">
        <v>0</v>
      </c>
      <c r="Z846" s="25">
        <v>0</v>
      </c>
      <c r="AA846" s="25">
        <v>0</v>
      </c>
      <c r="AB846" s="25">
        <v>0</v>
      </c>
      <c r="AC846" s="25">
        <v>0</v>
      </c>
      <c r="AD846" s="25">
        <v>0</v>
      </c>
      <c r="AE846" s="25">
        <v>1</v>
      </c>
      <c r="AF846" s="25" t="s">
        <v>132</v>
      </c>
    </row>
    <row r="847" spans="1:32" s="25" customFormat="1" x14ac:dyDescent="0.25">
      <c r="A847" s="25" t="s">
        <v>185</v>
      </c>
      <c r="B847" s="25">
        <f t="shared" si="26"/>
        <v>6020</v>
      </c>
      <c r="C847" s="25" t="s">
        <v>12</v>
      </c>
      <c r="D847" s="25">
        <v>0</v>
      </c>
      <c r="E847" s="25">
        <v>0</v>
      </c>
      <c r="F847" s="25">
        <v>256</v>
      </c>
      <c r="G847" s="25">
        <v>222</v>
      </c>
      <c r="H847" s="27">
        <v>0</v>
      </c>
      <c r="I847" s="27">
        <v>0</v>
      </c>
      <c r="J847" s="27">
        <v>0</v>
      </c>
      <c r="K847" s="27">
        <v>0</v>
      </c>
      <c r="L847" s="27">
        <v>1</v>
      </c>
      <c r="M847" s="27">
        <v>0</v>
      </c>
      <c r="N847" s="27">
        <v>0</v>
      </c>
      <c r="O847" s="27">
        <v>0</v>
      </c>
      <c r="P847" s="25">
        <v>700</v>
      </c>
      <c r="Q847" s="25">
        <v>560</v>
      </c>
      <c r="R847" s="25" t="s">
        <v>87</v>
      </c>
      <c r="S847" s="25" t="s">
        <v>89</v>
      </c>
      <c r="T847" s="25">
        <v>0</v>
      </c>
      <c r="U847" s="25">
        <v>0</v>
      </c>
      <c r="V847" s="25">
        <v>0</v>
      </c>
      <c r="W847" s="25">
        <v>0</v>
      </c>
      <c r="X847" s="25">
        <v>1</v>
      </c>
      <c r="Y847" s="25">
        <v>0</v>
      </c>
      <c r="Z847" s="25">
        <v>0</v>
      </c>
      <c r="AA847" s="25">
        <v>0</v>
      </c>
      <c r="AB847" s="25">
        <v>0</v>
      </c>
      <c r="AC847" s="25">
        <v>0</v>
      </c>
      <c r="AD847" s="25">
        <v>0</v>
      </c>
      <c r="AE847" s="25">
        <v>1</v>
      </c>
      <c r="AF847" s="25" t="s">
        <v>132</v>
      </c>
    </row>
    <row r="848" spans="1:32" s="25" customFormat="1" x14ac:dyDescent="0.25">
      <c r="A848" s="25" t="s">
        <v>185</v>
      </c>
      <c r="B848" s="25">
        <f t="shared" si="26"/>
        <v>6030</v>
      </c>
      <c r="C848" s="25" t="s">
        <v>12</v>
      </c>
      <c r="D848" s="25">
        <v>0</v>
      </c>
      <c r="E848" s="25">
        <v>0</v>
      </c>
      <c r="F848" s="25">
        <v>256</v>
      </c>
      <c r="G848" s="25">
        <v>222</v>
      </c>
      <c r="H848" s="27">
        <v>0</v>
      </c>
      <c r="I848" s="27">
        <v>0</v>
      </c>
      <c r="J848" s="27">
        <v>0</v>
      </c>
      <c r="K848" s="27">
        <v>0</v>
      </c>
      <c r="L848" s="27">
        <v>1</v>
      </c>
      <c r="M848" s="27">
        <v>0</v>
      </c>
      <c r="N848" s="27">
        <v>0</v>
      </c>
      <c r="O848" s="27">
        <v>0</v>
      </c>
      <c r="P848" s="25">
        <v>700</v>
      </c>
      <c r="Q848" s="25">
        <v>560</v>
      </c>
      <c r="R848" s="25" t="s">
        <v>87</v>
      </c>
      <c r="S848" s="25" t="s">
        <v>89</v>
      </c>
      <c r="T848" s="25">
        <v>0</v>
      </c>
      <c r="U848" s="25">
        <v>0</v>
      </c>
      <c r="V848" s="25">
        <v>0</v>
      </c>
      <c r="W848" s="25">
        <v>0</v>
      </c>
      <c r="X848" s="25">
        <v>1</v>
      </c>
      <c r="Y848" s="25">
        <v>0</v>
      </c>
      <c r="Z848" s="25">
        <v>0</v>
      </c>
      <c r="AA848" s="25">
        <v>0</v>
      </c>
      <c r="AB848" s="25">
        <v>0</v>
      </c>
      <c r="AC848" s="25">
        <v>0</v>
      </c>
      <c r="AD848" s="25">
        <v>0</v>
      </c>
      <c r="AE848" s="25">
        <v>1</v>
      </c>
      <c r="AF848" s="25" t="s">
        <v>132</v>
      </c>
    </row>
    <row r="849" spans="1:32" s="25" customFormat="1" x14ac:dyDescent="0.25">
      <c r="A849" s="25" t="s">
        <v>185</v>
      </c>
      <c r="B849" s="25">
        <f t="shared" si="26"/>
        <v>6040</v>
      </c>
      <c r="C849" s="25" t="s">
        <v>12</v>
      </c>
      <c r="D849" s="25">
        <v>0</v>
      </c>
      <c r="E849" s="25">
        <v>0</v>
      </c>
      <c r="F849" s="25">
        <v>256</v>
      </c>
      <c r="G849" s="25">
        <v>222</v>
      </c>
      <c r="H849" s="27">
        <v>0</v>
      </c>
      <c r="I849" s="27">
        <v>0</v>
      </c>
      <c r="J849" s="27">
        <v>0</v>
      </c>
      <c r="K849" s="27">
        <v>0</v>
      </c>
      <c r="L849" s="27">
        <v>1</v>
      </c>
      <c r="M849" s="27">
        <v>0</v>
      </c>
      <c r="N849" s="27">
        <v>0</v>
      </c>
      <c r="O849" s="27">
        <v>0</v>
      </c>
      <c r="P849" s="25">
        <v>700</v>
      </c>
      <c r="Q849" s="25">
        <v>560</v>
      </c>
      <c r="R849" s="25" t="s">
        <v>87</v>
      </c>
      <c r="S849" s="25" t="s">
        <v>89</v>
      </c>
      <c r="T849" s="25">
        <v>0</v>
      </c>
      <c r="U849" s="25">
        <v>0</v>
      </c>
      <c r="V849" s="25">
        <v>0</v>
      </c>
      <c r="W849" s="25">
        <v>0</v>
      </c>
      <c r="X849" s="25">
        <v>1</v>
      </c>
      <c r="Y849" s="25">
        <v>0</v>
      </c>
      <c r="Z849" s="25">
        <v>0</v>
      </c>
      <c r="AA849" s="25">
        <v>0</v>
      </c>
      <c r="AB849" s="25">
        <v>0</v>
      </c>
      <c r="AC849" s="25">
        <v>0</v>
      </c>
      <c r="AD849" s="25">
        <v>0</v>
      </c>
      <c r="AE849" s="25">
        <v>1</v>
      </c>
      <c r="AF849" s="25" t="s">
        <v>132</v>
      </c>
    </row>
    <row r="850" spans="1:32" s="25" customFormat="1" x14ac:dyDescent="0.25">
      <c r="A850" s="25" t="s">
        <v>185</v>
      </c>
      <c r="B850" s="25">
        <f t="shared" si="26"/>
        <v>6050</v>
      </c>
      <c r="C850" s="25" t="s">
        <v>12</v>
      </c>
      <c r="D850" s="25">
        <v>0</v>
      </c>
      <c r="E850" s="25">
        <v>0</v>
      </c>
      <c r="F850" s="25">
        <v>256</v>
      </c>
      <c r="G850" s="25">
        <v>222</v>
      </c>
      <c r="H850" s="27">
        <v>0</v>
      </c>
      <c r="I850" s="27">
        <v>0</v>
      </c>
      <c r="J850" s="27">
        <v>0</v>
      </c>
      <c r="K850" s="27">
        <v>0</v>
      </c>
      <c r="L850" s="27">
        <v>1</v>
      </c>
      <c r="M850" s="27">
        <v>0</v>
      </c>
      <c r="N850" s="27">
        <v>0</v>
      </c>
      <c r="O850" s="27">
        <v>0</v>
      </c>
      <c r="P850" s="25">
        <v>700</v>
      </c>
      <c r="Q850" s="25">
        <v>560</v>
      </c>
      <c r="R850" s="25" t="s">
        <v>87</v>
      </c>
      <c r="S850" s="25" t="s">
        <v>89</v>
      </c>
      <c r="T850" s="25">
        <v>0</v>
      </c>
      <c r="U850" s="25">
        <v>0</v>
      </c>
      <c r="V850" s="25">
        <v>0</v>
      </c>
      <c r="W850" s="25">
        <v>0</v>
      </c>
      <c r="X850" s="25">
        <v>1</v>
      </c>
      <c r="Y850" s="25">
        <v>0</v>
      </c>
      <c r="Z850" s="25">
        <v>0</v>
      </c>
      <c r="AA850" s="25">
        <v>0</v>
      </c>
      <c r="AB850" s="25">
        <v>0</v>
      </c>
      <c r="AC850" s="25">
        <v>0</v>
      </c>
      <c r="AD850" s="25">
        <v>0</v>
      </c>
      <c r="AE850" s="25">
        <v>1</v>
      </c>
      <c r="AF850" s="25" t="s">
        <v>132</v>
      </c>
    </row>
    <row r="851" spans="1:32" s="25" customFormat="1" x14ac:dyDescent="0.25">
      <c r="A851" s="25" t="s">
        <v>185</v>
      </c>
      <c r="B851" s="25">
        <f t="shared" si="26"/>
        <v>6060</v>
      </c>
      <c r="C851" s="25" t="s">
        <v>12</v>
      </c>
      <c r="D851" s="25">
        <v>0</v>
      </c>
      <c r="E851" s="25">
        <v>0</v>
      </c>
      <c r="F851" s="25">
        <v>256</v>
      </c>
      <c r="G851" s="25">
        <v>222</v>
      </c>
      <c r="H851" s="27">
        <v>0</v>
      </c>
      <c r="I851" s="27">
        <v>0</v>
      </c>
      <c r="J851" s="27">
        <v>0</v>
      </c>
      <c r="K851" s="27">
        <v>0</v>
      </c>
      <c r="L851" s="27">
        <v>1</v>
      </c>
      <c r="M851" s="27">
        <v>0</v>
      </c>
      <c r="N851" s="27">
        <v>0</v>
      </c>
      <c r="O851" s="27">
        <v>0</v>
      </c>
      <c r="P851" s="25">
        <v>700</v>
      </c>
      <c r="Q851" s="25">
        <v>560</v>
      </c>
      <c r="R851" s="25" t="s">
        <v>87</v>
      </c>
      <c r="S851" s="25" t="s">
        <v>89</v>
      </c>
      <c r="T851" s="25">
        <v>0</v>
      </c>
      <c r="U851" s="25">
        <v>0</v>
      </c>
      <c r="V851" s="25">
        <v>0</v>
      </c>
      <c r="W851" s="25">
        <v>0</v>
      </c>
      <c r="X851" s="25">
        <v>1</v>
      </c>
      <c r="Y851" s="25">
        <v>0</v>
      </c>
      <c r="Z851" s="25">
        <v>0</v>
      </c>
      <c r="AA851" s="25">
        <v>0</v>
      </c>
      <c r="AB851" s="25">
        <v>0</v>
      </c>
      <c r="AC851" s="25">
        <v>0</v>
      </c>
      <c r="AD851" s="25">
        <v>0</v>
      </c>
      <c r="AE851" s="25">
        <v>1</v>
      </c>
      <c r="AF851" s="25" t="s">
        <v>132</v>
      </c>
    </row>
    <row r="852" spans="1:32" x14ac:dyDescent="0.25">
      <c r="A852" t="s">
        <v>185</v>
      </c>
      <c r="B852" s="25">
        <f t="shared" si="26"/>
        <v>6070</v>
      </c>
      <c r="C852" t="s">
        <v>12</v>
      </c>
      <c r="D852">
        <v>0</v>
      </c>
      <c r="E852">
        <v>0</v>
      </c>
      <c r="F852">
        <v>256</v>
      </c>
      <c r="G852">
        <v>222</v>
      </c>
      <c r="H852" s="27">
        <v>0</v>
      </c>
      <c r="I852" s="27">
        <v>0</v>
      </c>
      <c r="J852" s="27">
        <v>0</v>
      </c>
      <c r="K852" s="27">
        <v>0</v>
      </c>
      <c r="L852" s="27">
        <v>1</v>
      </c>
      <c r="M852" s="27">
        <v>0</v>
      </c>
      <c r="N852" s="27">
        <v>0</v>
      </c>
      <c r="O852" s="27">
        <v>0</v>
      </c>
      <c r="P852">
        <v>700</v>
      </c>
      <c r="Q852">
        <v>560</v>
      </c>
      <c r="R852" t="s">
        <v>87</v>
      </c>
      <c r="S852" t="s">
        <v>89</v>
      </c>
      <c r="T852">
        <v>0</v>
      </c>
      <c r="U852">
        <v>0</v>
      </c>
      <c r="V852">
        <v>0</v>
      </c>
      <c r="W852">
        <v>0</v>
      </c>
      <c r="X852">
        <v>1</v>
      </c>
      <c r="Y852">
        <v>0</v>
      </c>
      <c r="Z852">
        <v>0</v>
      </c>
      <c r="AA852">
        <v>0</v>
      </c>
      <c r="AB852">
        <v>0</v>
      </c>
      <c r="AC852">
        <v>0</v>
      </c>
      <c r="AD852">
        <v>0</v>
      </c>
      <c r="AE852">
        <v>1</v>
      </c>
      <c r="AF852" t="s">
        <v>132</v>
      </c>
    </row>
    <row r="853" spans="1:32" x14ac:dyDescent="0.25">
      <c r="A853" t="s">
        <v>185</v>
      </c>
      <c r="B853" s="25">
        <f t="shared" si="26"/>
        <v>6080</v>
      </c>
      <c r="C853" t="s">
        <v>12</v>
      </c>
      <c r="D853" t="s">
        <v>13</v>
      </c>
      <c r="E853" t="s">
        <v>13</v>
      </c>
      <c r="F853" t="s">
        <v>13</v>
      </c>
      <c r="G853" t="s">
        <v>13</v>
      </c>
      <c r="H853" s="27" t="s">
        <v>13</v>
      </c>
      <c r="I853" s="27" t="s">
        <v>13</v>
      </c>
      <c r="J853" s="27" t="s">
        <v>13</v>
      </c>
      <c r="K853" s="27" t="s">
        <v>13</v>
      </c>
      <c r="L853" s="27" t="s">
        <v>13</v>
      </c>
      <c r="M853" s="27" t="s">
        <v>13</v>
      </c>
      <c r="N853" s="27" t="s">
        <v>13</v>
      </c>
      <c r="O853" s="27" t="s">
        <v>13</v>
      </c>
      <c r="P853">
        <v>700</v>
      </c>
      <c r="Q853">
        <v>560</v>
      </c>
      <c r="R853" t="s">
        <v>87</v>
      </c>
      <c r="S853" t="s">
        <v>89</v>
      </c>
      <c r="T853">
        <v>0</v>
      </c>
      <c r="U853">
        <v>0</v>
      </c>
      <c r="V853">
        <v>0</v>
      </c>
      <c r="W853">
        <v>0</v>
      </c>
      <c r="X853">
        <v>1</v>
      </c>
      <c r="Y853">
        <v>0</v>
      </c>
      <c r="Z853">
        <v>0</v>
      </c>
      <c r="AA853">
        <v>0</v>
      </c>
      <c r="AB853">
        <v>0</v>
      </c>
      <c r="AC853">
        <v>0</v>
      </c>
      <c r="AD853">
        <v>0</v>
      </c>
      <c r="AE853">
        <v>1</v>
      </c>
      <c r="AF853" t="s">
        <v>128</v>
      </c>
    </row>
    <row r="854" spans="1:32" x14ac:dyDescent="0.25">
      <c r="A854" t="s">
        <v>186</v>
      </c>
      <c r="B854" s="25">
        <f t="shared" si="26"/>
        <v>6090</v>
      </c>
      <c r="C854" t="s">
        <v>12</v>
      </c>
      <c r="D854" t="s">
        <v>13</v>
      </c>
      <c r="E854" t="s">
        <v>13</v>
      </c>
      <c r="F854" t="s">
        <v>13</v>
      </c>
      <c r="G854" t="s">
        <v>13</v>
      </c>
      <c r="H854" s="27" t="s">
        <v>13</v>
      </c>
      <c r="I854" s="27" t="s">
        <v>13</v>
      </c>
      <c r="J854" s="27" t="s">
        <v>13</v>
      </c>
      <c r="K854" s="27" t="s">
        <v>13</v>
      </c>
      <c r="L854" s="27" t="s">
        <v>13</v>
      </c>
      <c r="M854" s="27" t="s">
        <v>13</v>
      </c>
      <c r="N854" s="27" t="s">
        <v>13</v>
      </c>
      <c r="O854" s="27" t="s">
        <v>13</v>
      </c>
      <c r="P854">
        <v>700</v>
      </c>
      <c r="Q854">
        <v>560</v>
      </c>
      <c r="R854" t="s">
        <v>87</v>
      </c>
      <c r="S854" t="s">
        <v>89</v>
      </c>
      <c r="T854">
        <v>0</v>
      </c>
      <c r="U854">
        <v>0</v>
      </c>
      <c r="V854">
        <v>0</v>
      </c>
      <c r="W854">
        <v>0</v>
      </c>
      <c r="X854">
        <v>1</v>
      </c>
      <c r="Y854">
        <v>0</v>
      </c>
      <c r="Z854">
        <v>0</v>
      </c>
      <c r="AA854">
        <v>0</v>
      </c>
      <c r="AB854">
        <v>0</v>
      </c>
      <c r="AC854">
        <v>0</v>
      </c>
      <c r="AD854">
        <v>0</v>
      </c>
      <c r="AE854">
        <v>1</v>
      </c>
      <c r="AF854" t="s">
        <v>129</v>
      </c>
    </row>
    <row r="855" spans="1:32" x14ac:dyDescent="0.25">
      <c r="A855" t="s">
        <v>186</v>
      </c>
      <c r="B855" s="25">
        <f t="shared" si="26"/>
        <v>6100</v>
      </c>
      <c r="C855" t="s">
        <v>12</v>
      </c>
      <c r="D855" t="s">
        <v>13</v>
      </c>
      <c r="E855" t="s">
        <v>13</v>
      </c>
      <c r="F855" t="s">
        <v>13</v>
      </c>
      <c r="G855" t="s">
        <v>13</v>
      </c>
      <c r="H855" s="27" t="s">
        <v>13</v>
      </c>
      <c r="I855" s="27" t="s">
        <v>13</v>
      </c>
      <c r="J855" s="27" t="s">
        <v>13</v>
      </c>
      <c r="K855" s="27" t="s">
        <v>13</v>
      </c>
      <c r="L855" s="27" t="s">
        <v>13</v>
      </c>
      <c r="M855" s="27" t="s">
        <v>13</v>
      </c>
      <c r="N855" s="27" t="s">
        <v>13</v>
      </c>
      <c r="O855" s="27" t="s">
        <v>13</v>
      </c>
      <c r="P855">
        <v>700</v>
      </c>
      <c r="Q855">
        <v>560</v>
      </c>
      <c r="R855" t="s">
        <v>87</v>
      </c>
      <c r="S855" t="s">
        <v>89</v>
      </c>
      <c r="T855">
        <v>0</v>
      </c>
      <c r="U855">
        <v>0</v>
      </c>
      <c r="V855">
        <v>0</v>
      </c>
      <c r="W855">
        <v>0</v>
      </c>
      <c r="X855">
        <v>1</v>
      </c>
      <c r="Y855">
        <v>0</v>
      </c>
      <c r="Z855">
        <v>0</v>
      </c>
      <c r="AA855">
        <v>0</v>
      </c>
      <c r="AB855">
        <v>0</v>
      </c>
      <c r="AC855">
        <v>0</v>
      </c>
      <c r="AD855">
        <v>0</v>
      </c>
      <c r="AE855">
        <v>1</v>
      </c>
      <c r="AF855" t="s">
        <v>130</v>
      </c>
    </row>
    <row r="856" spans="1:32" x14ac:dyDescent="0.25">
      <c r="A856" t="s">
        <v>186</v>
      </c>
      <c r="B856" s="25">
        <f t="shared" si="26"/>
        <v>6110</v>
      </c>
      <c r="C856" t="s">
        <v>12</v>
      </c>
      <c r="D856">
        <v>0</v>
      </c>
      <c r="E856">
        <v>0</v>
      </c>
      <c r="F856">
        <v>256</v>
      </c>
      <c r="G856">
        <v>222</v>
      </c>
      <c r="H856" s="27">
        <v>0</v>
      </c>
      <c r="I856" s="27">
        <v>0</v>
      </c>
      <c r="J856" s="27">
        <v>0</v>
      </c>
      <c r="K856" s="27">
        <v>0</v>
      </c>
      <c r="L856" s="27">
        <v>1</v>
      </c>
      <c r="M856" s="27">
        <v>0</v>
      </c>
      <c r="N856" s="27">
        <v>0</v>
      </c>
      <c r="O856" s="27">
        <v>0</v>
      </c>
      <c r="P856">
        <v>700</v>
      </c>
      <c r="Q856">
        <v>560</v>
      </c>
      <c r="R856" t="s">
        <v>87</v>
      </c>
      <c r="S856" t="s">
        <v>89</v>
      </c>
      <c r="T856">
        <v>0</v>
      </c>
      <c r="U856">
        <v>0</v>
      </c>
      <c r="V856">
        <v>0</v>
      </c>
      <c r="W856">
        <v>0</v>
      </c>
      <c r="X856">
        <v>1</v>
      </c>
      <c r="Y856">
        <v>0</v>
      </c>
      <c r="Z856">
        <v>0</v>
      </c>
      <c r="AA856">
        <v>0</v>
      </c>
      <c r="AB856">
        <v>0</v>
      </c>
      <c r="AC856">
        <v>0</v>
      </c>
      <c r="AD856">
        <v>0</v>
      </c>
      <c r="AE856">
        <v>1</v>
      </c>
      <c r="AF856" t="s">
        <v>131</v>
      </c>
    </row>
    <row r="857" spans="1:32" s="25" customFormat="1" x14ac:dyDescent="0.25">
      <c r="A857" s="25" t="s">
        <v>186</v>
      </c>
      <c r="B857" s="25">
        <f t="shared" ref="B857:B907" si="27">B856+10</f>
        <v>6120</v>
      </c>
      <c r="C857" s="25" t="s">
        <v>12</v>
      </c>
      <c r="D857" s="25">
        <v>0</v>
      </c>
      <c r="E857" s="25">
        <v>0</v>
      </c>
      <c r="F857" s="25">
        <v>256</v>
      </c>
      <c r="G857" s="25">
        <v>222</v>
      </c>
      <c r="H857" s="27">
        <v>0</v>
      </c>
      <c r="I857" s="27">
        <v>0</v>
      </c>
      <c r="J857" s="27">
        <v>0</v>
      </c>
      <c r="K857" s="27">
        <v>0</v>
      </c>
      <c r="L857" s="27">
        <v>1</v>
      </c>
      <c r="M857" s="27">
        <v>0</v>
      </c>
      <c r="N857" s="27">
        <v>0</v>
      </c>
      <c r="O857" s="27">
        <v>0</v>
      </c>
      <c r="P857" s="25">
        <v>700</v>
      </c>
      <c r="Q857" s="25">
        <v>560</v>
      </c>
      <c r="R857" s="25" t="s">
        <v>87</v>
      </c>
      <c r="S857" s="25" t="s">
        <v>89</v>
      </c>
      <c r="T857" s="25">
        <v>0</v>
      </c>
      <c r="U857" s="25">
        <v>0</v>
      </c>
      <c r="V857" s="25">
        <v>0</v>
      </c>
      <c r="W857" s="25">
        <v>0</v>
      </c>
      <c r="X857" s="25">
        <v>1</v>
      </c>
      <c r="Y857" s="25">
        <v>0</v>
      </c>
      <c r="Z857" s="25">
        <v>0</v>
      </c>
      <c r="AA857" s="25">
        <v>0</v>
      </c>
      <c r="AB857" s="25">
        <v>0</v>
      </c>
      <c r="AC857" s="25">
        <v>0</v>
      </c>
      <c r="AD857" s="25">
        <v>0</v>
      </c>
      <c r="AE857" s="25">
        <v>1</v>
      </c>
      <c r="AF857" s="25" t="s">
        <v>131</v>
      </c>
    </row>
    <row r="858" spans="1:32" s="25" customFormat="1" x14ac:dyDescent="0.25">
      <c r="A858" s="25" t="s">
        <v>186</v>
      </c>
      <c r="B858" s="25">
        <f t="shared" si="27"/>
        <v>6130</v>
      </c>
      <c r="C858" s="25" t="s">
        <v>12</v>
      </c>
      <c r="D858" s="25">
        <v>0</v>
      </c>
      <c r="E858" s="25">
        <v>0</v>
      </c>
      <c r="F858" s="25">
        <v>256</v>
      </c>
      <c r="G858" s="25">
        <v>222</v>
      </c>
      <c r="H858" s="27">
        <v>0</v>
      </c>
      <c r="I858" s="27">
        <v>0</v>
      </c>
      <c r="J858" s="27">
        <v>0</v>
      </c>
      <c r="K858" s="27">
        <v>0</v>
      </c>
      <c r="L858" s="27">
        <v>1</v>
      </c>
      <c r="M858" s="27">
        <v>0</v>
      </c>
      <c r="N858" s="27">
        <v>0</v>
      </c>
      <c r="O858" s="27">
        <v>0</v>
      </c>
      <c r="P858" s="25">
        <v>700</v>
      </c>
      <c r="Q858" s="25">
        <v>560</v>
      </c>
      <c r="R858" s="25" t="s">
        <v>87</v>
      </c>
      <c r="S858" s="25" t="s">
        <v>89</v>
      </c>
      <c r="T858" s="25">
        <v>0</v>
      </c>
      <c r="U858" s="25">
        <v>0</v>
      </c>
      <c r="V858" s="25">
        <v>0</v>
      </c>
      <c r="W858" s="25">
        <v>0</v>
      </c>
      <c r="X858" s="25">
        <v>1</v>
      </c>
      <c r="Y858" s="25">
        <v>0</v>
      </c>
      <c r="Z858" s="25">
        <v>0</v>
      </c>
      <c r="AA858" s="25">
        <v>0</v>
      </c>
      <c r="AB858" s="25">
        <v>0</v>
      </c>
      <c r="AC858" s="25">
        <v>0</v>
      </c>
      <c r="AD858" s="25">
        <v>0</v>
      </c>
      <c r="AE858" s="25">
        <v>1</v>
      </c>
      <c r="AF858" s="25" t="s">
        <v>131</v>
      </c>
    </row>
    <row r="859" spans="1:32" s="25" customFormat="1" x14ac:dyDescent="0.25">
      <c r="A859" s="25" t="s">
        <v>186</v>
      </c>
      <c r="B859" s="25">
        <f t="shared" si="27"/>
        <v>6140</v>
      </c>
      <c r="C859" s="25" t="s">
        <v>12</v>
      </c>
      <c r="D859" s="25">
        <v>0</v>
      </c>
      <c r="E859" s="25">
        <v>0</v>
      </c>
      <c r="F859" s="25">
        <v>256</v>
      </c>
      <c r="G859" s="25">
        <v>222</v>
      </c>
      <c r="H859" s="27">
        <v>0</v>
      </c>
      <c r="I859" s="27">
        <v>0</v>
      </c>
      <c r="J859" s="27">
        <v>0</v>
      </c>
      <c r="K859" s="27">
        <v>0</v>
      </c>
      <c r="L859" s="27">
        <v>1</v>
      </c>
      <c r="M859" s="27">
        <v>0</v>
      </c>
      <c r="N859" s="27">
        <v>0</v>
      </c>
      <c r="O859" s="27">
        <v>0</v>
      </c>
      <c r="P859" s="25">
        <v>700</v>
      </c>
      <c r="Q859" s="25">
        <v>560</v>
      </c>
      <c r="R859" s="25" t="s">
        <v>87</v>
      </c>
      <c r="S859" s="25" t="s">
        <v>89</v>
      </c>
      <c r="T859" s="25">
        <v>0</v>
      </c>
      <c r="U859" s="25">
        <v>0</v>
      </c>
      <c r="V859" s="25">
        <v>0</v>
      </c>
      <c r="W859" s="25">
        <v>0</v>
      </c>
      <c r="X859" s="25">
        <v>1</v>
      </c>
      <c r="Y859" s="25">
        <v>0</v>
      </c>
      <c r="Z859" s="25">
        <v>0</v>
      </c>
      <c r="AA859" s="25">
        <v>0</v>
      </c>
      <c r="AB859" s="25">
        <v>0</v>
      </c>
      <c r="AC859" s="25">
        <v>0</v>
      </c>
      <c r="AD859" s="25">
        <v>0</v>
      </c>
      <c r="AE859" s="25">
        <v>1</v>
      </c>
      <c r="AF859" s="25" t="s">
        <v>131</v>
      </c>
    </row>
    <row r="860" spans="1:32" s="25" customFormat="1" x14ac:dyDescent="0.25">
      <c r="A860" s="25" t="s">
        <v>186</v>
      </c>
      <c r="B860" s="25">
        <f t="shared" si="27"/>
        <v>6150</v>
      </c>
      <c r="C860" s="25" t="s">
        <v>12</v>
      </c>
      <c r="D860" s="25">
        <v>0</v>
      </c>
      <c r="E860" s="25">
        <v>0</v>
      </c>
      <c r="F860" s="25">
        <v>256</v>
      </c>
      <c r="G860" s="25">
        <v>222</v>
      </c>
      <c r="H860" s="27">
        <v>0</v>
      </c>
      <c r="I860" s="27">
        <v>0</v>
      </c>
      <c r="J860" s="27">
        <v>0</v>
      </c>
      <c r="K860" s="27">
        <v>0</v>
      </c>
      <c r="L860" s="27">
        <v>1</v>
      </c>
      <c r="M860" s="27">
        <v>0</v>
      </c>
      <c r="N860" s="27">
        <v>0</v>
      </c>
      <c r="O860" s="27">
        <v>0</v>
      </c>
      <c r="P860" s="25">
        <v>700</v>
      </c>
      <c r="Q860" s="25">
        <v>560</v>
      </c>
      <c r="R860" s="25" t="s">
        <v>87</v>
      </c>
      <c r="S860" s="25" t="s">
        <v>89</v>
      </c>
      <c r="T860" s="25">
        <v>0</v>
      </c>
      <c r="U860" s="25">
        <v>0</v>
      </c>
      <c r="V860" s="25">
        <v>0</v>
      </c>
      <c r="W860" s="25">
        <v>0</v>
      </c>
      <c r="X860" s="25">
        <v>1</v>
      </c>
      <c r="Y860" s="25">
        <v>0</v>
      </c>
      <c r="Z860" s="25">
        <v>0</v>
      </c>
      <c r="AA860" s="25">
        <v>0</v>
      </c>
      <c r="AB860" s="25">
        <v>0</v>
      </c>
      <c r="AC860" s="25">
        <v>0</v>
      </c>
      <c r="AD860" s="25">
        <v>0</v>
      </c>
      <c r="AE860" s="25">
        <v>1</v>
      </c>
      <c r="AF860" s="25" t="s">
        <v>131</v>
      </c>
    </row>
    <row r="861" spans="1:32" s="25" customFormat="1" x14ac:dyDescent="0.25">
      <c r="A861" s="25" t="s">
        <v>186</v>
      </c>
      <c r="B861" s="25">
        <f t="shared" si="27"/>
        <v>6160</v>
      </c>
      <c r="C861" s="25" t="s">
        <v>12</v>
      </c>
      <c r="D861" s="25">
        <v>0</v>
      </c>
      <c r="E861" s="25">
        <v>0</v>
      </c>
      <c r="F861" s="25">
        <v>256</v>
      </c>
      <c r="G861" s="25">
        <v>222</v>
      </c>
      <c r="H861" s="27">
        <v>0</v>
      </c>
      <c r="I861" s="27">
        <v>0</v>
      </c>
      <c r="J861" s="27">
        <v>0</v>
      </c>
      <c r="K861" s="27">
        <v>0</v>
      </c>
      <c r="L861" s="27">
        <v>1</v>
      </c>
      <c r="M861" s="27">
        <v>0</v>
      </c>
      <c r="N861" s="27">
        <v>0</v>
      </c>
      <c r="O861" s="27">
        <v>0</v>
      </c>
      <c r="P861" s="25">
        <v>700</v>
      </c>
      <c r="Q861" s="25">
        <v>560</v>
      </c>
      <c r="R861" s="25" t="s">
        <v>87</v>
      </c>
      <c r="S861" s="25" t="s">
        <v>89</v>
      </c>
      <c r="T861" s="25">
        <v>0</v>
      </c>
      <c r="U861" s="25">
        <v>0</v>
      </c>
      <c r="V861" s="25">
        <v>0</v>
      </c>
      <c r="W861" s="25">
        <v>0</v>
      </c>
      <c r="X861" s="25">
        <v>1</v>
      </c>
      <c r="Y861" s="25">
        <v>0</v>
      </c>
      <c r="Z861" s="25">
        <v>0</v>
      </c>
      <c r="AA861" s="25">
        <v>0</v>
      </c>
      <c r="AB861" s="25">
        <v>0</v>
      </c>
      <c r="AC861" s="25">
        <v>0</v>
      </c>
      <c r="AD861" s="25">
        <v>0</v>
      </c>
      <c r="AE861" s="25">
        <v>1</v>
      </c>
      <c r="AF861" s="25" t="s">
        <v>131</v>
      </c>
    </row>
    <row r="862" spans="1:32" s="25" customFormat="1" x14ac:dyDescent="0.25">
      <c r="A862" s="25" t="s">
        <v>186</v>
      </c>
      <c r="B862" s="25">
        <f t="shared" si="27"/>
        <v>6170</v>
      </c>
      <c r="C862" s="25" t="s">
        <v>12</v>
      </c>
      <c r="D862" s="25">
        <v>0</v>
      </c>
      <c r="E862" s="25">
        <v>0</v>
      </c>
      <c r="F862" s="25">
        <v>256</v>
      </c>
      <c r="G862" s="25">
        <v>222</v>
      </c>
      <c r="H862" s="27">
        <v>0</v>
      </c>
      <c r="I862" s="27">
        <v>0</v>
      </c>
      <c r="J862" s="27">
        <v>0</v>
      </c>
      <c r="K862" s="27">
        <v>0</v>
      </c>
      <c r="L862" s="27">
        <v>1</v>
      </c>
      <c r="M862" s="27">
        <v>0</v>
      </c>
      <c r="N862" s="27">
        <v>0</v>
      </c>
      <c r="O862" s="27">
        <v>0</v>
      </c>
      <c r="P862" s="25">
        <v>700</v>
      </c>
      <c r="Q862" s="25">
        <v>560</v>
      </c>
      <c r="R862" s="25" t="s">
        <v>87</v>
      </c>
      <c r="S862" s="25" t="s">
        <v>89</v>
      </c>
      <c r="T862" s="25">
        <v>0</v>
      </c>
      <c r="U862" s="25">
        <v>0</v>
      </c>
      <c r="V862" s="25">
        <v>0</v>
      </c>
      <c r="W862" s="25">
        <v>0</v>
      </c>
      <c r="X862" s="25">
        <v>1</v>
      </c>
      <c r="Y862" s="25">
        <v>0</v>
      </c>
      <c r="Z862" s="25">
        <v>0</v>
      </c>
      <c r="AA862" s="25">
        <v>0</v>
      </c>
      <c r="AB862" s="25">
        <v>0</v>
      </c>
      <c r="AC862" s="25">
        <v>0</v>
      </c>
      <c r="AD862" s="25">
        <v>0</v>
      </c>
      <c r="AE862" s="25">
        <v>1</v>
      </c>
      <c r="AF862" s="25" t="s">
        <v>131</v>
      </c>
    </row>
    <row r="863" spans="1:32" s="25" customFormat="1" x14ac:dyDescent="0.25">
      <c r="A863" s="25" t="s">
        <v>186</v>
      </c>
      <c r="B863" s="25">
        <f t="shared" si="27"/>
        <v>6180</v>
      </c>
      <c r="C863" s="25" t="s">
        <v>12</v>
      </c>
      <c r="D863" s="25">
        <v>0</v>
      </c>
      <c r="E863" s="25">
        <v>0</v>
      </c>
      <c r="F863" s="25">
        <v>256</v>
      </c>
      <c r="G863" s="25">
        <v>222</v>
      </c>
      <c r="H863" s="27">
        <v>0</v>
      </c>
      <c r="I863" s="27">
        <v>0</v>
      </c>
      <c r="J863" s="27">
        <v>0</v>
      </c>
      <c r="K863" s="27">
        <v>0</v>
      </c>
      <c r="L863" s="27">
        <v>1</v>
      </c>
      <c r="M863" s="27">
        <v>0</v>
      </c>
      <c r="N863" s="27">
        <v>0</v>
      </c>
      <c r="O863" s="27">
        <v>0</v>
      </c>
      <c r="P863" s="25">
        <v>700</v>
      </c>
      <c r="Q863" s="25">
        <v>560</v>
      </c>
      <c r="R863" s="25" t="s">
        <v>87</v>
      </c>
      <c r="S863" s="25" t="s">
        <v>89</v>
      </c>
      <c r="T863" s="25">
        <v>0</v>
      </c>
      <c r="U863" s="25">
        <v>0</v>
      </c>
      <c r="V863" s="25">
        <v>0</v>
      </c>
      <c r="W863" s="25">
        <v>0</v>
      </c>
      <c r="X863" s="25">
        <v>1</v>
      </c>
      <c r="Y863" s="25">
        <v>0</v>
      </c>
      <c r="Z863" s="25">
        <v>0</v>
      </c>
      <c r="AA863" s="25">
        <v>0</v>
      </c>
      <c r="AB863" s="25">
        <v>0</v>
      </c>
      <c r="AC863" s="25">
        <v>0</v>
      </c>
      <c r="AD863" s="25">
        <v>0</v>
      </c>
      <c r="AE863" s="25">
        <v>1</v>
      </c>
      <c r="AF863" s="25" t="s">
        <v>131</v>
      </c>
    </row>
    <row r="864" spans="1:32" s="25" customFormat="1" x14ac:dyDescent="0.25">
      <c r="A864" s="25" t="s">
        <v>186</v>
      </c>
      <c r="B864" s="25">
        <f t="shared" si="27"/>
        <v>6190</v>
      </c>
      <c r="C864" s="25" t="s">
        <v>12</v>
      </c>
      <c r="D864" s="25">
        <v>0</v>
      </c>
      <c r="E864" s="25">
        <v>0</v>
      </c>
      <c r="F864" s="25">
        <v>256</v>
      </c>
      <c r="G864" s="25">
        <v>222</v>
      </c>
      <c r="H864" s="27">
        <v>0</v>
      </c>
      <c r="I864" s="27">
        <v>0</v>
      </c>
      <c r="J864" s="27">
        <v>0</v>
      </c>
      <c r="K864" s="27">
        <v>0</v>
      </c>
      <c r="L864" s="27">
        <v>1</v>
      </c>
      <c r="M864" s="27">
        <v>0</v>
      </c>
      <c r="N864" s="27">
        <v>0</v>
      </c>
      <c r="O864" s="27">
        <v>0</v>
      </c>
      <c r="P864" s="25">
        <v>700</v>
      </c>
      <c r="Q864" s="25">
        <v>560</v>
      </c>
      <c r="R864" s="25" t="s">
        <v>87</v>
      </c>
      <c r="S864" s="25" t="s">
        <v>89</v>
      </c>
      <c r="T864" s="25">
        <v>0</v>
      </c>
      <c r="U864" s="25">
        <v>0</v>
      </c>
      <c r="V864" s="25">
        <v>0</v>
      </c>
      <c r="W864" s="25">
        <v>0</v>
      </c>
      <c r="X864" s="25">
        <v>1</v>
      </c>
      <c r="Y864" s="25">
        <v>0</v>
      </c>
      <c r="Z864" s="25">
        <v>0</v>
      </c>
      <c r="AA864" s="25">
        <v>0</v>
      </c>
      <c r="AB864" s="25">
        <v>0</v>
      </c>
      <c r="AC864" s="25">
        <v>0</v>
      </c>
      <c r="AD864" s="25">
        <v>0</v>
      </c>
      <c r="AE864" s="25">
        <v>1</v>
      </c>
      <c r="AF864" s="25" t="s">
        <v>131</v>
      </c>
    </row>
    <row r="865" spans="1:32" s="25" customFormat="1" x14ac:dyDescent="0.25">
      <c r="A865" s="25" t="s">
        <v>186</v>
      </c>
      <c r="B865" s="25">
        <f t="shared" si="27"/>
        <v>6200</v>
      </c>
      <c r="C865" s="25" t="s">
        <v>12</v>
      </c>
      <c r="D865" s="25">
        <v>0</v>
      </c>
      <c r="E865" s="25">
        <v>0</v>
      </c>
      <c r="F865" s="25">
        <v>256</v>
      </c>
      <c r="G865" s="25">
        <v>222</v>
      </c>
      <c r="H865" s="27">
        <v>0</v>
      </c>
      <c r="I865" s="27">
        <v>0</v>
      </c>
      <c r="J865" s="27">
        <v>0</v>
      </c>
      <c r="K865" s="27">
        <v>0</v>
      </c>
      <c r="L865" s="27">
        <v>1</v>
      </c>
      <c r="M865" s="27">
        <v>0</v>
      </c>
      <c r="N865" s="27">
        <v>0</v>
      </c>
      <c r="O865" s="27">
        <v>0</v>
      </c>
      <c r="P865" s="25">
        <v>700</v>
      </c>
      <c r="Q865" s="25">
        <v>560</v>
      </c>
      <c r="R865" s="25" t="s">
        <v>87</v>
      </c>
      <c r="S865" s="25" t="s">
        <v>89</v>
      </c>
      <c r="T865" s="25">
        <v>0</v>
      </c>
      <c r="U865" s="25">
        <v>0</v>
      </c>
      <c r="V865" s="25">
        <v>0</v>
      </c>
      <c r="W865" s="25">
        <v>0</v>
      </c>
      <c r="X865" s="25">
        <v>1</v>
      </c>
      <c r="Y865" s="25">
        <v>0</v>
      </c>
      <c r="Z865" s="25">
        <v>0</v>
      </c>
      <c r="AA865" s="25">
        <v>0</v>
      </c>
      <c r="AB865" s="25">
        <v>0</v>
      </c>
      <c r="AC865" s="25">
        <v>0</v>
      </c>
      <c r="AD865" s="25">
        <v>0</v>
      </c>
      <c r="AE865" s="25">
        <v>1</v>
      </c>
      <c r="AF865" s="25" t="s">
        <v>131</v>
      </c>
    </row>
    <row r="866" spans="1:32" s="25" customFormat="1" x14ac:dyDescent="0.25">
      <c r="A866" s="25" t="s">
        <v>186</v>
      </c>
      <c r="B866" s="25">
        <f t="shared" si="27"/>
        <v>6210</v>
      </c>
      <c r="C866" s="25" t="s">
        <v>12</v>
      </c>
      <c r="D866" s="25">
        <v>0</v>
      </c>
      <c r="E866" s="25">
        <v>0</v>
      </c>
      <c r="F866" s="25">
        <v>256</v>
      </c>
      <c r="G866" s="25">
        <v>222</v>
      </c>
      <c r="H866" s="27">
        <v>0</v>
      </c>
      <c r="I866" s="27">
        <v>0</v>
      </c>
      <c r="J866" s="27">
        <v>0</v>
      </c>
      <c r="K866" s="27">
        <v>0</v>
      </c>
      <c r="L866" s="27">
        <v>1</v>
      </c>
      <c r="M866" s="27">
        <v>0</v>
      </c>
      <c r="N866" s="27">
        <v>0</v>
      </c>
      <c r="O866" s="27">
        <v>0</v>
      </c>
      <c r="P866" s="25">
        <v>700</v>
      </c>
      <c r="Q866" s="25">
        <v>560</v>
      </c>
      <c r="R866" s="25" t="s">
        <v>87</v>
      </c>
      <c r="S866" s="25" t="s">
        <v>89</v>
      </c>
      <c r="T866" s="25">
        <v>0</v>
      </c>
      <c r="U866" s="25">
        <v>0</v>
      </c>
      <c r="V866" s="25">
        <v>0</v>
      </c>
      <c r="W866" s="25">
        <v>0</v>
      </c>
      <c r="X866" s="25">
        <v>1</v>
      </c>
      <c r="Y866" s="25">
        <v>0</v>
      </c>
      <c r="Z866" s="25">
        <v>0</v>
      </c>
      <c r="AA866" s="25">
        <v>0</v>
      </c>
      <c r="AB866" s="25">
        <v>0</v>
      </c>
      <c r="AC866" s="25">
        <v>0</v>
      </c>
      <c r="AD866" s="25">
        <v>0</v>
      </c>
      <c r="AE866" s="25">
        <v>1</v>
      </c>
      <c r="AF866" s="25" t="s">
        <v>131</v>
      </c>
    </row>
    <row r="867" spans="1:32" s="25" customFormat="1" x14ac:dyDescent="0.25">
      <c r="A867" s="25" t="s">
        <v>186</v>
      </c>
      <c r="B867" s="25">
        <f t="shared" si="27"/>
        <v>6220</v>
      </c>
      <c r="C867" s="25" t="s">
        <v>12</v>
      </c>
      <c r="D867" s="25">
        <v>0</v>
      </c>
      <c r="E867" s="25">
        <v>0</v>
      </c>
      <c r="F867" s="25">
        <v>256</v>
      </c>
      <c r="G867" s="25">
        <v>222</v>
      </c>
      <c r="H867" s="27">
        <v>0</v>
      </c>
      <c r="I867" s="27">
        <v>0</v>
      </c>
      <c r="J867" s="27">
        <v>0</v>
      </c>
      <c r="K867" s="27">
        <v>0</v>
      </c>
      <c r="L867" s="27">
        <v>1</v>
      </c>
      <c r="M867" s="27">
        <v>0</v>
      </c>
      <c r="N867" s="27">
        <v>0</v>
      </c>
      <c r="O867" s="27">
        <v>0</v>
      </c>
      <c r="P867" s="25">
        <v>700</v>
      </c>
      <c r="Q867" s="25">
        <v>560</v>
      </c>
      <c r="R867" s="25" t="s">
        <v>87</v>
      </c>
      <c r="S867" s="25" t="s">
        <v>89</v>
      </c>
      <c r="T867" s="25">
        <v>0</v>
      </c>
      <c r="U867" s="25">
        <v>0</v>
      </c>
      <c r="V867" s="25">
        <v>0</v>
      </c>
      <c r="W867" s="25">
        <v>0</v>
      </c>
      <c r="X867" s="25">
        <v>1</v>
      </c>
      <c r="Y867" s="25">
        <v>0</v>
      </c>
      <c r="Z867" s="25">
        <v>0</v>
      </c>
      <c r="AA867" s="25">
        <v>0</v>
      </c>
      <c r="AB867" s="25">
        <v>0</v>
      </c>
      <c r="AC867" s="25">
        <v>0</v>
      </c>
      <c r="AD867" s="25">
        <v>0</v>
      </c>
      <c r="AE867" s="25">
        <v>1</v>
      </c>
      <c r="AF867" s="25" t="s">
        <v>131</v>
      </c>
    </row>
    <row r="868" spans="1:32" s="25" customFormat="1" x14ac:dyDescent="0.25">
      <c r="A868" s="25" t="s">
        <v>186</v>
      </c>
      <c r="B868" s="25">
        <f t="shared" si="27"/>
        <v>6230</v>
      </c>
      <c r="C868" s="25" t="s">
        <v>12</v>
      </c>
      <c r="D868" s="25">
        <v>0</v>
      </c>
      <c r="E868" s="25">
        <v>0</v>
      </c>
      <c r="F868" s="25">
        <v>256</v>
      </c>
      <c r="G868" s="25">
        <v>222</v>
      </c>
      <c r="H868" s="27">
        <v>0</v>
      </c>
      <c r="I868" s="27">
        <v>0</v>
      </c>
      <c r="J868" s="27">
        <v>0</v>
      </c>
      <c r="K868" s="27">
        <v>0</v>
      </c>
      <c r="L868" s="27">
        <v>1</v>
      </c>
      <c r="M868" s="27">
        <v>0</v>
      </c>
      <c r="N868" s="27">
        <v>0</v>
      </c>
      <c r="O868" s="27">
        <v>0</v>
      </c>
      <c r="P868" s="25">
        <v>700</v>
      </c>
      <c r="Q868" s="25">
        <v>560</v>
      </c>
      <c r="R868" s="25" t="s">
        <v>87</v>
      </c>
      <c r="S868" s="25" t="s">
        <v>89</v>
      </c>
      <c r="T868" s="25">
        <v>0</v>
      </c>
      <c r="U868" s="25">
        <v>0</v>
      </c>
      <c r="V868" s="25">
        <v>0</v>
      </c>
      <c r="W868" s="25">
        <v>0</v>
      </c>
      <c r="X868" s="25">
        <v>1</v>
      </c>
      <c r="Y868" s="25">
        <v>0</v>
      </c>
      <c r="Z868" s="25">
        <v>0</v>
      </c>
      <c r="AA868" s="25">
        <v>0</v>
      </c>
      <c r="AB868" s="25">
        <v>0</v>
      </c>
      <c r="AC868" s="25">
        <v>0</v>
      </c>
      <c r="AD868" s="25">
        <v>0</v>
      </c>
      <c r="AE868" s="25">
        <v>1</v>
      </c>
      <c r="AF868" s="25" t="s">
        <v>131</v>
      </c>
    </row>
    <row r="869" spans="1:32" s="25" customFormat="1" x14ac:dyDescent="0.25">
      <c r="A869" s="25" t="s">
        <v>186</v>
      </c>
      <c r="B869" s="25">
        <f t="shared" si="27"/>
        <v>6240</v>
      </c>
      <c r="C869" s="25" t="s">
        <v>12</v>
      </c>
      <c r="D869" s="25">
        <v>0</v>
      </c>
      <c r="E869" s="25">
        <v>0</v>
      </c>
      <c r="F869" s="25">
        <v>256</v>
      </c>
      <c r="G869" s="25">
        <v>222</v>
      </c>
      <c r="H869" s="27">
        <v>0</v>
      </c>
      <c r="I869" s="27">
        <v>0</v>
      </c>
      <c r="J869" s="27">
        <v>0</v>
      </c>
      <c r="K869" s="27">
        <v>0</v>
      </c>
      <c r="L869" s="27">
        <v>1</v>
      </c>
      <c r="M869" s="27">
        <v>0</v>
      </c>
      <c r="N869" s="27">
        <v>0</v>
      </c>
      <c r="O869" s="27">
        <v>0</v>
      </c>
      <c r="P869" s="25">
        <v>700</v>
      </c>
      <c r="Q869" s="25">
        <v>560</v>
      </c>
      <c r="R869" s="25" t="s">
        <v>87</v>
      </c>
      <c r="S869" s="25" t="s">
        <v>89</v>
      </c>
      <c r="T869" s="25">
        <v>0</v>
      </c>
      <c r="U869" s="25">
        <v>0</v>
      </c>
      <c r="V869" s="25">
        <v>0</v>
      </c>
      <c r="W869" s="25">
        <v>0</v>
      </c>
      <c r="X869" s="25">
        <v>1</v>
      </c>
      <c r="Y869" s="25">
        <v>0</v>
      </c>
      <c r="Z869" s="25">
        <v>0</v>
      </c>
      <c r="AA869" s="25">
        <v>0</v>
      </c>
      <c r="AB869" s="25">
        <v>0</v>
      </c>
      <c r="AC869" s="25">
        <v>0</v>
      </c>
      <c r="AD869" s="25">
        <v>0</v>
      </c>
      <c r="AE869" s="25">
        <v>1</v>
      </c>
      <c r="AF869" s="25" t="s">
        <v>131</v>
      </c>
    </row>
    <row r="870" spans="1:32" s="25" customFormat="1" x14ac:dyDescent="0.25">
      <c r="A870" s="25" t="s">
        <v>186</v>
      </c>
      <c r="B870" s="25">
        <f t="shared" si="27"/>
        <v>6250</v>
      </c>
      <c r="C870" s="25" t="s">
        <v>12</v>
      </c>
      <c r="D870" s="25">
        <v>0</v>
      </c>
      <c r="E870" s="25">
        <v>0</v>
      </c>
      <c r="F870" s="25">
        <v>256</v>
      </c>
      <c r="G870" s="25">
        <v>222</v>
      </c>
      <c r="H870" s="27">
        <v>0</v>
      </c>
      <c r="I870" s="27">
        <v>0</v>
      </c>
      <c r="J870" s="27">
        <v>0</v>
      </c>
      <c r="K870" s="27">
        <v>0</v>
      </c>
      <c r="L870" s="27">
        <v>1</v>
      </c>
      <c r="M870" s="27">
        <v>0</v>
      </c>
      <c r="N870" s="27">
        <v>0</v>
      </c>
      <c r="O870" s="27">
        <v>0</v>
      </c>
      <c r="P870" s="25">
        <v>700</v>
      </c>
      <c r="Q870" s="25">
        <v>560</v>
      </c>
      <c r="R870" s="25" t="s">
        <v>87</v>
      </c>
      <c r="S870" s="25" t="s">
        <v>89</v>
      </c>
      <c r="T870" s="25">
        <v>0</v>
      </c>
      <c r="U870" s="25">
        <v>0</v>
      </c>
      <c r="V870" s="25">
        <v>0</v>
      </c>
      <c r="W870" s="25">
        <v>0</v>
      </c>
      <c r="X870" s="25">
        <v>1</v>
      </c>
      <c r="Y870" s="25">
        <v>0</v>
      </c>
      <c r="Z870" s="25">
        <v>0</v>
      </c>
      <c r="AA870" s="25">
        <v>0</v>
      </c>
      <c r="AB870" s="25">
        <v>0</v>
      </c>
      <c r="AC870" s="25">
        <v>0</v>
      </c>
      <c r="AD870" s="25">
        <v>0</v>
      </c>
      <c r="AE870" s="25">
        <v>1</v>
      </c>
      <c r="AF870" s="25" t="s">
        <v>131</v>
      </c>
    </row>
    <row r="871" spans="1:32" s="25" customFormat="1" x14ac:dyDescent="0.25">
      <c r="A871" s="25" t="s">
        <v>186</v>
      </c>
      <c r="B871" s="25">
        <f t="shared" si="27"/>
        <v>6260</v>
      </c>
      <c r="C871" s="25" t="s">
        <v>12</v>
      </c>
      <c r="D871" s="25">
        <v>0</v>
      </c>
      <c r="E871" s="25">
        <v>0</v>
      </c>
      <c r="F871" s="25">
        <v>256</v>
      </c>
      <c r="G871" s="25">
        <v>222</v>
      </c>
      <c r="H871" s="27">
        <v>0</v>
      </c>
      <c r="I871" s="27">
        <v>0</v>
      </c>
      <c r="J871" s="27">
        <v>0</v>
      </c>
      <c r="K871" s="27">
        <v>0</v>
      </c>
      <c r="L871" s="27">
        <v>1</v>
      </c>
      <c r="M871" s="27">
        <v>0</v>
      </c>
      <c r="N871" s="27">
        <v>0</v>
      </c>
      <c r="O871" s="27">
        <v>0</v>
      </c>
      <c r="P871" s="25">
        <v>700</v>
      </c>
      <c r="Q871" s="25">
        <v>560</v>
      </c>
      <c r="R871" s="25" t="s">
        <v>87</v>
      </c>
      <c r="S871" s="25" t="s">
        <v>89</v>
      </c>
      <c r="T871" s="25">
        <v>0</v>
      </c>
      <c r="U871" s="25">
        <v>0</v>
      </c>
      <c r="V871" s="25">
        <v>0</v>
      </c>
      <c r="W871" s="25">
        <v>0</v>
      </c>
      <c r="X871" s="25">
        <v>1</v>
      </c>
      <c r="Y871" s="25">
        <v>0</v>
      </c>
      <c r="Z871" s="25">
        <v>0</v>
      </c>
      <c r="AA871" s="25">
        <v>0</v>
      </c>
      <c r="AB871" s="25">
        <v>0</v>
      </c>
      <c r="AC871" s="25">
        <v>0</v>
      </c>
      <c r="AD871" s="25">
        <v>0</v>
      </c>
      <c r="AE871" s="25">
        <v>1</v>
      </c>
      <c r="AF871" s="25" t="s">
        <v>131</v>
      </c>
    </row>
    <row r="872" spans="1:32" s="25" customFormat="1" x14ac:dyDescent="0.25">
      <c r="A872" s="25" t="s">
        <v>186</v>
      </c>
      <c r="B872" s="25">
        <f t="shared" si="27"/>
        <v>6270</v>
      </c>
      <c r="C872" s="25" t="s">
        <v>12</v>
      </c>
      <c r="D872" s="25">
        <v>0</v>
      </c>
      <c r="E872" s="25">
        <v>0</v>
      </c>
      <c r="F872" s="25">
        <v>256</v>
      </c>
      <c r="G872" s="25">
        <v>222</v>
      </c>
      <c r="H872" s="27">
        <v>0</v>
      </c>
      <c r="I872" s="27">
        <v>0</v>
      </c>
      <c r="J872" s="27">
        <v>0</v>
      </c>
      <c r="K872" s="27">
        <v>0</v>
      </c>
      <c r="L872" s="27">
        <v>1</v>
      </c>
      <c r="M872" s="27">
        <v>0</v>
      </c>
      <c r="N872" s="27">
        <v>0</v>
      </c>
      <c r="O872" s="27">
        <v>0</v>
      </c>
      <c r="P872" s="25">
        <v>700</v>
      </c>
      <c r="Q872" s="25">
        <v>560</v>
      </c>
      <c r="R872" s="25" t="s">
        <v>87</v>
      </c>
      <c r="S872" s="25" t="s">
        <v>89</v>
      </c>
      <c r="T872" s="25">
        <v>0</v>
      </c>
      <c r="U872" s="25">
        <v>0</v>
      </c>
      <c r="V872" s="25">
        <v>0</v>
      </c>
      <c r="W872" s="25">
        <v>0</v>
      </c>
      <c r="X872" s="25">
        <v>1</v>
      </c>
      <c r="Y872" s="25">
        <v>0</v>
      </c>
      <c r="Z872" s="25">
        <v>0</v>
      </c>
      <c r="AA872" s="25">
        <v>0</v>
      </c>
      <c r="AB872" s="25">
        <v>0</v>
      </c>
      <c r="AC872" s="25">
        <v>0</v>
      </c>
      <c r="AD872" s="25">
        <v>0</v>
      </c>
      <c r="AE872" s="25">
        <v>1</v>
      </c>
      <c r="AF872" s="25" t="s">
        <v>131</v>
      </c>
    </row>
    <row r="873" spans="1:32" s="25" customFormat="1" x14ac:dyDescent="0.25">
      <c r="A873" s="25" t="s">
        <v>186</v>
      </c>
      <c r="B873" s="25">
        <f t="shared" si="27"/>
        <v>6280</v>
      </c>
      <c r="C873" s="25" t="s">
        <v>12</v>
      </c>
      <c r="D873" s="25">
        <v>0</v>
      </c>
      <c r="E873" s="25">
        <v>0</v>
      </c>
      <c r="F873" s="25">
        <v>256</v>
      </c>
      <c r="G873" s="25">
        <v>222</v>
      </c>
      <c r="H873" s="27">
        <v>0</v>
      </c>
      <c r="I873" s="27">
        <v>0</v>
      </c>
      <c r="J873" s="27">
        <v>0</v>
      </c>
      <c r="K873" s="27">
        <v>0</v>
      </c>
      <c r="L873" s="27">
        <v>1</v>
      </c>
      <c r="M873" s="27">
        <v>0</v>
      </c>
      <c r="N873" s="27">
        <v>0</v>
      </c>
      <c r="O873" s="27">
        <v>0</v>
      </c>
      <c r="P873" s="25">
        <v>700</v>
      </c>
      <c r="Q873" s="25">
        <v>560</v>
      </c>
      <c r="R873" s="25" t="s">
        <v>87</v>
      </c>
      <c r="S873" s="25" t="s">
        <v>89</v>
      </c>
      <c r="T873" s="25">
        <v>0</v>
      </c>
      <c r="U873" s="25">
        <v>0</v>
      </c>
      <c r="V873" s="25">
        <v>0</v>
      </c>
      <c r="W873" s="25">
        <v>0</v>
      </c>
      <c r="X873" s="25">
        <v>1</v>
      </c>
      <c r="Y873" s="25">
        <v>0</v>
      </c>
      <c r="Z873" s="25">
        <v>0</v>
      </c>
      <c r="AA873" s="25">
        <v>0</v>
      </c>
      <c r="AB873" s="25">
        <v>0</v>
      </c>
      <c r="AC873" s="25">
        <v>0</v>
      </c>
      <c r="AD873" s="25">
        <v>0</v>
      </c>
      <c r="AE873" s="25">
        <v>1</v>
      </c>
      <c r="AF873" s="25" t="s">
        <v>131</v>
      </c>
    </row>
    <row r="874" spans="1:32" s="25" customFormat="1" x14ac:dyDescent="0.25">
      <c r="A874" s="25" t="s">
        <v>186</v>
      </c>
      <c r="B874" s="25">
        <f t="shared" si="27"/>
        <v>6290</v>
      </c>
      <c r="C874" s="25" t="s">
        <v>12</v>
      </c>
      <c r="D874" s="25">
        <v>0</v>
      </c>
      <c r="E874" s="25">
        <v>0</v>
      </c>
      <c r="F874" s="25">
        <v>256</v>
      </c>
      <c r="G874" s="25">
        <v>222</v>
      </c>
      <c r="H874" s="27">
        <v>0</v>
      </c>
      <c r="I874" s="27">
        <v>0</v>
      </c>
      <c r="J874" s="27">
        <v>0</v>
      </c>
      <c r="K874" s="27">
        <v>0</v>
      </c>
      <c r="L874" s="27">
        <v>1</v>
      </c>
      <c r="M874" s="27">
        <v>0</v>
      </c>
      <c r="N874" s="27">
        <v>0</v>
      </c>
      <c r="O874" s="27">
        <v>0</v>
      </c>
      <c r="P874" s="25">
        <v>700</v>
      </c>
      <c r="Q874" s="25">
        <v>560</v>
      </c>
      <c r="R874" s="25" t="s">
        <v>87</v>
      </c>
      <c r="S874" s="25" t="s">
        <v>89</v>
      </c>
      <c r="T874" s="25">
        <v>0</v>
      </c>
      <c r="U874" s="25">
        <v>0</v>
      </c>
      <c r="V874" s="25">
        <v>0</v>
      </c>
      <c r="W874" s="25">
        <v>0</v>
      </c>
      <c r="X874" s="25">
        <v>1</v>
      </c>
      <c r="Y874" s="25">
        <v>0</v>
      </c>
      <c r="Z874" s="25">
        <v>0</v>
      </c>
      <c r="AA874" s="25">
        <v>0</v>
      </c>
      <c r="AB874" s="25">
        <v>0</v>
      </c>
      <c r="AC874" s="25">
        <v>0</v>
      </c>
      <c r="AD874" s="25">
        <v>0</v>
      </c>
      <c r="AE874" s="25">
        <v>1</v>
      </c>
      <c r="AF874" s="25" t="s">
        <v>131</v>
      </c>
    </row>
    <row r="875" spans="1:32" s="25" customFormat="1" x14ac:dyDescent="0.25">
      <c r="A875" s="25" t="s">
        <v>186</v>
      </c>
      <c r="B875" s="25">
        <f t="shared" si="27"/>
        <v>6300</v>
      </c>
      <c r="C875" s="25" t="s">
        <v>12</v>
      </c>
      <c r="D875" s="25">
        <v>0</v>
      </c>
      <c r="E875" s="25">
        <v>0</v>
      </c>
      <c r="F875" s="25">
        <v>256</v>
      </c>
      <c r="G875" s="25">
        <v>222</v>
      </c>
      <c r="H875" s="27">
        <v>0</v>
      </c>
      <c r="I875" s="27">
        <v>0</v>
      </c>
      <c r="J875" s="27">
        <v>0</v>
      </c>
      <c r="K875" s="27">
        <v>0</v>
      </c>
      <c r="L875" s="27">
        <v>1</v>
      </c>
      <c r="M875" s="27">
        <v>0</v>
      </c>
      <c r="N875" s="27">
        <v>0</v>
      </c>
      <c r="O875" s="27">
        <v>0</v>
      </c>
      <c r="P875" s="25">
        <v>700</v>
      </c>
      <c r="Q875" s="25">
        <v>560</v>
      </c>
      <c r="R875" s="25" t="s">
        <v>87</v>
      </c>
      <c r="S875" s="25" t="s">
        <v>89</v>
      </c>
      <c r="T875" s="25">
        <v>0</v>
      </c>
      <c r="U875" s="25">
        <v>0</v>
      </c>
      <c r="V875" s="25">
        <v>0</v>
      </c>
      <c r="W875" s="25">
        <v>0</v>
      </c>
      <c r="X875" s="25">
        <v>1</v>
      </c>
      <c r="Y875" s="25">
        <v>0</v>
      </c>
      <c r="Z875" s="25">
        <v>0</v>
      </c>
      <c r="AA875" s="25">
        <v>0</v>
      </c>
      <c r="AB875" s="25">
        <v>0</v>
      </c>
      <c r="AC875" s="25">
        <v>0</v>
      </c>
      <c r="AD875" s="25">
        <v>0</v>
      </c>
      <c r="AE875" s="25">
        <v>1</v>
      </c>
      <c r="AF875" s="25" t="s">
        <v>131</v>
      </c>
    </row>
    <row r="876" spans="1:32" s="25" customFormat="1" x14ac:dyDescent="0.25">
      <c r="A876" s="25" t="s">
        <v>186</v>
      </c>
      <c r="B876" s="25">
        <f t="shared" si="27"/>
        <v>6310</v>
      </c>
      <c r="C876" s="25" t="s">
        <v>12</v>
      </c>
      <c r="D876" s="25">
        <v>0</v>
      </c>
      <c r="E876" s="25">
        <v>0</v>
      </c>
      <c r="F876" s="25">
        <v>256</v>
      </c>
      <c r="G876" s="25">
        <v>222</v>
      </c>
      <c r="H876" s="27">
        <v>0</v>
      </c>
      <c r="I876" s="27">
        <v>0</v>
      </c>
      <c r="J876" s="27">
        <v>0</v>
      </c>
      <c r="K876" s="27">
        <v>0</v>
      </c>
      <c r="L876" s="27">
        <v>1</v>
      </c>
      <c r="M876" s="27">
        <v>0</v>
      </c>
      <c r="N876" s="27">
        <v>0</v>
      </c>
      <c r="O876" s="27">
        <v>0</v>
      </c>
      <c r="P876" s="25">
        <v>700</v>
      </c>
      <c r="Q876" s="25">
        <v>560</v>
      </c>
      <c r="R876" s="25" t="s">
        <v>87</v>
      </c>
      <c r="S876" s="25" t="s">
        <v>89</v>
      </c>
      <c r="T876" s="25">
        <v>0</v>
      </c>
      <c r="U876" s="25">
        <v>0</v>
      </c>
      <c r="V876" s="25">
        <v>0</v>
      </c>
      <c r="W876" s="25">
        <v>0</v>
      </c>
      <c r="X876" s="25">
        <v>1</v>
      </c>
      <c r="Y876" s="25">
        <v>0</v>
      </c>
      <c r="Z876" s="25">
        <v>0</v>
      </c>
      <c r="AA876" s="25">
        <v>0</v>
      </c>
      <c r="AB876" s="25">
        <v>0</v>
      </c>
      <c r="AC876" s="25">
        <v>0</v>
      </c>
      <c r="AD876" s="25">
        <v>0</v>
      </c>
      <c r="AE876" s="25">
        <v>1</v>
      </c>
      <c r="AF876" s="25" t="s">
        <v>131</v>
      </c>
    </row>
    <row r="877" spans="1:32" s="25" customFormat="1" x14ac:dyDescent="0.25">
      <c r="A877" s="25" t="s">
        <v>186</v>
      </c>
      <c r="B877" s="25">
        <f t="shared" si="27"/>
        <v>6320</v>
      </c>
      <c r="C877" s="25" t="s">
        <v>12</v>
      </c>
      <c r="D877" s="25">
        <v>0</v>
      </c>
      <c r="E877" s="25">
        <v>0</v>
      </c>
      <c r="F877" s="25">
        <v>256</v>
      </c>
      <c r="G877" s="25">
        <v>222</v>
      </c>
      <c r="H877" s="27">
        <v>0</v>
      </c>
      <c r="I877" s="27">
        <v>0</v>
      </c>
      <c r="J877" s="27">
        <v>0</v>
      </c>
      <c r="K877" s="27">
        <v>0</v>
      </c>
      <c r="L877" s="27">
        <v>1</v>
      </c>
      <c r="M877" s="27">
        <v>0</v>
      </c>
      <c r="N877" s="27">
        <v>0</v>
      </c>
      <c r="O877" s="27">
        <v>0</v>
      </c>
      <c r="P877" s="25">
        <v>700</v>
      </c>
      <c r="Q877" s="25">
        <v>560</v>
      </c>
      <c r="R877" s="25" t="s">
        <v>87</v>
      </c>
      <c r="S877" s="25" t="s">
        <v>89</v>
      </c>
      <c r="T877" s="25">
        <v>0</v>
      </c>
      <c r="U877" s="25">
        <v>0</v>
      </c>
      <c r="V877" s="25">
        <v>0</v>
      </c>
      <c r="W877" s="25">
        <v>0</v>
      </c>
      <c r="X877" s="25">
        <v>1</v>
      </c>
      <c r="Y877" s="25">
        <v>0</v>
      </c>
      <c r="Z877" s="25">
        <v>0</v>
      </c>
      <c r="AA877" s="25">
        <v>0</v>
      </c>
      <c r="AB877" s="25">
        <v>0</v>
      </c>
      <c r="AC877" s="25">
        <v>0</v>
      </c>
      <c r="AD877" s="25">
        <v>0</v>
      </c>
      <c r="AE877" s="25">
        <v>1</v>
      </c>
      <c r="AF877" s="25" t="s">
        <v>131</v>
      </c>
    </row>
    <row r="878" spans="1:32" s="25" customFormat="1" x14ac:dyDescent="0.25">
      <c r="A878" s="25" t="s">
        <v>186</v>
      </c>
      <c r="B878" s="25">
        <f t="shared" si="27"/>
        <v>6330</v>
      </c>
      <c r="C878" s="25" t="s">
        <v>12</v>
      </c>
      <c r="D878" s="25">
        <v>0</v>
      </c>
      <c r="E878" s="25">
        <v>0</v>
      </c>
      <c r="F878" s="25">
        <v>256</v>
      </c>
      <c r="G878" s="25">
        <v>222</v>
      </c>
      <c r="H878" s="27">
        <v>0</v>
      </c>
      <c r="I878" s="27">
        <v>0</v>
      </c>
      <c r="J878" s="27">
        <v>0</v>
      </c>
      <c r="K878" s="27">
        <v>0</v>
      </c>
      <c r="L878" s="27">
        <v>1</v>
      </c>
      <c r="M878" s="27">
        <v>0</v>
      </c>
      <c r="N878" s="27">
        <v>0</v>
      </c>
      <c r="O878" s="27">
        <v>0</v>
      </c>
      <c r="P878" s="25">
        <v>700</v>
      </c>
      <c r="Q878" s="25">
        <v>560</v>
      </c>
      <c r="R878" s="25" t="s">
        <v>87</v>
      </c>
      <c r="S878" s="25" t="s">
        <v>89</v>
      </c>
      <c r="T878" s="25">
        <v>0</v>
      </c>
      <c r="U878" s="25">
        <v>0</v>
      </c>
      <c r="V878" s="25">
        <v>0</v>
      </c>
      <c r="W878" s="25">
        <v>0</v>
      </c>
      <c r="X878" s="25">
        <v>1</v>
      </c>
      <c r="Y878" s="25">
        <v>0</v>
      </c>
      <c r="Z878" s="25">
        <v>0</v>
      </c>
      <c r="AA878" s="25">
        <v>0</v>
      </c>
      <c r="AB878" s="25">
        <v>0</v>
      </c>
      <c r="AC878" s="25">
        <v>0</v>
      </c>
      <c r="AD878" s="25">
        <v>0</v>
      </c>
      <c r="AE878" s="25">
        <v>1</v>
      </c>
      <c r="AF878" s="25" t="s">
        <v>131</v>
      </c>
    </row>
    <row r="879" spans="1:32" s="25" customFormat="1" x14ac:dyDescent="0.25">
      <c r="A879" s="25" t="s">
        <v>186</v>
      </c>
      <c r="B879" s="25">
        <f t="shared" si="27"/>
        <v>6340</v>
      </c>
      <c r="C879" s="25" t="s">
        <v>12</v>
      </c>
      <c r="D879" s="25">
        <v>0</v>
      </c>
      <c r="E879" s="25">
        <v>0</v>
      </c>
      <c r="F879" s="25">
        <v>256</v>
      </c>
      <c r="G879" s="25">
        <v>222</v>
      </c>
      <c r="H879" s="27">
        <v>0</v>
      </c>
      <c r="I879" s="27">
        <v>0</v>
      </c>
      <c r="J879" s="27">
        <v>0</v>
      </c>
      <c r="K879" s="27">
        <v>0</v>
      </c>
      <c r="L879" s="27">
        <v>1</v>
      </c>
      <c r="M879" s="27">
        <v>0</v>
      </c>
      <c r="N879" s="27">
        <v>0</v>
      </c>
      <c r="O879" s="27">
        <v>0</v>
      </c>
      <c r="P879" s="25">
        <v>700</v>
      </c>
      <c r="Q879" s="25">
        <v>560</v>
      </c>
      <c r="R879" s="25" t="s">
        <v>87</v>
      </c>
      <c r="S879" s="25" t="s">
        <v>89</v>
      </c>
      <c r="T879" s="25">
        <v>0</v>
      </c>
      <c r="U879" s="25">
        <v>0</v>
      </c>
      <c r="V879" s="25">
        <v>0</v>
      </c>
      <c r="W879" s="25">
        <v>0</v>
      </c>
      <c r="X879" s="25">
        <v>1</v>
      </c>
      <c r="Y879" s="25">
        <v>0</v>
      </c>
      <c r="Z879" s="25">
        <v>0</v>
      </c>
      <c r="AA879" s="25">
        <v>0</v>
      </c>
      <c r="AB879" s="25">
        <v>0</v>
      </c>
      <c r="AC879" s="25">
        <v>0</v>
      </c>
      <c r="AD879" s="25">
        <v>0</v>
      </c>
      <c r="AE879" s="25">
        <v>1</v>
      </c>
      <c r="AF879" s="25" t="s">
        <v>131</v>
      </c>
    </row>
    <row r="880" spans="1:32" s="25" customFormat="1" x14ac:dyDescent="0.25">
      <c r="A880" s="25" t="s">
        <v>186</v>
      </c>
      <c r="B880" s="25">
        <f t="shared" si="27"/>
        <v>6350</v>
      </c>
      <c r="C880" s="25" t="s">
        <v>12</v>
      </c>
      <c r="D880" s="25">
        <v>0</v>
      </c>
      <c r="E880" s="25">
        <v>0</v>
      </c>
      <c r="F880" s="25">
        <v>256</v>
      </c>
      <c r="G880" s="25">
        <v>222</v>
      </c>
      <c r="H880" s="27">
        <v>0</v>
      </c>
      <c r="I880" s="27">
        <v>0</v>
      </c>
      <c r="J880" s="27">
        <v>0</v>
      </c>
      <c r="K880" s="27">
        <v>0</v>
      </c>
      <c r="L880" s="27">
        <v>1</v>
      </c>
      <c r="M880" s="27">
        <v>0</v>
      </c>
      <c r="N880" s="27">
        <v>0</v>
      </c>
      <c r="O880" s="27">
        <v>0</v>
      </c>
      <c r="P880" s="25">
        <v>700</v>
      </c>
      <c r="Q880" s="25">
        <v>560</v>
      </c>
      <c r="R880" s="25" t="s">
        <v>87</v>
      </c>
      <c r="S880" s="25" t="s">
        <v>89</v>
      </c>
      <c r="T880" s="25">
        <v>0</v>
      </c>
      <c r="U880" s="25">
        <v>0</v>
      </c>
      <c r="V880" s="25">
        <v>0</v>
      </c>
      <c r="W880" s="25">
        <v>0</v>
      </c>
      <c r="X880" s="25">
        <v>1</v>
      </c>
      <c r="Y880" s="25">
        <v>0</v>
      </c>
      <c r="Z880" s="25">
        <v>0</v>
      </c>
      <c r="AA880" s="25">
        <v>0</v>
      </c>
      <c r="AB880" s="25">
        <v>0</v>
      </c>
      <c r="AC880" s="25">
        <v>0</v>
      </c>
      <c r="AD880" s="25">
        <v>0</v>
      </c>
      <c r="AE880" s="25">
        <v>1</v>
      </c>
      <c r="AF880" s="25" t="s">
        <v>131</v>
      </c>
    </row>
    <row r="881" spans="1:32" s="25" customFormat="1" x14ac:dyDescent="0.25">
      <c r="A881" s="25" t="s">
        <v>186</v>
      </c>
      <c r="B881" s="25">
        <f t="shared" si="27"/>
        <v>6360</v>
      </c>
      <c r="C881" s="25" t="s">
        <v>12</v>
      </c>
      <c r="D881" s="25">
        <v>0</v>
      </c>
      <c r="E881" s="25">
        <v>0</v>
      </c>
      <c r="F881" s="25">
        <v>256</v>
      </c>
      <c r="G881" s="25">
        <v>222</v>
      </c>
      <c r="H881" s="27">
        <v>0</v>
      </c>
      <c r="I881" s="27">
        <v>0</v>
      </c>
      <c r="J881" s="27">
        <v>0</v>
      </c>
      <c r="K881" s="27">
        <v>0</v>
      </c>
      <c r="L881" s="27">
        <v>1</v>
      </c>
      <c r="M881" s="27">
        <v>0</v>
      </c>
      <c r="N881" s="27">
        <v>0</v>
      </c>
      <c r="O881" s="27">
        <v>0</v>
      </c>
      <c r="P881" s="25">
        <v>700</v>
      </c>
      <c r="Q881" s="25">
        <v>560</v>
      </c>
      <c r="R881" s="25" t="s">
        <v>87</v>
      </c>
      <c r="S881" s="25" t="s">
        <v>89</v>
      </c>
      <c r="T881" s="25">
        <v>0</v>
      </c>
      <c r="U881" s="25">
        <v>0</v>
      </c>
      <c r="V881" s="25">
        <v>0</v>
      </c>
      <c r="W881" s="25">
        <v>0</v>
      </c>
      <c r="X881" s="25">
        <v>1</v>
      </c>
      <c r="Y881" s="25">
        <v>0</v>
      </c>
      <c r="Z881" s="25">
        <v>0</v>
      </c>
      <c r="AA881" s="25">
        <v>0</v>
      </c>
      <c r="AB881" s="25">
        <v>0</v>
      </c>
      <c r="AC881" s="25">
        <v>0</v>
      </c>
      <c r="AD881" s="25">
        <v>0</v>
      </c>
      <c r="AE881" s="25">
        <v>1</v>
      </c>
      <c r="AF881" s="25" t="s">
        <v>131</v>
      </c>
    </row>
    <row r="882" spans="1:32" s="25" customFormat="1" x14ac:dyDescent="0.25">
      <c r="A882" s="25" t="s">
        <v>186</v>
      </c>
      <c r="B882" s="25">
        <f t="shared" si="27"/>
        <v>6370</v>
      </c>
      <c r="C882" s="25" t="s">
        <v>12</v>
      </c>
      <c r="D882" s="25">
        <v>0</v>
      </c>
      <c r="E882" s="25">
        <v>0</v>
      </c>
      <c r="F882" s="25">
        <v>256</v>
      </c>
      <c r="G882" s="25">
        <v>222</v>
      </c>
      <c r="H882" s="27">
        <v>0</v>
      </c>
      <c r="I882" s="27">
        <v>0</v>
      </c>
      <c r="J882" s="27">
        <v>0</v>
      </c>
      <c r="K882" s="27">
        <v>0</v>
      </c>
      <c r="L882" s="27">
        <v>1</v>
      </c>
      <c r="M882" s="27">
        <v>0</v>
      </c>
      <c r="N882" s="27">
        <v>0</v>
      </c>
      <c r="O882" s="27">
        <v>0</v>
      </c>
      <c r="P882" s="25">
        <v>700</v>
      </c>
      <c r="Q882" s="25">
        <v>560</v>
      </c>
      <c r="R882" s="25" t="s">
        <v>87</v>
      </c>
      <c r="S882" s="25" t="s">
        <v>89</v>
      </c>
      <c r="T882" s="25">
        <v>0</v>
      </c>
      <c r="U882" s="25">
        <v>0</v>
      </c>
      <c r="V882" s="25">
        <v>0</v>
      </c>
      <c r="W882" s="25">
        <v>0</v>
      </c>
      <c r="X882" s="25">
        <v>1</v>
      </c>
      <c r="Y882" s="25">
        <v>0</v>
      </c>
      <c r="Z882" s="25">
        <v>0</v>
      </c>
      <c r="AA882" s="25">
        <v>0</v>
      </c>
      <c r="AB882" s="25">
        <v>0</v>
      </c>
      <c r="AC882" s="25">
        <v>0</v>
      </c>
      <c r="AD882" s="25">
        <v>0</v>
      </c>
      <c r="AE882" s="25">
        <v>1</v>
      </c>
      <c r="AF882" s="25" t="s">
        <v>131</v>
      </c>
    </row>
    <row r="883" spans="1:32" s="25" customFormat="1" x14ac:dyDescent="0.25">
      <c r="A883" s="25" t="s">
        <v>186</v>
      </c>
      <c r="B883" s="25">
        <f t="shared" si="27"/>
        <v>6380</v>
      </c>
      <c r="C883" s="25" t="s">
        <v>12</v>
      </c>
      <c r="D883" s="25">
        <v>0</v>
      </c>
      <c r="E883" s="25">
        <v>0</v>
      </c>
      <c r="F883" s="25">
        <v>256</v>
      </c>
      <c r="G883" s="25">
        <v>222</v>
      </c>
      <c r="H883" s="27">
        <v>0</v>
      </c>
      <c r="I883" s="27">
        <v>0</v>
      </c>
      <c r="J883" s="27">
        <v>0</v>
      </c>
      <c r="K883" s="27">
        <v>0</v>
      </c>
      <c r="L883" s="27">
        <v>1</v>
      </c>
      <c r="M883" s="27">
        <v>0</v>
      </c>
      <c r="N883" s="27">
        <v>0</v>
      </c>
      <c r="O883" s="27">
        <v>0</v>
      </c>
      <c r="P883" s="25">
        <v>700</v>
      </c>
      <c r="Q883" s="25">
        <v>560</v>
      </c>
      <c r="R883" s="25" t="s">
        <v>87</v>
      </c>
      <c r="S883" s="25" t="s">
        <v>89</v>
      </c>
      <c r="T883" s="25">
        <v>0</v>
      </c>
      <c r="U883" s="25">
        <v>0</v>
      </c>
      <c r="V883" s="25">
        <v>0</v>
      </c>
      <c r="W883" s="25">
        <v>0</v>
      </c>
      <c r="X883" s="25">
        <v>1</v>
      </c>
      <c r="Y883" s="25">
        <v>0</v>
      </c>
      <c r="Z883" s="25">
        <v>0</v>
      </c>
      <c r="AA883" s="25">
        <v>0</v>
      </c>
      <c r="AB883" s="25">
        <v>0</v>
      </c>
      <c r="AC883" s="25">
        <v>0</v>
      </c>
      <c r="AD883" s="25">
        <v>0</v>
      </c>
      <c r="AE883" s="25">
        <v>1</v>
      </c>
      <c r="AF883" s="25" t="s">
        <v>131</v>
      </c>
    </row>
    <row r="884" spans="1:32" s="25" customFormat="1" x14ac:dyDescent="0.25">
      <c r="A884" s="25" t="s">
        <v>186</v>
      </c>
      <c r="B884" s="25">
        <f t="shared" si="27"/>
        <v>6390</v>
      </c>
      <c r="C884" s="25" t="s">
        <v>12</v>
      </c>
      <c r="D884" s="25">
        <v>0</v>
      </c>
      <c r="E884" s="25">
        <v>0</v>
      </c>
      <c r="F884" s="25">
        <v>256</v>
      </c>
      <c r="G884" s="25">
        <v>222</v>
      </c>
      <c r="H884" s="27">
        <v>0</v>
      </c>
      <c r="I884" s="27">
        <v>0</v>
      </c>
      <c r="J884" s="27">
        <v>0</v>
      </c>
      <c r="K884" s="27">
        <v>0</v>
      </c>
      <c r="L884" s="27">
        <v>1</v>
      </c>
      <c r="M884" s="27">
        <v>0</v>
      </c>
      <c r="N884" s="27">
        <v>0</v>
      </c>
      <c r="O884" s="27">
        <v>0</v>
      </c>
      <c r="P884" s="25">
        <v>700</v>
      </c>
      <c r="Q884" s="25">
        <v>560</v>
      </c>
      <c r="R884" s="25" t="s">
        <v>87</v>
      </c>
      <c r="S884" s="25" t="s">
        <v>89</v>
      </c>
      <c r="T884" s="25">
        <v>0</v>
      </c>
      <c r="U884" s="25">
        <v>0</v>
      </c>
      <c r="V884" s="25">
        <v>0</v>
      </c>
      <c r="W884" s="25">
        <v>0</v>
      </c>
      <c r="X884" s="25">
        <v>1</v>
      </c>
      <c r="Y884" s="25">
        <v>0</v>
      </c>
      <c r="Z884" s="25">
        <v>0</v>
      </c>
      <c r="AA884" s="25">
        <v>0</v>
      </c>
      <c r="AB884" s="25">
        <v>0</v>
      </c>
      <c r="AC884" s="25">
        <v>0</v>
      </c>
      <c r="AD884" s="25">
        <v>0</v>
      </c>
      <c r="AE884" s="25">
        <v>1</v>
      </c>
      <c r="AF884" s="25" t="s">
        <v>131</v>
      </c>
    </row>
    <row r="885" spans="1:32" s="25" customFormat="1" x14ac:dyDescent="0.25">
      <c r="A885" s="25" t="s">
        <v>186</v>
      </c>
      <c r="B885" s="25">
        <f t="shared" si="27"/>
        <v>6400</v>
      </c>
      <c r="C885" s="25" t="s">
        <v>12</v>
      </c>
      <c r="D885" s="25">
        <v>0</v>
      </c>
      <c r="E885" s="25">
        <v>0</v>
      </c>
      <c r="F885" s="25">
        <v>256</v>
      </c>
      <c r="G885" s="25">
        <v>222</v>
      </c>
      <c r="H885" s="27">
        <v>0</v>
      </c>
      <c r="I885" s="27">
        <v>0</v>
      </c>
      <c r="J885" s="27">
        <v>0</v>
      </c>
      <c r="K885" s="27">
        <v>0</v>
      </c>
      <c r="L885" s="27">
        <v>1</v>
      </c>
      <c r="M885" s="27">
        <v>0</v>
      </c>
      <c r="N885" s="27">
        <v>0</v>
      </c>
      <c r="O885" s="27">
        <v>0</v>
      </c>
      <c r="P885" s="25">
        <v>700</v>
      </c>
      <c r="Q885" s="25">
        <v>560</v>
      </c>
      <c r="R885" s="25" t="s">
        <v>87</v>
      </c>
      <c r="S885" s="25" t="s">
        <v>89</v>
      </c>
      <c r="T885" s="25">
        <v>0</v>
      </c>
      <c r="U885" s="25">
        <v>0</v>
      </c>
      <c r="V885" s="25">
        <v>0</v>
      </c>
      <c r="W885" s="25">
        <v>0</v>
      </c>
      <c r="X885" s="25">
        <v>1</v>
      </c>
      <c r="Y885" s="25">
        <v>0</v>
      </c>
      <c r="Z885" s="25">
        <v>0</v>
      </c>
      <c r="AA885" s="25">
        <v>0</v>
      </c>
      <c r="AB885" s="25">
        <v>0</v>
      </c>
      <c r="AC885" s="25">
        <v>0</v>
      </c>
      <c r="AD885" s="25">
        <v>0</v>
      </c>
      <c r="AE885" s="25">
        <v>1</v>
      </c>
      <c r="AF885" s="25" t="s">
        <v>131</v>
      </c>
    </row>
    <row r="886" spans="1:32" s="25" customFormat="1" x14ac:dyDescent="0.25">
      <c r="A886" s="25" t="s">
        <v>186</v>
      </c>
      <c r="B886" s="25">
        <f t="shared" si="27"/>
        <v>6410</v>
      </c>
      <c r="C886" s="25" t="s">
        <v>12</v>
      </c>
      <c r="D886" s="25">
        <v>0</v>
      </c>
      <c r="E886" s="25">
        <v>0</v>
      </c>
      <c r="F886" s="25">
        <v>256</v>
      </c>
      <c r="G886" s="25">
        <v>222</v>
      </c>
      <c r="H886" s="27">
        <v>0</v>
      </c>
      <c r="I886" s="27">
        <v>0</v>
      </c>
      <c r="J886" s="27">
        <v>0</v>
      </c>
      <c r="K886" s="27">
        <v>0</v>
      </c>
      <c r="L886" s="27">
        <v>1</v>
      </c>
      <c r="M886" s="27">
        <v>0</v>
      </c>
      <c r="N886" s="27">
        <v>0</v>
      </c>
      <c r="O886" s="27">
        <v>0</v>
      </c>
      <c r="P886" s="25">
        <v>700</v>
      </c>
      <c r="Q886" s="25">
        <v>560</v>
      </c>
      <c r="R886" s="25" t="s">
        <v>87</v>
      </c>
      <c r="S886" s="25" t="s">
        <v>89</v>
      </c>
      <c r="T886" s="25">
        <v>0</v>
      </c>
      <c r="U886" s="25">
        <v>0</v>
      </c>
      <c r="V886" s="25">
        <v>0</v>
      </c>
      <c r="W886" s="25">
        <v>0</v>
      </c>
      <c r="X886" s="25">
        <v>1</v>
      </c>
      <c r="Y886" s="25">
        <v>0</v>
      </c>
      <c r="Z886" s="25">
        <v>0</v>
      </c>
      <c r="AA886" s="25">
        <v>0</v>
      </c>
      <c r="AB886" s="25">
        <v>0</v>
      </c>
      <c r="AC886" s="25">
        <v>0</v>
      </c>
      <c r="AD886" s="25">
        <v>0</v>
      </c>
      <c r="AE886" s="25">
        <v>1</v>
      </c>
      <c r="AF886" s="25" t="s">
        <v>131</v>
      </c>
    </row>
    <row r="887" spans="1:32" s="25" customFormat="1" x14ac:dyDescent="0.25">
      <c r="A887" s="25" t="s">
        <v>186</v>
      </c>
      <c r="B887" s="25">
        <f t="shared" si="27"/>
        <v>6420</v>
      </c>
      <c r="C887" s="25" t="s">
        <v>12</v>
      </c>
      <c r="D887" s="25">
        <v>0</v>
      </c>
      <c r="E887" s="25">
        <v>0</v>
      </c>
      <c r="F887" s="25">
        <v>256</v>
      </c>
      <c r="G887" s="25">
        <v>222</v>
      </c>
      <c r="H887" s="27">
        <v>0</v>
      </c>
      <c r="I887" s="27">
        <v>0</v>
      </c>
      <c r="J887" s="27">
        <v>0</v>
      </c>
      <c r="K887" s="27">
        <v>0</v>
      </c>
      <c r="L887" s="27">
        <v>1</v>
      </c>
      <c r="M887" s="27">
        <v>0</v>
      </c>
      <c r="N887" s="27">
        <v>0</v>
      </c>
      <c r="O887" s="27">
        <v>0</v>
      </c>
      <c r="P887" s="25">
        <v>700</v>
      </c>
      <c r="Q887" s="25">
        <v>560</v>
      </c>
      <c r="R887" s="25" t="s">
        <v>87</v>
      </c>
      <c r="S887" s="25" t="s">
        <v>89</v>
      </c>
      <c r="T887" s="25">
        <v>0</v>
      </c>
      <c r="U887" s="25">
        <v>0</v>
      </c>
      <c r="V887" s="25">
        <v>0</v>
      </c>
      <c r="W887" s="25">
        <v>0</v>
      </c>
      <c r="X887" s="25">
        <v>1</v>
      </c>
      <c r="Y887" s="25">
        <v>0</v>
      </c>
      <c r="Z887" s="25">
        <v>0</v>
      </c>
      <c r="AA887" s="25">
        <v>0</v>
      </c>
      <c r="AB887" s="25">
        <v>0</v>
      </c>
      <c r="AC887" s="25">
        <v>0</v>
      </c>
      <c r="AD887" s="25">
        <v>0</v>
      </c>
      <c r="AE887" s="25">
        <v>1</v>
      </c>
      <c r="AF887" s="25" t="s">
        <v>131</v>
      </c>
    </row>
    <row r="888" spans="1:32" s="25" customFormat="1" x14ac:dyDescent="0.25">
      <c r="A888" s="25" t="s">
        <v>186</v>
      </c>
      <c r="B888" s="25">
        <f t="shared" si="27"/>
        <v>6430</v>
      </c>
      <c r="C888" s="25" t="s">
        <v>12</v>
      </c>
      <c r="D888" s="25">
        <v>0</v>
      </c>
      <c r="E888" s="25">
        <v>0</v>
      </c>
      <c r="F888" s="25">
        <v>256</v>
      </c>
      <c r="G888" s="25">
        <v>222</v>
      </c>
      <c r="H888" s="27">
        <v>0</v>
      </c>
      <c r="I888" s="27">
        <v>0</v>
      </c>
      <c r="J888" s="27">
        <v>0</v>
      </c>
      <c r="K888" s="27">
        <v>0</v>
      </c>
      <c r="L888" s="27">
        <v>1</v>
      </c>
      <c r="M888" s="27">
        <v>0</v>
      </c>
      <c r="N888" s="27">
        <v>0</v>
      </c>
      <c r="O888" s="27">
        <v>0</v>
      </c>
      <c r="P888" s="25">
        <v>700</v>
      </c>
      <c r="Q888" s="25">
        <v>560</v>
      </c>
      <c r="R888" s="25" t="s">
        <v>87</v>
      </c>
      <c r="S888" s="25" t="s">
        <v>89</v>
      </c>
      <c r="T888" s="25">
        <v>0</v>
      </c>
      <c r="U888" s="25">
        <v>0</v>
      </c>
      <c r="V888" s="25">
        <v>0</v>
      </c>
      <c r="W888" s="25">
        <v>0</v>
      </c>
      <c r="X888" s="25">
        <v>1</v>
      </c>
      <c r="Y888" s="25">
        <v>0</v>
      </c>
      <c r="Z888" s="25">
        <v>0</v>
      </c>
      <c r="AA888" s="25">
        <v>0</v>
      </c>
      <c r="AB888" s="25">
        <v>0</v>
      </c>
      <c r="AC888" s="25">
        <v>0</v>
      </c>
      <c r="AD888" s="25">
        <v>0</v>
      </c>
      <c r="AE888" s="25">
        <v>1</v>
      </c>
      <c r="AF888" s="25" t="s">
        <v>131</v>
      </c>
    </row>
    <row r="889" spans="1:32" s="25" customFormat="1" x14ac:dyDescent="0.25">
      <c r="A889" s="25" t="s">
        <v>186</v>
      </c>
      <c r="B889" s="25">
        <f t="shared" si="27"/>
        <v>6440</v>
      </c>
      <c r="C889" s="25" t="s">
        <v>12</v>
      </c>
      <c r="D889" s="25">
        <v>0</v>
      </c>
      <c r="E889" s="25">
        <v>0</v>
      </c>
      <c r="F889" s="25">
        <v>256</v>
      </c>
      <c r="G889" s="25">
        <v>222</v>
      </c>
      <c r="H889" s="27">
        <v>0</v>
      </c>
      <c r="I889" s="27">
        <v>0</v>
      </c>
      <c r="J889" s="27">
        <v>0</v>
      </c>
      <c r="K889" s="27">
        <v>0</v>
      </c>
      <c r="L889" s="27">
        <v>1</v>
      </c>
      <c r="M889" s="27">
        <v>0</v>
      </c>
      <c r="N889" s="27">
        <v>0</v>
      </c>
      <c r="O889" s="27">
        <v>0</v>
      </c>
      <c r="P889" s="25">
        <v>700</v>
      </c>
      <c r="Q889" s="25">
        <v>560</v>
      </c>
      <c r="R889" s="25" t="s">
        <v>87</v>
      </c>
      <c r="S889" s="25" t="s">
        <v>89</v>
      </c>
      <c r="T889" s="25">
        <v>0</v>
      </c>
      <c r="U889" s="25">
        <v>0</v>
      </c>
      <c r="V889" s="25">
        <v>0</v>
      </c>
      <c r="W889" s="25">
        <v>0</v>
      </c>
      <c r="X889" s="25">
        <v>1</v>
      </c>
      <c r="Y889" s="25">
        <v>0</v>
      </c>
      <c r="Z889" s="25">
        <v>0</v>
      </c>
      <c r="AA889" s="25">
        <v>0</v>
      </c>
      <c r="AB889" s="25">
        <v>0</v>
      </c>
      <c r="AC889" s="25">
        <v>0</v>
      </c>
      <c r="AD889" s="25">
        <v>0</v>
      </c>
      <c r="AE889" s="25">
        <v>1</v>
      </c>
      <c r="AF889" s="25" t="s">
        <v>131</v>
      </c>
    </row>
    <row r="890" spans="1:32" s="25" customFormat="1" x14ac:dyDescent="0.25">
      <c r="A890" s="25" t="s">
        <v>186</v>
      </c>
      <c r="B890" s="25">
        <f t="shared" si="27"/>
        <v>6450</v>
      </c>
      <c r="C890" s="25" t="s">
        <v>12</v>
      </c>
      <c r="D890" s="25">
        <v>0</v>
      </c>
      <c r="E890" s="25">
        <v>0</v>
      </c>
      <c r="F890" s="25">
        <v>256</v>
      </c>
      <c r="G890" s="25">
        <v>222</v>
      </c>
      <c r="H890" s="27">
        <v>0</v>
      </c>
      <c r="I890" s="27">
        <v>0</v>
      </c>
      <c r="J890" s="27">
        <v>0</v>
      </c>
      <c r="K890" s="27">
        <v>0</v>
      </c>
      <c r="L890" s="27">
        <v>1</v>
      </c>
      <c r="M890" s="27">
        <v>0</v>
      </c>
      <c r="N890" s="27">
        <v>0</v>
      </c>
      <c r="O890" s="27">
        <v>0</v>
      </c>
      <c r="P890" s="25">
        <v>700</v>
      </c>
      <c r="Q890" s="25">
        <v>560</v>
      </c>
      <c r="R890" s="25" t="s">
        <v>87</v>
      </c>
      <c r="S890" s="25" t="s">
        <v>89</v>
      </c>
      <c r="T890" s="25">
        <v>0</v>
      </c>
      <c r="U890" s="25">
        <v>0</v>
      </c>
      <c r="V890" s="25">
        <v>0</v>
      </c>
      <c r="W890" s="25">
        <v>0</v>
      </c>
      <c r="X890" s="25">
        <v>1</v>
      </c>
      <c r="Y890" s="25">
        <v>0</v>
      </c>
      <c r="Z890" s="25">
        <v>0</v>
      </c>
      <c r="AA890" s="25">
        <v>0</v>
      </c>
      <c r="AB890" s="25">
        <v>0</v>
      </c>
      <c r="AC890" s="25">
        <v>0</v>
      </c>
      <c r="AD890" s="25">
        <v>0</v>
      </c>
      <c r="AE890" s="25">
        <v>1</v>
      </c>
      <c r="AF890" s="25" t="s">
        <v>131</v>
      </c>
    </row>
    <row r="891" spans="1:32" s="25" customFormat="1" x14ac:dyDescent="0.25">
      <c r="A891" s="25" t="s">
        <v>186</v>
      </c>
      <c r="B891" s="25">
        <f t="shared" si="27"/>
        <v>6460</v>
      </c>
      <c r="C891" s="25" t="s">
        <v>12</v>
      </c>
      <c r="D891" s="25">
        <v>0</v>
      </c>
      <c r="E891" s="25">
        <v>0</v>
      </c>
      <c r="F891" s="25">
        <v>256</v>
      </c>
      <c r="G891" s="25">
        <v>222</v>
      </c>
      <c r="H891" s="27">
        <v>0</v>
      </c>
      <c r="I891" s="27">
        <v>0</v>
      </c>
      <c r="J891" s="27">
        <v>0</v>
      </c>
      <c r="K891" s="27">
        <v>0</v>
      </c>
      <c r="L891" s="27">
        <v>1</v>
      </c>
      <c r="M891" s="27">
        <v>0</v>
      </c>
      <c r="N891" s="27">
        <v>0</v>
      </c>
      <c r="O891" s="27">
        <v>0</v>
      </c>
      <c r="P891" s="25">
        <v>700</v>
      </c>
      <c r="Q891" s="25">
        <v>560</v>
      </c>
      <c r="R891" s="25" t="s">
        <v>87</v>
      </c>
      <c r="S891" s="25" t="s">
        <v>89</v>
      </c>
      <c r="T891" s="25">
        <v>0</v>
      </c>
      <c r="U891" s="25">
        <v>0</v>
      </c>
      <c r="V891" s="25">
        <v>0</v>
      </c>
      <c r="W891" s="25">
        <v>0</v>
      </c>
      <c r="X891" s="25">
        <v>1</v>
      </c>
      <c r="Y891" s="25">
        <v>0</v>
      </c>
      <c r="Z891" s="25">
        <v>0</v>
      </c>
      <c r="AA891" s="25">
        <v>0</v>
      </c>
      <c r="AB891" s="25">
        <v>0</v>
      </c>
      <c r="AC891" s="25">
        <v>0</v>
      </c>
      <c r="AD891" s="25">
        <v>0</v>
      </c>
      <c r="AE891" s="25">
        <v>1</v>
      </c>
      <c r="AF891" s="25" t="s">
        <v>131</v>
      </c>
    </row>
    <row r="892" spans="1:32" s="25" customFormat="1" x14ac:dyDescent="0.25">
      <c r="A892" s="25" t="s">
        <v>186</v>
      </c>
      <c r="B892" s="25">
        <f t="shared" si="27"/>
        <v>6470</v>
      </c>
      <c r="C892" s="25" t="s">
        <v>12</v>
      </c>
      <c r="D892" s="25">
        <v>0</v>
      </c>
      <c r="E892" s="25">
        <v>0</v>
      </c>
      <c r="F892" s="25">
        <v>256</v>
      </c>
      <c r="G892" s="25">
        <v>222</v>
      </c>
      <c r="H892" s="27">
        <v>0</v>
      </c>
      <c r="I892" s="27">
        <v>0</v>
      </c>
      <c r="J892" s="27">
        <v>0</v>
      </c>
      <c r="K892" s="27">
        <v>0</v>
      </c>
      <c r="L892" s="27">
        <v>1</v>
      </c>
      <c r="M892" s="27">
        <v>0</v>
      </c>
      <c r="N892" s="27">
        <v>0</v>
      </c>
      <c r="O892" s="27">
        <v>0</v>
      </c>
      <c r="P892" s="25">
        <v>700</v>
      </c>
      <c r="Q892" s="25">
        <v>560</v>
      </c>
      <c r="R892" s="25" t="s">
        <v>87</v>
      </c>
      <c r="S892" s="25" t="s">
        <v>89</v>
      </c>
      <c r="T892" s="25">
        <v>0</v>
      </c>
      <c r="U892" s="25">
        <v>0</v>
      </c>
      <c r="V892" s="25">
        <v>0</v>
      </c>
      <c r="W892" s="25">
        <v>0</v>
      </c>
      <c r="X892" s="25">
        <v>1</v>
      </c>
      <c r="Y892" s="25">
        <v>0</v>
      </c>
      <c r="Z892" s="25">
        <v>0</v>
      </c>
      <c r="AA892" s="25">
        <v>0</v>
      </c>
      <c r="AB892" s="25">
        <v>0</v>
      </c>
      <c r="AC892" s="25">
        <v>0</v>
      </c>
      <c r="AD892" s="25">
        <v>0</v>
      </c>
      <c r="AE892" s="25">
        <v>1</v>
      </c>
      <c r="AF892" s="25" t="s">
        <v>131</v>
      </c>
    </row>
    <row r="893" spans="1:32" s="25" customFormat="1" x14ac:dyDescent="0.25">
      <c r="A893" s="25" t="s">
        <v>186</v>
      </c>
      <c r="B893" s="25">
        <f t="shared" si="27"/>
        <v>6480</v>
      </c>
      <c r="C893" s="25" t="s">
        <v>12</v>
      </c>
      <c r="D893" s="25">
        <v>0</v>
      </c>
      <c r="E893" s="25">
        <v>0</v>
      </c>
      <c r="F893" s="25">
        <v>256</v>
      </c>
      <c r="G893" s="25">
        <v>222</v>
      </c>
      <c r="H893" s="27">
        <v>0</v>
      </c>
      <c r="I893" s="27">
        <v>0</v>
      </c>
      <c r="J893" s="27">
        <v>0</v>
      </c>
      <c r="K893" s="27">
        <v>0</v>
      </c>
      <c r="L893" s="27">
        <v>1</v>
      </c>
      <c r="M893" s="27">
        <v>0</v>
      </c>
      <c r="N893" s="27">
        <v>0</v>
      </c>
      <c r="O893" s="27">
        <v>0</v>
      </c>
      <c r="P893" s="25">
        <v>700</v>
      </c>
      <c r="Q893" s="25">
        <v>560</v>
      </c>
      <c r="R893" s="25" t="s">
        <v>87</v>
      </c>
      <c r="S893" s="25" t="s">
        <v>89</v>
      </c>
      <c r="T893" s="25">
        <v>0</v>
      </c>
      <c r="U893" s="25">
        <v>0</v>
      </c>
      <c r="V893" s="25">
        <v>0</v>
      </c>
      <c r="W893" s="25">
        <v>0</v>
      </c>
      <c r="X893" s="25">
        <v>1</v>
      </c>
      <c r="Y893" s="25">
        <v>0</v>
      </c>
      <c r="Z893" s="25">
        <v>0</v>
      </c>
      <c r="AA893" s="25">
        <v>0</v>
      </c>
      <c r="AB893" s="25">
        <v>0</v>
      </c>
      <c r="AC893" s="25">
        <v>0</v>
      </c>
      <c r="AD893" s="25">
        <v>0</v>
      </c>
      <c r="AE893" s="25">
        <v>1</v>
      </c>
      <c r="AF893" s="25" t="s">
        <v>131</v>
      </c>
    </row>
    <row r="894" spans="1:32" s="25" customFormat="1" x14ac:dyDescent="0.25">
      <c r="A894" s="25" t="s">
        <v>186</v>
      </c>
      <c r="B894" s="25">
        <f t="shared" si="27"/>
        <v>6490</v>
      </c>
      <c r="C894" s="25" t="s">
        <v>12</v>
      </c>
      <c r="D894" s="25">
        <v>0</v>
      </c>
      <c r="E894" s="25">
        <v>0</v>
      </c>
      <c r="F894" s="25">
        <v>256</v>
      </c>
      <c r="G894" s="25">
        <v>222</v>
      </c>
      <c r="H894" s="27">
        <v>0</v>
      </c>
      <c r="I894" s="27">
        <v>0</v>
      </c>
      <c r="J894" s="27">
        <v>0</v>
      </c>
      <c r="K894" s="27">
        <v>0</v>
      </c>
      <c r="L894" s="27">
        <v>1</v>
      </c>
      <c r="M894" s="27">
        <v>0</v>
      </c>
      <c r="N894" s="27">
        <v>0</v>
      </c>
      <c r="O894" s="27">
        <v>0</v>
      </c>
      <c r="P894" s="25">
        <v>700</v>
      </c>
      <c r="Q894" s="25">
        <v>560</v>
      </c>
      <c r="R894" s="25" t="s">
        <v>87</v>
      </c>
      <c r="S894" s="25" t="s">
        <v>89</v>
      </c>
      <c r="T894" s="25">
        <v>0</v>
      </c>
      <c r="U894" s="25">
        <v>0</v>
      </c>
      <c r="V894" s="25">
        <v>0</v>
      </c>
      <c r="W894" s="25">
        <v>0</v>
      </c>
      <c r="X894" s="25">
        <v>1</v>
      </c>
      <c r="Y894" s="25">
        <v>0</v>
      </c>
      <c r="Z894" s="25">
        <v>0</v>
      </c>
      <c r="AA894" s="25">
        <v>0</v>
      </c>
      <c r="AB894" s="25">
        <v>0</v>
      </c>
      <c r="AC894" s="25">
        <v>0</v>
      </c>
      <c r="AD894" s="25">
        <v>0</v>
      </c>
      <c r="AE894" s="25">
        <v>1</v>
      </c>
      <c r="AF894" s="25" t="s">
        <v>131</v>
      </c>
    </row>
    <row r="895" spans="1:32" s="25" customFormat="1" x14ac:dyDescent="0.25">
      <c r="A895" s="25" t="s">
        <v>186</v>
      </c>
      <c r="B895" s="25">
        <f t="shared" si="27"/>
        <v>6500</v>
      </c>
      <c r="C895" s="25" t="s">
        <v>12</v>
      </c>
      <c r="D895" s="25">
        <v>0</v>
      </c>
      <c r="E895" s="25">
        <v>0</v>
      </c>
      <c r="F895" s="25">
        <v>256</v>
      </c>
      <c r="G895" s="25">
        <v>222</v>
      </c>
      <c r="H895" s="27">
        <v>0</v>
      </c>
      <c r="I895" s="27">
        <v>0</v>
      </c>
      <c r="J895" s="27">
        <v>0</v>
      </c>
      <c r="K895" s="27">
        <v>0</v>
      </c>
      <c r="L895" s="27">
        <v>1</v>
      </c>
      <c r="M895" s="27">
        <v>0</v>
      </c>
      <c r="N895" s="27">
        <v>0</v>
      </c>
      <c r="O895" s="27">
        <v>0</v>
      </c>
      <c r="P895" s="25">
        <v>700</v>
      </c>
      <c r="Q895" s="25">
        <v>560</v>
      </c>
      <c r="R895" s="25" t="s">
        <v>87</v>
      </c>
      <c r="S895" s="25" t="s">
        <v>89</v>
      </c>
      <c r="T895" s="25">
        <v>0</v>
      </c>
      <c r="U895" s="25">
        <v>0</v>
      </c>
      <c r="V895" s="25">
        <v>0</v>
      </c>
      <c r="W895" s="25">
        <v>0</v>
      </c>
      <c r="X895" s="25">
        <v>1</v>
      </c>
      <c r="Y895" s="25">
        <v>0</v>
      </c>
      <c r="Z895" s="25">
        <v>0</v>
      </c>
      <c r="AA895" s="25">
        <v>0</v>
      </c>
      <c r="AB895" s="25">
        <v>0</v>
      </c>
      <c r="AC895" s="25">
        <v>0</v>
      </c>
      <c r="AD895" s="25">
        <v>0</v>
      </c>
      <c r="AE895" s="25">
        <v>1</v>
      </c>
      <c r="AF895" s="25" t="s">
        <v>131</v>
      </c>
    </row>
    <row r="896" spans="1:32" s="25" customFormat="1" x14ac:dyDescent="0.25">
      <c r="A896" s="25" t="s">
        <v>186</v>
      </c>
      <c r="B896" s="25">
        <f t="shared" si="27"/>
        <v>6510</v>
      </c>
      <c r="C896" s="25" t="s">
        <v>12</v>
      </c>
      <c r="D896" s="25">
        <v>0</v>
      </c>
      <c r="E896" s="25">
        <v>0</v>
      </c>
      <c r="F896" s="25">
        <v>256</v>
      </c>
      <c r="G896" s="25">
        <v>222</v>
      </c>
      <c r="H896" s="27">
        <v>0</v>
      </c>
      <c r="I896" s="27">
        <v>0</v>
      </c>
      <c r="J896" s="27">
        <v>0</v>
      </c>
      <c r="K896" s="27">
        <v>0</v>
      </c>
      <c r="L896" s="27">
        <v>1</v>
      </c>
      <c r="M896" s="27">
        <v>0</v>
      </c>
      <c r="N896" s="27">
        <v>0</v>
      </c>
      <c r="O896" s="27">
        <v>0</v>
      </c>
      <c r="P896" s="25">
        <v>700</v>
      </c>
      <c r="Q896" s="25">
        <v>560</v>
      </c>
      <c r="R896" s="25" t="s">
        <v>87</v>
      </c>
      <c r="S896" s="25" t="s">
        <v>89</v>
      </c>
      <c r="T896" s="25">
        <v>0</v>
      </c>
      <c r="U896" s="25">
        <v>0</v>
      </c>
      <c r="V896" s="25">
        <v>0</v>
      </c>
      <c r="W896" s="25">
        <v>0</v>
      </c>
      <c r="X896" s="25">
        <v>1</v>
      </c>
      <c r="Y896" s="25">
        <v>0</v>
      </c>
      <c r="Z896" s="25">
        <v>0</v>
      </c>
      <c r="AA896" s="25">
        <v>0</v>
      </c>
      <c r="AB896" s="25">
        <v>0</v>
      </c>
      <c r="AC896" s="25">
        <v>0</v>
      </c>
      <c r="AD896" s="25">
        <v>0</v>
      </c>
      <c r="AE896" s="25">
        <v>1</v>
      </c>
      <c r="AF896" s="25" t="s">
        <v>131</v>
      </c>
    </row>
    <row r="897" spans="1:32" s="25" customFormat="1" x14ac:dyDescent="0.25">
      <c r="A897" s="25" t="s">
        <v>186</v>
      </c>
      <c r="B897" s="25">
        <f t="shared" si="27"/>
        <v>6520</v>
      </c>
      <c r="C897" s="25" t="s">
        <v>12</v>
      </c>
      <c r="D897" s="25">
        <v>0</v>
      </c>
      <c r="E897" s="25">
        <v>0</v>
      </c>
      <c r="F897" s="25">
        <v>256</v>
      </c>
      <c r="G897" s="25">
        <v>222</v>
      </c>
      <c r="H897" s="27">
        <v>0</v>
      </c>
      <c r="I897" s="27">
        <v>0</v>
      </c>
      <c r="J897" s="27">
        <v>0</v>
      </c>
      <c r="K897" s="27">
        <v>0</v>
      </c>
      <c r="L897" s="27">
        <v>1</v>
      </c>
      <c r="M897" s="27">
        <v>0</v>
      </c>
      <c r="N897" s="27">
        <v>0</v>
      </c>
      <c r="O897" s="27">
        <v>0</v>
      </c>
      <c r="P897" s="25">
        <v>700</v>
      </c>
      <c r="Q897" s="25">
        <v>560</v>
      </c>
      <c r="R897" s="25" t="s">
        <v>87</v>
      </c>
      <c r="S897" s="25" t="s">
        <v>89</v>
      </c>
      <c r="T897" s="25">
        <v>0</v>
      </c>
      <c r="U897" s="25">
        <v>0</v>
      </c>
      <c r="V897" s="25">
        <v>0</v>
      </c>
      <c r="W897" s="25">
        <v>0</v>
      </c>
      <c r="X897" s="25">
        <v>1</v>
      </c>
      <c r="Y897" s="25">
        <v>0</v>
      </c>
      <c r="Z897" s="25">
        <v>0</v>
      </c>
      <c r="AA897" s="25">
        <v>0</v>
      </c>
      <c r="AB897" s="25">
        <v>0</v>
      </c>
      <c r="AC897" s="25">
        <v>0</v>
      </c>
      <c r="AD897" s="25">
        <v>0</v>
      </c>
      <c r="AE897" s="25">
        <v>1</v>
      </c>
      <c r="AF897" s="25" t="s">
        <v>131</v>
      </c>
    </row>
    <row r="898" spans="1:32" s="25" customFormat="1" x14ac:dyDescent="0.25">
      <c r="A898" s="25" t="s">
        <v>186</v>
      </c>
      <c r="B898" s="25">
        <f t="shared" si="27"/>
        <v>6530</v>
      </c>
      <c r="C898" s="25" t="s">
        <v>12</v>
      </c>
      <c r="D898" s="25">
        <v>0</v>
      </c>
      <c r="E898" s="25">
        <v>0</v>
      </c>
      <c r="F898" s="25">
        <v>256</v>
      </c>
      <c r="G898" s="25">
        <v>222</v>
      </c>
      <c r="H898" s="27">
        <v>0</v>
      </c>
      <c r="I898" s="27">
        <v>0</v>
      </c>
      <c r="J898" s="27">
        <v>0</v>
      </c>
      <c r="K898" s="27">
        <v>0</v>
      </c>
      <c r="L898" s="27">
        <v>1</v>
      </c>
      <c r="M898" s="27">
        <v>0</v>
      </c>
      <c r="N898" s="27">
        <v>0</v>
      </c>
      <c r="O898" s="27">
        <v>0</v>
      </c>
      <c r="P898" s="25">
        <v>700</v>
      </c>
      <c r="Q898" s="25">
        <v>560</v>
      </c>
      <c r="R898" s="25" t="s">
        <v>87</v>
      </c>
      <c r="S898" s="25" t="s">
        <v>89</v>
      </c>
      <c r="T898" s="25">
        <v>0</v>
      </c>
      <c r="U898" s="25">
        <v>0</v>
      </c>
      <c r="V898" s="25">
        <v>0</v>
      </c>
      <c r="W898" s="25">
        <v>0</v>
      </c>
      <c r="X898" s="25">
        <v>1</v>
      </c>
      <c r="Y898" s="25">
        <v>0</v>
      </c>
      <c r="Z898" s="25">
        <v>0</v>
      </c>
      <c r="AA898" s="25">
        <v>0</v>
      </c>
      <c r="AB898" s="25">
        <v>0</v>
      </c>
      <c r="AC898" s="25">
        <v>0</v>
      </c>
      <c r="AD898" s="25">
        <v>0</v>
      </c>
      <c r="AE898" s="25">
        <v>1</v>
      </c>
      <c r="AF898" s="25" t="s">
        <v>131</v>
      </c>
    </row>
    <row r="899" spans="1:32" s="25" customFormat="1" x14ac:dyDescent="0.25">
      <c r="A899" s="25" t="s">
        <v>186</v>
      </c>
      <c r="B899" s="25">
        <f t="shared" si="27"/>
        <v>6540</v>
      </c>
      <c r="C899" s="25" t="s">
        <v>12</v>
      </c>
      <c r="D899" s="25">
        <v>0</v>
      </c>
      <c r="E899" s="25">
        <v>0</v>
      </c>
      <c r="F899" s="25">
        <v>256</v>
      </c>
      <c r="G899" s="25">
        <v>222</v>
      </c>
      <c r="H899" s="27">
        <v>0</v>
      </c>
      <c r="I899" s="27">
        <v>0</v>
      </c>
      <c r="J899" s="27">
        <v>0</v>
      </c>
      <c r="K899" s="27">
        <v>0</v>
      </c>
      <c r="L899" s="27">
        <v>1</v>
      </c>
      <c r="M899" s="27">
        <v>0</v>
      </c>
      <c r="N899" s="27">
        <v>0</v>
      </c>
      <c r="O899" s="27">
        <v>0</v>
      </c>
      <c r="P899" s="25">
        <v>700</v>
      </c>
      <c r="Q899" s="25">
        <v>560</v>
      </c>
      <c r="R899" s="25" t="s">
        <v>87</v>
      </c>
      <c r="S899" s="25" t="s">
        <v>89</v>
      </c>
      <c r="T899" s="25">
        <v>0</v>
      </c>
      <c r="U899" s="25">
        <v>0</v>
      </c>
      <c r="V899" s="25">
        <v>0</v>
      </c>
      <c r="W899" s="25">
        <v>0</v>
      </c>
      <c r="X899" s="25">
        <v>1</v>
      </c>
      <c r="Y899" s="25">
        <v>0</v>
      </c>
      <c r="Z899" s="25">
        <v>0</v>
      </c>
      <c r="AA899" s="25">
        <v>0</v>
      </c>
      <c r="AB899" s="25">
        <v>0</v>
      </c>
      <c r="AC899" s="25">
        <v>0</v>
      </c>
      <c r="AD899" s="25">
        <v>0</v>
      </c>
      <c r="AE899" s="25">
        <v>1</v>
      </c>
      <c r="AF899" s="25" t="s">
        <v>131</v>
      </c>
    </row>
    <row r="900" spans="1:32" s="25" customFormat="1" x14ac:dyDescent="0.25">
      <c r="A900" s="25" t="s">
        <v>186</v>
      </c>
      <c r="B900" s="25">
        <f t="shared" si="27"/>
        <v>6550</v>
      </c>
      <c r="C900" s="25" t="s">
        <v>12</v>
      </c>
      <c r="D900" s="25">
        <v>0</v>
      </c>
      <c r="E900" s="25">
        <v>0</v>
      </c>
      <c r="F900" s="25">
        <v>256</v>
      </c>
      <c r="G900" s="25">
        <v>222</v>
      </c>
      <c r="H900" s="27">
        <v>0</v>
      </c>
      <c r="I900" s="27">
        <v>0</v>
      </c>
      <c r="J900" s="27">
        <v>0</v>
      </c>
      <c r="K900" s="27">
        <v>0</v>
      </c>
      <c r="L900" s="27">
        <v>1</v>
      </c>
      <c r="M900" s="27">
        <v>0</v>
      </c>
      <c r="N900" s="27">
        <v>0</v>
      </c>
      <c r="O900" s="27">
        <v>0</v>
      </c>
      <c r="P900" s="25">
        <v>700</v>
      </c>
      <c r="Q900" s="25">
        <v>560</v>
      </c>
      <c r="R900" s="25" t="s">
        <v>87</v>
      </c>
      <c r="S900" s="25" t="s">
        <v>89</v>
      </c>
      <c r="T900" s="25">
        <v>0</v>
      </c>
      <c r="U900" s="25">
        <v>0</v>
      </c>
      <c r="V900" s="25">
        <v>0</v>
      </c>
      <c r="W900" s="25">
        <v>0</v>
      </c>
      <c r="X900" s="25">
        <v>1</v>
      </c>
      <c r="Y900" s="25">
        <v>0</v>
      </c>
      <c r="Z900" s="25">
        <v>0</v>
      </c>
      <c r="AA900" s="25">
        <v>0</v>
      </c>
      <c r="AB900" s="25">
        <v>0</v>
      </c>
      <c r="AC900" s="25">
        <v>0</v>
      </c>
      <c r="AD900" s="25">
        <v>0</v>
      </c>
      <c r="AE900" s="25">
        <v>1</v>
      </c>
      <c r="AF900" s="25" t="s">
        <v>131</v>
      </c>
    </row>
    <row r="901" spans="1:32" s="25" customFormat="1" x14ac:dyDescent="0.25">
      <c r="A901" s="25" t="s">
        <v>186</v>
      </c>
      <c r="B901" s="25">
        <f t="shared" si="27"/>
        <v>6560</v>
      </c>
      <c r="C901" s="25" t="s">
        <v>12</v>
      </c>
      <c r="D901" s="25">
        <v>0</v>
      </c>
      <c r="E901" s="25">
        <v>0</v>
      </c>
      <c r="F901" s="25">
        <v>256</v>
      </c>
      <c r="G901" s="25">
        <v>222</v>
      </c>
      <c r="H901" s="27">
        <v>0</v>
      </c>
      <c r="I901" s="27">
        <v>0</v>
      </c>
      <c r="J901" s="27">
        <v>0</v>
      </c>
      <c r="K901" s="27">
        <v>0</v>
      </c>
      <c r="L901" s="27">
        <v>1</v>
      </c>
      <c r="M901" s="27">
        <v>0</v>
      </c>
      <c r="N901" s="27">
        <v>0</v>
      </c>
      <c r="O901" s="27">
        <v>0</v>
      </c>
      <c r="P901" s="25">
        <v>700</v>
      </c>
      <c r="Q901" s="25">
        <v>560</v>
      </c>
      <c r="R901" s="25" t="s">
        <v>87</v>
      </c>
      <c r="S901" s="25" t="s">
        <v>89</v>
      </c>
      <c r="T901" s="25">
        <v>0</v>
      </c>
      <c r="U901" s="25">
        <v>0</v>
      </c>
      <c r="V901" s="25">
        <v>0</v>
      </c>
      <c r="W901" s="25">
        <v>0</v>
      </c>
      <c r="X901" s="25">
        <v>1</v>
      </c>
      <c r="Y901" s="25">
        <v>0</v>
      </c>
      <c r="Z901" s="25">
        <v>0</v>
      </c>
      <c r="AA901" s="25">
        <v>0</v>
      </c>
      <c r="AB901" s="25">
        <v>0</v>
      </c>
      <c r="AC901" s="25">
        <v>0</v>
      </c>
      <c r="AD901" s="25">
        <v>0</v>
      </c>
      <c r="AE901" s="25">
        <v>1</v>
      </c>
      <c r="AF901" s="25" t="s">
        <v>131</v>
      </c>
    </row>
    <row r="902" spans="1:32" s="25" customFormat="1" x14ac:dyDescent="0.25">
      <c r="A902" s="25" t="s">
        <v>186</v>
      </c>
      <c r="B902" s="25">
        <f t="shared" si="27"/>
        <v>6570</v>
      </c>
      <c r="C902" s="25" t="s">
        <v>12</v>
      </c>
      <c r="D902" s="25">
        <v>0</v>
      </c>
      <c r="E902" s="25">
        <v>0</v>
      </c>
      <c r="F902" s="25">
        <v>256</v>
      </c>
      <c r="G902" s="25">
        <v>222</v>
      </c>
      <c r="H902" s="27">
        <v>0</v>
      </c>
      <c r="I902" s="27">
        <v>0</v>
      </c>
      <c r="J902" s="27">
        <v>0</v>
      </c>
      <c r="K902" s="27">
        <v>0</v>
      </c>
      <c r="L902" s="27">
        <v>1</v>
      </c>
      <c r="M902" s="27">
        <v>0</v>
      </c>
      <c r="N902" s="27">
        <v>0</v>
      </c>
      <c r="O902" s="27">
        <v>0</v>
      </c>
      <c r="P902" s="25">
        <v>700</v>
      </c>
      <c r="Q902" s="25">
        <v>560</v>
      </c>
      <c r="R902" s="25" t="s">
        <v>87</v>
      </c>
      <c r="S902" s="25" t="s">
        <v>89</v>
      </c>
      <c r="T902" s="25">
        <v>0</v>
      </c>
      <c r="U902" s="25">
        <v>0</v>
      </c>
      <c r="V902" s="25">
        <v>0</v>
      </c>
      <c r="W902" s="25">
        <v>0</v>
      </c>
      <c r="X902" s="25">
        <v>1</v>
      </c>
      <c r="Y902" s="25">
        <v>0</v>
      </c>
      <c r="Z902" s="25">
        <v>0</v>
      </c>
      <c r="AA902" s="25">
        <v>0</v>
      </c>
      <c r="AB902" s="25">
        <v>0</v>
      </c>
      <c r="AC902" s="25">
        <v>0</v>
      </c>
      <c r="AD902" s="25">
        <v>0</v>
      </c>
      <c r="AE902" s="25">
        <v>1</v>
      </c>
      <c r="AF902" s="25" t="s">
        <v>131</v>
      </c>
    </row>
    <row r="903" spans="1:32" s="25" customFormat="1" x14ac:dyDescent="0.25">
      <c r="A903" s="25" t="s">
        <v>186</v>
      </c>
      <c r="B903" s="25">
        <f t="shared" si="27"/>
        <v>6580</v>
      </c>
      <c r="C903" s="25" t="s">
        <v>12</v>
      </c>
      <c r="D903" s="25">
        <v>0</v>
      </c>
      <c r="E903" s="25">
        <v>0</v>
      </c>
      <c r="F903" s="25">
        <v>256</v>
      </c>
      <c r="G903" s="25">
        <v>222</v>
      </c>
      <c r="H903" s="27">
        <v>0</v>
      </c>
      <c r="I903" s="27">
        <v>0</v>
      </c>
      <c r="J903" s="27">
        <v>0</v>
      </c>
      <c r="K903" s="27">
        <v>0</v>
      </c>
      <c r="L903" s="27">
        <v>1</v>
      </c>
      <c r="M903" s="27">
        <v>0</v>
      </c>
      <c r="N903" s="27">
        <v>0</v>
      </c>
      <c r="O903" s="27">
        <v>0</v>
      </c>
      <c r="P903" s="25">
        <v>700</v>
      </c>
      <c r="Q903" s="25">
        <v>560</v>
      </c>
      <c r="R903" s="25" t="s">
        <v>87</v>
      </c>
      <c r="S903" s="25" t="s">
        <v>89</v>
      </c>
      <c r="T903" s="25">
        <v>0</v>
      </c>
      <c r="U903" s="25">
        <v>0</v>
      </c>
      <c r="V903" s="25">
        <v>0</v>
      </c>
      <c r="W903" s="25">
        <v>0</v>
      </c>
      <c r="X903" s="25">
        <v>1</v>
      </c>
      <c r="Y903" s="25">
        <v>0</v>
      </c>
      <c r="Z903" s="25">
        <v>0</v>
      </c>
      <c r="AA903" s="25">
        <v>0</v>
      </c>
      <c r="AB903" s="25">
        <v>0</v>
      </c>
      <c r="AC903" s="25">
        <v>0</v>
      </c>
      <c r="AD903" s="25">
        <v>0</v>
      </c>
      <c r="AE903" s="25">
        <v>1</v>
      </c>
      <c r="AF903" s="25" t="s">
        <v>131</v>
      </c>
    </row>
    <row r="904" spans="1:32" s="25" customFormat="1" x14ac:dyDescent="0.25">
      <c r="A904" s="25" t="s">
        <v>186</v>
      </c>
      <c r="B904" s="25">
        <f t="shared" si="27"/>
        <v>6590</v>
      </c>
      <c r="C904" s="25" t="s">
        <v>12</v>
      </c>
      <c r="D904" s="25">
        <v>0</v>
      </c>
      <c r="E904" s="25">
        <v>0</v>
      </c>
      <c r="F904" s="25">
        <v>256</v>
      </c>
      <c r="G904" s="25">
        <v>222</v>
      </c>
      <c r="H904" s="27">
        <v>0</v>
      </c>
      <c r="I904" s="27">
        <v>0</v>
      </c>
      <c r="J904" s="27">
        <v>0</v>
      </c>
      <c r="K904" s="27">
        <v>0</v>
      </c>
      <c r="L904" s="27">
        <v>1</v>
      </c>
      <c r="M904" s="27">
        <v>0</v>
      </c>
      <c r="N904" s="27">
        <v>0</v>
      </c>
      <c r="O904" s="27">
        <v>0</v>
      </c>
      <c r="P904" s="25">
        <v>700</v>
      </c>
      <c r="Q904" s="25">
        <v>560</v>
      </c>
      <c r="R904" s="25" t="s">
        <v>87</v>
      </c>
      <c r="S904" s="25" t="s">
        <v>89</v>
      </c>
      <c r="T904" s="25">
        <v>0</v>
      </c>
      <c r="U904" s="25">
        <v>0</v>
      </c>
      <c r="V904" s="25">
        <v>0</v>
      </c>
      <c r="W904" s="25">
        <v>0</v>
      </c>
      <c r="X904" s="25">
        <v>1</v>
      </c>
      <c r="Y904" s="25">
        <v>0</v>
      </c>
      <c r="Z904" s="25">
        <v>0</v>
      </c>
      <c r="AA904" s="25">
        <v>0</v>
      </c>
      <c r="AB904" s="25">
        <v>0</v>
      </c>
      <c r="AC904" s="25">
        <v>0</v>
      </c>
      <c r="AD904" s="25">
        <v>0</v>
      </c>
      <c r="AE904" s="25">
        <v>1</v>
      </c>
      <c r="AF904" s="25" t="s">
        <v>131</v>
      </c>
    </row>
    <row r="905" spans="1:32" x14ac:dyDescent="0.25">
      <c r="A905" t="s">
        <v>186</v>
      </c>
      <c r="B905" s="25">
        <f t="shared" si="27"/>
        <v>6600</v>
      </c>
      <c r="C905" t="s">
        <v>12</v>
      </c>
      <c r="D905">
        <v>0</v>
      </c>
      <c r="E905">
        <v>0</v>
      </c>
      <c r="F905">
        <v>256</v>
      </c>
      <c r="G905">
        <v>222</v>
      </c>
      <c r="H905" s="27">
        <v>0</v>
      </c>
      <c r="I905" s="27">
        <v>0</v>
      </c>
      <c r="J905" s="27">
        <v>0</v>
      </c>
      <c r="K905" s="27">
        <v>0</v>
      </c>
      <c r="L905" s="27">
        <v>1</v>
      </c>
      <c r="M905" s="27">
        <v>0</v>
      </c>
      <c r="N905" s="27">
        <v>0</v>
      </c>
      <c r="O905" s="27">
        <v>0</v>
      </c>
      <c r="P905">
        <v>700</v>
      </c>
      <c r="Q905">
        <v>560</v>
      </c>
      <c r="R905" t="s">
        <v>87</v>
      </c>
      <c r="S905" t="s">
        <v>89</v>
      </c>
      <c r="T905">
        <v>0</v>
      </c>
      <c r="U905">
        <v>0</v>
      </c>
      <c r="V905">
        <v>0</v>
      </c>
      <c r="W905">
        <v>0</v>
      </c>
      <c r="X905">
        <v>1</v>
      </c>
      <c r="Y905">
        <v>0</v>
      </c>
      <c r="Z905">
        <v>0</v>
      </c>
      <c r="AA905">
        <v>0</v>
      </c>
      <c r="AB905">
        <v>0</v>
      </c>
      <c r="AC905">
        <v>0</v>
      </c>
      <c r="AD905">
        <v>0</v>
      </c>
      <c r="AE905">
        <v>1</v>
      </c>
      <c r="AF905" t="s">
        <v>131</v>
      </c>
    </row>
    <row r="906" spans="1:32" x14ac:dyDescent="0.25">
      <c r="A906" t="s">
        <v>186</v>
      </c>
      <c r="B906" s="25">
        <f t="shared" si="27"/>
        <v>6610</v>
      </c>
      <c r="C906" t="s">
        <v>12</v>
      </c>
      <c r="D906" t="s">
        <v>13</v>
      </c>
      <c r="E906" t="s">
        <v>13</v>
      </c>
      <c r="F906" t="s">
        <v>13</v>
      </c>
      <c r="G906" t="s">
        <v>13</v>
      </c>
      <c r="H906" s="27" t="s">
        <v>13</v>
      </c>
      <c r="I906" s="27" t="s">
        <v>13</v>
      </c>
      <c r="J906" s="27" t="s">
        <v>13</v>
      </c>
      <c r="K906" s="27" t="s">
        <v>13</v>
      </c>
      <c r="L906" s="27" t="s">
        <v>13</v>
      </c>
      <c r="M906" s="27" t="s">
        <v>13</v>
      </c>
      <c r="N906" s="27" t="s">
        <v>13</v>
      </c>
      <c r="O906" s="27" t="s">
        <v>13</v>
      </c>
      <c r="P906">
        <v>700</v>
      </c>
      <c r="Q906">
        <v>560</v>
      </c>
      <c r="R906" t="s">
        <v>87</v>
      </c>
      <c r="S906" t="s">
        <v>89</v>
      </c>
      <c r="T906">
        <v>0</v>
      </c>
      <c r="U906">
        <v>0</v>
      </c>
      <c r="V906">
        <v>0</v>
      </c>
      <c r="W906">
        <v>0</v>
      </c>
      <c r="X906">
        <v>1</v>
      </c>
      <c r="Y906">
        <v>0</v>
      </c>
      <c r="Z906">
        <v>0</v>
      </c>
      <c r="AA906">
        <v>0</v>
      </c>
      <c r="AB906">
        <v>0</v>
      </c>
      <c r="AC906">
        <v>0</v>
      </c>
      <c r="AD906">
        <v>0</v>
      </c>
      <c r="AE906">
        <v>1</v>
      </c>
      <c r="AF906" t="s">
        <v>132</v>
      </c>
    </row>
    <row r="907" spans="1:32" x14ac:dyDescent="0.25">
      <c r="A907" t="s">
        <v>186</v>
      </c>
      <c r="B907" s="25">
        <f t="shared" si="27"/>
        <v>6620</v>
      </c>
      <c r="C907" t="s">
        <v>12</v>
      </c>
      <c r="D907">
        <v>0</v>
      </c>
      <c r="E907">
        <v>0</v>
      </c>
      <c r="F907">
        <v>256</v>
      </c>
      <c r="G907">
        <v>222</v>
      </c>
      <c r="H907" s="27">
        <v>0</v>
      </c>
      <c r="I907" s="27">
        <v>0</v>
      </c>
      <c r="J907" s="27">
        <v>0</v>
      </c>
      <c r="K907" s="27">
        <v>0</v>
      </c>
      <c r="L907" s="27">
        <v>1</v>
      </c>
      <c r="M907" s="27">
        <v>0</v>
      </c>
      <c r="N907" s="27">
        <v>0</v>
      </c>
      <c r="O907" s="27">
        <v>0</v>
      </c>
      <c r="P907">
        <v>700</v>
      </c>
      <c r="Q907">
        <v>560</v>
      </c>
      <c r="R907" t="s">
        <v>87</v>
      </c>
      <c r="S907" t="s">
        <v>89</v>
      </c>
      <c r="T907">
        <v>0</v>
      </c>
      <c r="U907">
        <v>0</v>
      </c>
      <c r="V907">
        <v>0</v>
      </c>
      <c r="W907">
        <v>0</v>
      </c>
      <c r="X907">
        <v>1</v>
      </c>
      <c r="Y907">
        <v>0</v>
      </c>
      <c r="Z907">
        <v>0</v>
      </c>
      <c r="AA907">
        <v>0</v>
      </c>
      <c r="AB907">
        <v>0</v>
      </c>
      <c r="AC907">
        <v>0</v>
      </c>
      <c r="AD907">
        <v>0</v>
      </c>
      <c r="AE907">
        <v>1</v>
      </c>
      <c r="AF907" t="s">
        <v>132</v>
      </c>
    </row>
    <row r="908" spans="1:32" s="25" customFormat="1" x14ac:dyDescent="0.25">
      <c r="A908" s="25" t="s">
        <v>186</v>
      </c>
      <c r="B908" s="25">
        <f t="shared" ref="B908:B960" si="28">B907+10</f>
        <v>6630</v>
      </c>
      <c r="C908" s="25" t="s">
        <v>12</v>
      </c>
      <c r="D908" s="25">
        <v>0</v>
      </c>
      <c r="E908" s="25">
        <v>0</v>
      </c>
      <c r="F908" s="25">
        <v>256</v>
      </c>
      <c r="G908" s="25">
        <v>222</v>
      </c>
      <c r="H908" s="27">
        <v>0</v>
      </c>
      <c r="I908" s="27">
        <v>0</v>
      </c>
      <c r="J908" s="27">
        <v>0</v>
      </c>
      <c r="K908" s="27">
        <v>0</v>
      </c>
      <c r="L908" s="27">
        <v>1</v>
      </c>
      <c r="M908" s="27">
        <v>0</v>
      </c>
      <c r="N908" s="27">
        <v>0</v>
      </c>
      <c r="O908" s="27">
        <v>0</v>
      </c>
      <c r="P908" s="25">
        <v>700</v>
      </c>
      <c r="Q908" s="25">
        <v>560</v>
      </c>
      <c r="R908" s="25" t="s">
        <v>87</v>
      </c>
      <c r="S908" s="25" t="s">
        <v>89</v>
      </c>
      <c r="T908" s="25">
        <v>0</v>
      </c>
      <c r="U908" s="25">
        <v>0</v>
      </c>
      <c r="V908" s="25">
        <v>0</v>
      </c>
      <c r="W908" s="25">
        <v>0</v>
      </c>
      <c r="X908" s="25">
        <v>1</v>
      </c>
      <c r="Y908" s="25">
        <v>0</v>
      </c>
      <c r="Z908" s="25">
        <v>0</v>
      </c>
      <c r="AA908" s="25">
        <v>0</v>
      </c>
      <c r="AB908" s="25">
        <v>0</v>
      </c>
      <c r="AC908" s="25">
        <v>0</v>
      </c>
      <c r="AD908" s="25">
        <v>0</v>
      </c>
      <c r="AE908" s="25">
        <v>1</v>
      </c>
      <c r="AF908" s="25" t="s">
        <v>132</v>
      </c>
    </row>
    <row r="909" spans="1:32" s="25" customFormat="1" x14ac:dyDescent="0.25">
      <c r="A909" s="25" t="s">
        <v>186</v>
      </c>
      <c r="B909" s="25">
        <f t="shared" si="28"/>
        <v>6640</v>
      </c>
      <c r="C909" s="25" t="s">
        <v>12</v>
      </c>
      <c r="D909" s="25">
        <v>0</v>
      </c>
      <c r="E909" s="25">
        <v>0</v>
      </c>
      <c r="F909" s="25">
        <v>256</v>
      </c>
      <c r="G909" s="25">
        <v>222</v>
      </c>
      <c r="H909" s="27">
        <v>0</v>
      </c>
      <c r="I909" s="27">
        <v>0</v>
      </c>
      <c r="J909" s="27">
        <v>0</v>
      </c>
      <c r="K909" s="27">
        <v>0</v>
      </c>
      <c r="L909" s="27">
        <v>1</v>
      </c>
      <c r="M909" s="27">
        <v>0</v>
      </c>
      <c r="N909" s="27">
        <v>0</v>
      </c>
      <c r="O909" s="27">
        <v>0</v>
      </c>
      <c r="P909" s="25">
        <v>700</v>
      </c>
      <c r="Q909" s="25">
        <v>560</v>
      </c>
      <c r="R909" s="25" t="s">
        <v>87</v>
      </c>
      <c r="S909" s="25" t="s">
        <v>89</v>
      </c>
      <c r="T909" s="25">
        <v>0</v>
      </c>
      <c r="U909" s="25">
        <v>0</v>
      </c>
      <c r="V909" s="25">
        <v>0</v>
      </c>
      <c r="W909" s="25">
        <v>0</v>
      </c>
      <c r="X909" s="25">
        <v>1</v>
      </c>
      <c r="Y909" s="25">
        <v>0</v>
      </c>
      <c r="Z909" s="25">
        <v>0</v>
      </c>
      <c r="AA909" s="25">
        <v>0</v>
      </c>
      <c r="AB909" s="25">
        <v>0</v>
      </c>
      <c r="AC909" s="25">
        <v>0</v>
      </c>
      <c r="AD909" s="25">
        <v>0</v>
      </c>
      <c r="AE909" s="25">
        <v>1</v>
      </c>
      <c r="AF909" s="25" t="s">
        <v>132</v>
      </c>
    </row>
    <row r="910" spans="1:32" s="25" customFormat="1" x14ac:dyDescent="0.25">
      <c r="A910" s="25" t="s">
        <v>186</v>
      </c>
      <c r="B910" s="25">
        <f t="shared" si="28"/>
        <v>6650</v>
      </c>
      <c r="C910" s="25" t="s">
        <v>12</v>
      </c>
      <c r="D910" s="25">
        <v>0</v>
      </c>
      <c r="E910" s="25">
        <v>0</v>
      </c>
      <c r="F910" s="25">
        <v>256</v>
      </c>
      <c r="G910" s="25">
        <v>222</v>
      </c>
      <c r="H910" s="27">
        <v>0</v>
      </c>
      <c r="I910" s="27">
        <v>0</v>
      </c>
      <c r="J910" s="27">
        <v>0</v>
      </c>
      <c r="K910" s="27">
        <v>0</v>
      </c>
      <c r="L910" s="27">
        <v>1</v>
      </c>
      <c r="M910" s="27">
        <v>0</v>
      </c>
      <c r="N910" s="27">
        <v>0</v>
      </c>
      <c r="O910" s="27">
        <v>0</v>
      </c>
      <c r="P910" s="25">
        <v>700</v>
      </c>
      <c r="Q910" s="25">
        <v>560</v>
      </c>
      <c r="R910" s="25" t="s">
        <v>87</v>
      </c>
      <c r="S910" s="25" t="s">
        <v>89</v>
      </c>
      <c r="T910" s="25">
        <v>0</v>
      </c>
      <c r="U910" s="25">
        <v>0</v>
      </c>
      <c r="V910" s="25">
        <v>0</v>
      </c>
      <c r="W910" s="25">
        <v>0</v>
      </c>
      <c r="X910" s="25">
        <v>1</v>
      </c>
      <c r="Y910" s="25">
        <v>0</v>
      </c>
      <c r="Z910" s="25">
        <v>0</v>
      </c>
      <c r="AA910" s="25">
        <v>0</v>
      </c>
      <c r="AB910" s="25">
        <v>0</v>
      </c>
      <c r="AC910" s="25">
        <v>0</v>
      </c>
      <c r="AD910" s="25">
        <v>0</v>
      </c>
      <c r="AE910" s="25">
        <v>1</v>
      </c>
      <c r="AF910" s="25" t="s">
        <v>132</v>
      </c>
    </row>
    <row r="911" spans="1:32" s="25" customFormat="1" x14ac:dyDescent="0.25">
      <c r="A911" s="25" t="s">
        <v>186</v>
      </c>
      <c r="B911" s="25">
        <f t="shared" si="28"/>
        <v>6660</v>
      </c>
      <c r="C911" s="25" t="s">
        <v>12</v>
      </c>
      <c r="D911" s="25">
        <v>0</v>
      </c>
      <c r="E911" s="25">
        <v>0</v>
      </c>
      <c r="F911" s="25">
        <v>256</v>
      </c>
      <c r="G911" s="25">
        <v>222</v>
      </c>
      <c r="H911" s="27">
        <v>0</v>
      </c>
      <c r="I911" s="27">
        <v>0</v>
      </c>
      <c r="J911" s="27">
        <v>0</v>
      </c>
      <c r="K911" s="27">
        <v>0</v>
      </c>
      <c r="L911" s="27">
        <v>1</v>
      </c>
      <c r="M911" s="27">
        <v>0</v>
      </c>
      <c r="N911" s="27">
        <v>0</v>
      </c>
      <c r="O911" s="27">
        <v>0</v>
      </c>
      <c r="P911" s="25">
        <v>700</v>
      </c>
      <c r="Q911" s="25">
        <v>560</v>
      </c>
      <c r="R911" s="25" t="s">
        <v>87</v>
      </c>
      <c r="S911" s="25" t="s">
        <v>89</v>
      </c>
      <c r="T911" s="25">
        <v>0</v>
      </c>
      <c r="U911" s="25">
        <v>0</v>
      </c>
      <c r="V911" s="25">
        <v>0</v>
      </c>
      <c r="W911" s="25">
        <v>0</v>
      </c>
      <c r="X911" s="25">
        <v>1</v>
      </c>
      <c r="Y911" s="25">
        <v>0</v>
      </c>
      <c r="Z911" s="25">
        <v>0</v>
      </c>
      <c r="AA911" s="25">
        <v>0</v>
      </c>
      <c r="AB911" s="25">
        <v>0</v>
      </c>
      <c r="AC911" s="25">
        <v>0</v>
      </c>
      <c r="AD911" s="25">
        <v>0</v>
      </c>
      <c r="AE911" s="25">
        <v>1</v>
      </c>
      <c r="AF911" s="25" t="s">
        <v>132</v>
      </c>
    </row>
    <row r="912" spans="1:32" s="25" customFormat="1" x14ac:dyDescent="0.25">
      <c r="A912" s="25" t="s">
        <v>186</v>
      </c>
      <c r="B912" s="25">
        <f t="shared" si="28"/>
        <v>6670</v>
      </c>
      <c r="C912" s="25" t="s">
        <v>12</v>
      </c>
      <c r="D912" s="25">
        <v>0</v>
      </c>
      <c r="E912" s="25">
        <v>0</v>
      </c>
      <c r="F912" s="25">
        <v>256</v>
      </c>
      <c r="G912" s="25">
        <v>222</v>
      </c>
      <c r="H912" s="27">
        <v>0</v>
      </c>
      <c r="I912" s="27">
        <v>0</v>
      </c>
      <c r="J912" s="27">
        <v>0</v>
      </c>
      <c r="K912" s="27">
        <v>0</v>
      </c>
      <c r="L912" s="27">
        <v>1</v>
      </c>
      <c r="M912" s="27">
        <v>0</v>
      </c>
      <c r="N912" s="27">
        <v>0</v>
      </c>
      <c r="O912" s="27">
        <v>0</v>
      </c>
      <c r="P912" s="25">
        <v>700</v>
      </c>
      <c r="Q912" s="25">
        <v>560</v>
      </c>
      <c r="R912" s="25" t="s">
        <v>87</v>
      </c>
      <c r="S912" s="25" t="s">
        <v>89</v>
      </c>
      <c r="T912" s="25">
        <v>0</v>
      </c>
      <c r="U912" s="25">
        <v>0</v>
      </c>
      <c r="V912" s="25">
        <v>0</v>
      </c>
      <c r="W912" s="25">
        <v>0</v>
      </c>
      <c r="X912" s="25">
        <v>1</v>
      </c>
      <c r="Y912" s="25">
        <v>0</v>
      </c>
      <c r="Z912" s="25">
        <v>0</v>
      </c>
      <c r="AA912" s="25">
        <v>0</v>
      </c>
      <c r="AB912" s="25">
        <v>0</v>
      </c>
      <c r="AC912" s="25">
        <v>0</v>
      </c>
      <c r="AD912" s="25">
        <v>0</v>
      </c>
      <c r="AE912" s="25">
        <v>1</v>
      </c>
      <c r="AF912" s="25" t="s">
        <v>132</v>
      </c>
    </row>
    <row r="913" spans="1:32" s="25" customFormat="1" x14ac:dyDescent="0.25">
      <c r="A913" s="25" t="s">
        <v>186</v>
      </c>
      <c r="B913" s="25">
        <f t="shared" si="28"/>
        <v>6680</v>
      </c>
      <c r="C913" s="25" t="s">
        <v>12</v>
      </c>
      <c r="D913" s="25">
        <v>0</v>
      </c>
      <c r="E913" s="25">
        <v>0</v>
      </c>
      <c r="F913" s="25">
        <v>256</v>
      </c>
      <c r="G913" s="25">
        <v>222</v>
      </c>
      <c r="H913" s="27">
        <v>0</v>
      </c>
      <c r="I913" s="27">
        <v>0</v>
      </c>
      <c r="J913" s="27">
        <v>0</v>
      </c>
      <c r="K913" s="27">
        <v>0</v>
      </c>
      <c r="L913" s="27">
        <v>1</v>
      </c>
      <c r="M913" s="27">
        <v>0</v>
      </c>
      <c r="N913" s="27">
        <v>0</v>
      </c>
      <c r="O913" s="27">
        <v>0</v>
      </c>
      <c r="P913" s="25">
        <v>700</v>
      </c>
      <c r="Q913" s="25">
        <v>560</v>
      </c>
      <c r="R913" s="25" t="s">
        <v>87</v>
      </c>
      <c r="S913" s="25" t="s">
        <v>89</v>
      </c>
      <c r="T913" s="25">
        <v>0</v>
      </c>
      <c r="U913" s="25">
        <v>0</v>
      </c>
      <c r="V913" s="25">
        <v>0</v>
      </c>
      <c r="W913" s="25">
        <v>0</v>
      </c>
      <c r="X913" s="25">
        <v>1</v>
      </c>
      <c r="Y913" s="25">
        <v>0</v>
      </c>
      <c r="Z913" s="25">
        <v>0</v>
      </c>
      <c r="AA913" s="25">
        <v>0</v>
      </c>
      <c r="AB913" s="25">
        <v>0</v>
      </c>
      <c r="AC913" s="25">
        <v>0</v>
      </c>
      <c r="AD913" s="25">
        <v>0</v>
      </c>
      <c r="AE913" s="25">
        <v>1</v>
      </c>
      <c r="AF913" s="25" t="s">
        <v>132</v>
      </c>
    </row>
    <row r="914" spans="1:32" s="25" customFormat="1" x14ac:dyDescent="0.25">
      <c r="A914" s="25" t="s">
        <v>186</v>
      </c>
      <c r="B914" s="25">
        <f t="shared" si="28"/>
        <v>6690</v>
      </c>
      <c r="C914" s="25" t="s">
        <v>12</v>
      </c>
      <c r="D914" s="25">
        <v>0</v>
      </c>
      <c r="E914" s="25">
        <v>0</v>
      </c>
      <c r="F914" s="25">
        <v>256</v>
      </c>
      <c r="G914" s="25">
        <v>222</v>
      </c>
      <c r="H914" s="27">
        <v>0</v>
      </c>
      <c r="I914" s="27">
        <v>0</v>
      </c>
      <c r="J914" s="27">
        <v>0</v>
      </c>
      <c r="K914" s="27">
        <v>0</v>
      </c>
      <c r="L914" s="27">
        <v>1</v>
      </c>
      <c r="M914" s="27">
        <v>0</v>
      </c>
      <c r="N914" s="27">
        <v>0</v>
      </c>
      <c r="O914" s="27">
        <v>0</v>
      </c>
      <c r="P914" s="25">
        <v>700</v>
      </c>
      <c r="Q914" s="25">
        <v>560</v>
      </c>
      <c r="R914" s="25" t="s">
        <v>87</v>
      </c>
      <c r="S914" s="25" t="s">
        <v>89</v>
      </c>
      <c r="T914" s="25">
        <v>0</v>
      </c>
      <c r="U914" s="25">
        <v>0</v>
      </c>
      <c r="V914" s="25">
        <v>0</v>
      </c>
      <c r="W914" s="25">
        <v>0</v>
      </c>
      <c r="X914" s="25">
        <v>1</v>
      </c>
      <c r="Y914" s="25">
        <v>0</v>
      </c>
      <c r="Z914" s="25">
        <v>0</v>
      </c>
      <c r="AA914" s="25">
        <v>0</v>
      </c>
      <c r="AB914" s="25">
        <v>0</v>
      </c>
      <c r="AC914" s="25">
        <v>0</v>
      </c>
      <c r="AD914" s="25">
        <v>0</v>
      </c>
      <c r="AE914" s="25">
        <v>1</v>
      </c>
      <c r="AF914" s="25" t="s">
        <v>132</v>
      </c>
    </row>
    <row r="915" spans="1:32" s="25" customFormat="1" x14ac:dyDescent="0.25">
      <c r="A915" s="25" t="s">
        <v>186</v>
      </c>
      <c r="B915" s="25">
        <f t="shared" si="28"/>
        <v>6700</v>
      </c>
      <c r="C915" s="25" t="s">
        <v>12</v>
      </c>
      <c r="D915" s="25">
        <v>0</v>
      </c>
      <c r="E915" s="25">
        <v>0</v>
      </c>
      <c r="F915" s="25">
        <v>256</v>
      </c>
      <c r="G915" s="25">
        <v>222</v>
      </c>
      <c r="H915" s="27">
        <v>0</v>
      </c>
      <c r="I915" s="27">
        <v>0</v>
      </c>
      <c r="J915" s="27">
        <v>0</v>
      </c>
      <c r="K915" s="27">
        <v>0</v>
      </c>
      <c r="L915" s="27">
        <v>1</v>
      </c>
      <c r="M915" s="27">
        <v>0</v>
      </c>
      <c r="N915" s="27">
        <v>0</v>
      </c>
      <c r="O915" s="27">
        <v>0</v>
      </c>
      <c r="P915" s="25">
        <v>700</v>
      </c>
      <c r="Q915" s="25">
        <v>560</v>
      </c>
      <c r="R915" s="25" t="s">
        <v>87</v>
      </c>
      <c r="S915" s="25" t="s">
        <v>89</v>
      </c>
      <c r="T915" s="25">
        <v>0</v>
      </c>
      <c r="U915" s="25">
        <v>0</v>
      </c>
      <c r="V915" s="25">
        <v>0</v>
      </c>
      <c r="W915" s="25">
        <v>0</v>
      </c>
      <c r="X915" s="25">
        <v>1</v>
      </c>
      <c r="Y915" s="25">
        <v>0</v>
      </c>
      <c r="Z915" s="25">
        <v>0</v>
      </c>
      <c r="AA915" s="25">
        <v>0</v>
      </c>
      <c r="AB915" s="25">
        <v>0</v>
      </c>
      <c r="AC915" s="25">
        <v>0</v>
      </c>
      <c r="AD915" s="25">
        <v>0</v>
      </c>
      <c r="AE915" s="25">
        <v>1</v>
      </c>
      <c r="AF915" s="25" t="s">
        <v>132</v>
      </c>
    </row>
    <row r="916" spans="1:32" s="25" customFormat="1" x14ac:dyDescent="0.25">
      <c r="A916" s="25" t="s">
        <v>186</v>
      </c>
      <c r="B916" s="25">
        <f t="shared" si="28"/>
        <v>6710</v>
      </c>
      <c r="C916" s="25" t="s">
        <v>12</v>
      </c>
      <c r="D916" s="25">
        <v>0</v>
      </c>
      <c r="E916" s="25">
        <v>0</v>
      </c>
      <c r="F916" s="25">
        <v>256</v>
      </c>
      <c r="G916" s="25">
        <v>222</v>
      </c>
      <c r="H916" s="27">
        <v>0</v>
      </c>
      <c r="I916" s="27">
        <v>0</v>
      </c>
      <c r="J916" s="27">
        <v>0</v>
      </c>
      <c r="K916" s="27">
        <v>0</v>
      </c>
      <c r="L916" s="27">
        <v>1</v>
      </c>
      <c r="M916" s="27">
        <v>0</v>
      </c>
      <c r="N916" s="27">
        <v>0</v>
      </c>
      <c r="O916" s="27">
        <v>0</v>
      </c>
      <c r="P916" s="25">
        <v>700</v>
      </c>
      <c r="Q916" s="25">
        <v>560</v>
      </c>
      <c r="R916" s="25" t="s">
        <v>87</v>
      </c>
      <c r="S916" s="25" t="s">
        <v>89</v>
      </c>
      <c r="T916" s="25">
        <v>0</v>
      </c>
      <c r="U916" s="25">
        <v>0</v>
      </c>
      <c r="V916" s="25">
        <v>0</v>
      </c>
      <c r="W916" s="25">
        <v>0</v>
      </c>
      <c r="X916" s="25">
        <v>1</v>
      </c>
      <c r="Y916" s="25">
        <v>0</v>
      </c>
      <c r="Z916" s="25">
        <v>0</v>
      </c>
      <c r="AA916" s="25">
        <v>0</v>
      </c>
      <c r="AB916" s="25">
        <v>0</v>
      </c>
      <c r="AC916" s="25">
        <v>0</v>
      </c>
      <c r="AD916" s="25">
        <v>0</v>
      </c>
      <c r="AE916" s="25">
        <v>1</v>
      </c>
      <c r="AF916" s="25" t="s">
        <v>132</v>
      </c>
    </row>
    <row r="917" spans="1:32" s="25" customFormat="1" x14ac:dyDescent="0.25">
      <c r="A917" s="25" t="s">
        <v>186</v>
      </c>
      <c r="B917" s="25">
        <f t="shared" si="28"/>
        <v>6720</v>
      </c>
      <c r="C917" s="25" t="s">
        <v>12</v>
      </c>
      <c r="D917" s="25">
        <v>0</v>
      </c>
      <c r="E917" s="25">
        <v>0</v>
      </c>
      <c r="F917" s="25">
        <v>256</v>
      </c>
      <c r="G917" s="25">
        <v>222</v>
      </c>
      <c r="H917" s="27">
        <v>0</v>
      </c>
      <c r="I917" s="27">
        <v>0</v>
      </c>
      <c r="J917" s="27">
        <v>0</v>
      </c>
      <c r="K917" s="27">
        <v>0</v>
      </c>
      <c r="L917" s="27">
        <v>1</v>
      </c>
      <c r="M917" s="27">
        <v>0</v>
      </c>
      <c r="N917" s="27">
        <v>0</v>
      </c>
      <c r="O917" s="27">
        <v>0</v>
      </c>
      <c r="P917" s="25">
        <v>700</v>
      </c>
      <c r="Q917" s="25">
        <v>560</v>
      </c>
      <c r="R917" s="25" t="s">
        <v>87</v>
      </c>
      <c r="S917" s="25" t="s">
        <v>89</v>
      </c>
      <c r="T917" s="25">
        <v>0</v>
      </c>
      <c r="U917" s="25">
        <v>0</v>
      </c>
      <c r="V917" s="25">
        <v>0</v>
      </c>
      <c r="W917" s="25">
        <v>0</v>
      </c>
      <c r="X917" s="25">
        <v>1</v>
      </c>
      <c r="Y917" s="25">
        <v>0</v>
      </c>
      <c r="Z917" s="25">
        <v>0</v>
      </c>
      <c r="AA917" s="25">
        <v>0</v>
      </c>
      <c r="AB917" s="25">
        <v>0</v>
      </c>
      <c r="AC917" s="25">
        <v>0</v>
      </c>
      <c r="AD917" s="25">
        <v>0</v>
      </c>
      <c r="AE917" s="25">
        <v>1</v>
      </c>
      <c r="AF917" s="25" t="s">
        <v>132</v>
      </c>
    </row>
    <row r="918" spans="1:32" s="25" customFormat="1" x14ac:dyDescent="0.25">
      <c r="A918" s="25" t="s">
        <v>186</v>
      </c>
      <c r="B918" s="25">
        <f t="shared" si="28"/>
        <v>6730</v>
      </c>
      <c r="C918" s="25" t="s">
        <v>12</v>
      </c>
      <c r="D918" s="25">
        <v>0</v>
      </c>
      <c r="E918" s="25">
        <v>0</v>
      </c>
      <c r="F918" s="25">
        <v>256</v>
      </c>
      <c r="G918" s="25">
        <v>222</v>
      </c>
      <c r="H918" s="27">
        <v>0</v>
      </c>
      <c r="I918" s="27">
        <v>0</v>
      </c>
      <c r="J918" s="27">
        <v>0</v>
      </c>
      <c r="K918" s="27">
        <v>0</v>
      </c>
      <c r="L918" s="27">
        <v>1</v>
      </c>
      <c r="M918" s="27">
        <v>0</v>
      </c>
      <c r="N918" s="27">
        <v>0</v>
      </c>
      <c r="O918" s="27">
        <v>0</v>
      </c>
      <c r="P918" s="25">
        <v>700</v>
      </c>
      <c r="Q918" s="25">
        <v>560</v>
      </c>
      <c r="R918" s="25" t="s">
        <v>87</v>
      </c>
      <c r="S918" s="25" t="s">
        <v>89</v>
      </c>
      <c r="T918" s="25">
        <v>0</v>
      </c>
      <c r="U918" s="25">
        <v>0</v>
      </c>
      <c r="V918" s="25">
        <v>0</v>
      </c>
      <c r="W918" s="25">
        <v>0</v>
      </c>
      <c r="X918" s="25">
        <v>1</v>
      </c>
      <c r="Y918" s="25">
        <v>0</v>
      </c>
      <c r="Z918" s="25">
        <v>0</v>
      </c>
      <c r="AA918" s="25">
        <v>0</v>
      </c>
      <c r="AB918" s="25">
        <v>0</v>
      </c>
      <c r="AC918" s="25">
        <v>0</v>
      </c>
      <c r="AD918" s="25">
        <v>0</v>
      </c>
      <c r="AE918" s="25">
        <v>1</v>
      </c>
      <c r="AF918" s="25" t="s">
        <v>132</v>
      </c>
    </row>
    <row r="919" spans="1:32" s="25" customFormat="1" x14ac:dyDescent="0.25">
      <c r="A919" s="25" t="s">
        <v>186</v>
      </c>
      <c r="B919" s="25">
        <f t="shared" si="28"/>
        <v>6740</v>
      </c>
      <c r="C919" s="25" t="s">
        <v>12</v>
      </c>
      <c r="D919" s="25">
        <v>0</v>
      </c>
      <c r="E919" s="25">
        <v>0</v>
      </c>
      <c r="F919" s="25">
        <v>256</v>
      </c>
      <c r="G919" s="25">
        <v>222</v>
      </c>
      <c r="H919" s="27">
        <v>0</v>
      </c>
      <c r="I919" s="27">
        <v>0</v>
      </c>
      <c r="J919" s="27">
        <v>0</v>
      </c>
      <c r="K919" s="27">
        <v>0</v>
      </c>
      <c r="L919" s="27">
        <v>1</v>
      </c>
      <c r="M919" s="27">
        <v>0</v>
      </c>
      <c r="N919" s="27">
        <v>0</v>
      </c>
      <c r="O919" s="27">
        <v>0</v>
      </c>
      <c r="P919" s="25">
        <v>700</v>
      </c>
      <c r="Q919" s="25">
        <v>560</v>
      </c>
      <c r="R919" s="25" t="s">
        <v>87</v>
      </c>
      <c r="S919" s="25" t="s">
        <v>89</v>
      </c>
      <c r="T919" s="25">
        <v>0</v>
      </c>
      <c r="U919" s="25">
        <v>0</v>
      </c>
      <c r="V919" s="25">
        <v>0</v>
      </c>
      <c r="W919" s="25">
        <v>0</v>
      </c>
      <c r="X919" s="25">
        <v>1</v>
      </c>
      <c r="Y919" s="25">
        <v>0</v>
      </c>
      <c r="Z919" s="25">
        <v>0</v>
      </c>
      <c r="AA919" s="25">
        <v>0</v>
      </c>
      <c r="AB919" s="25">
        <v>0</v>
      </c>
      <c r="AC919" s="25">
        <v>0</v>
      </c>
      <c r="AD919" s="25">
        <v>0</v>
      </c>
      <c r="AE919" s="25">
        <v>1</v>
      </c>
      <c r="AF919" s="25" t="s">
        <v>132</v>
      </c>
    </row>
    <row r="920" spans="1:32" s="25" customFormat="1" x14ac:dyDescent="0.25">
      <c r="A920" s="25" t="s">
        <v>186</v>
      </c>
      <c r="B920" s="25">
        <f t="shared" si="28"/>
        <v>6750</v>
      </c>
      <c r="C920" s="25" t="s">
        <v>12</v>
      </c>
      <c r="D920" s="25">
        <v>0</v>
      </c>
      <c r="E920" s="25">
        <v>0</v>
      </c>
      <c r="F920" s="25">
        <v>256</v>
      </c>
      <c r="G920" s="25">
        <v>222</v>
      </c>
      <c r="H920" s="27">
        <v>0</v>
      </c>
      <c r="I920" s="27">
        <v>0</v>
      </c>
      <c r="J920" s="27">
        <v>0</v>
      </c>
      <c r="K920" s="27">
        <v>0</v>
      </c>
      <c r="L920" s="27">
        <v>1</v>
      </c>
      <c r="M920" s="27">
        <v>0</v>
      </c>
      <c r="N920" s="27">
        <v>0</v>
      </c>
      <c r="O920" s="27">
        <v>0</v>
      </c>
      <c r="P920" s="25">
        <v>700</v>
      </c>
      <c r="Q920" s="25">
        <v>560</v>
      </c>
      <c r="R920" s="25" t="s">
        <v>87</v>
      </c>
      <c r="S920" s="25" t="s">
        <v>89</v>
      </c>
      <c r="T920" s="25">
        <v>0</v>
      </c>
      <c r="U920" s="25">
        <v>0</v>
      </c>
      <c r="V920" s="25">
        <v>0</v>
      </c>
      <c r="W920" s="25">
        <v>0</v>
      </c>
      <c r="X920" s="25">
        <v>1</v>
      </c>
      <c r="Y920" s="25">
        <v>0</v>
      </c>
      <c r="Z920" s="25">
        <v>0</v>
      </c>
      <c r="AA920" s="25">
        <v>0</v>
      </c>
      <c r="AB920" s="25">
        <v>0</v>
      </c>
      <c r="AC920" s="25">
        <v>0</v>
      </c>
      <c r="AD920" s="25">
        <v>0</v>
      </c>
      <c r="AE920" s="25">
        <v>1</v>
      </c>
      <c r="AF920" s="25" t="s">
        <v>132</v>
      </c>
    </row>
    <row r="921" spans="1:32" s="25" customFormat="1" x14ac:dyDescent="0.25">
      <c r="A921" s="25" t="s">
        <v>186</v>
      </c>
      <c r="B921" s="25">
        <f t="shared" si="28"/>
        <v>6760</v>
      </c>
      <c r="C921" s="25" t="s">
        <v>12</v>
      </c>
      <c r="D921" s="25">
        <v>0</v>
      </c>
      <c r="E921" s="25">
        <v>0</v>
      </c>
      <c r="F921" s="25">
        <v>256</v>
      </c>
      <c r="G921" s="25">
        <v>222</v>
      </c>
      <c r="H921" s="27">
        <v>0</v>
      </c>
      <c r="I921" s="27">
        <v>0</v>
      </c>
      <c r="J921" s="27">
        <v>0</v>
      </c>
      <c r="K921" s="27">
        <v>0</v>
      </c>
      <c r="L921" s="27">
        <v>1</v>
      </c>
      <c r="M921" s="27">
        <v>0</v>
      </c>
      <c r="N921" s="27">
        <v>0</v>
      </c>
      <c r="O921" s="27">
        <v>0</v>
      </c>
      <c r="P921" s="25">
        <v>700</v>
      </c>
      <c r="Q921" s="25">
        <v>560</v>
      </c>
      <c r="R921" s="25" t="s">
        <v>87</v>
      </c>
      <c r="S921" s="25" t="s">
        <v>89</v>
      </c>
      <c r="T921" s="25">
        <v>0</v>
      </c>
      <c r="U921" s="25">
        <v>0</v>
      </c>
      <c r="V921" s="25">
        <v>0</v>
      </c>
      <c r="W921" s="25">
        <v>0</v>
      </c>
      <c r="X921" s="25">
        <v>1</v>
      </c>
      <c r="Y921" s="25">
        <v>0</v>
      </c>
      <c r="Z921" s="25">
        <v>0</v>
      </c>
      <c r="AA921" s="25">
        <v>0</v>
      </c>
      <c r="AB921" s="25">
        <v>0</v>
      </c>
      <c r="AC921" s="25">
        <v>0</v>
      </c>
      <c r="AD921" s="25">
        <v>0</v>
      </c>
      <c r="AE921" s="25">
        <v>1</v>
      </c>
      <c r="AF921" s="25" t="s">
        <v>132</v>
      </c>
    </row>
    <row r="922" spans="1:32" s="25" customFormat="1" x14ac:dyDescent="0.25">
      <c r="A922" s="25" t="s">
        <v>186</v>
      </c>
      <c r="B922" s="25">
        <f t="shared" si="28"/>
        <v>6770</v>
      </c>
      <c r="C922" s="25" t="s">
        <v>12</v>
      </c>
      <c r="D922" s="25">
        <v>0</v>
      </c>
      <c r="E922" s="25">
        <v>0</v>
      </c>
      <c r="F922" s="25">
        <v>256</v>
      </c>
      <c r="G922" s="25">
        <v>222</v>
      </c>
      <c r="H922" s="27">
        <v>0</v>
      </c>
      <c r="I922" s="27">
        <v>0</v>
      </c>
      <c r="J922" s="27">
        <v>0</v>
      </c>
      <c r="K922" s="27">
        <v>0</v>
      </c>
      <c r="L922" s="27">
        <v>1</v>
      </c>
      <c r="M922" s="27">
        <v>0</v>
      </c>
      <c r="N922" s="27">
        <v>0</v>
      </c>
      <c r="O922" s="27">
        <v>0</v>
      </c>
      <c r="P922" s="25">
        <v>700</v>
      </c>
      <c r="Q922" s="25">
        <v>560</v>
      </c>
      <c r="R922" s="25" t="s">
        <v>87</v>
      </c>
      <c r="S922" s="25" t="s">
        <v>89</v>
      </c>
      <c r="T922" s="25">
        <v>0</v>
      </c>
      <c r="U922" s="25">
        <v>0</v>
      </c>
      <c r="V922" s="25">
        <v>0</v>
      </c>
      <c r="W922" s="25">
        <v>0</v>
      </c>
      <c r="X922" s="25">
        <v>1</v>
      </c>
      <c r="Y922" s="25">
        <v>0</v>
      </c>
      <c r="Z922" s="25">
        <v>0</v>
      </c>
      <c r="AA922" s="25">
        <v>0</v>
      </c>
      <c r="AB922" s="25">
        <v>0</v>
      </c>
      <c r="AC922" s="25">
        <v>0</v>
      </c>
      <c r="AD922" s="25">
        <v>0</v>
      </c>
      <c r="AE922" s="25">
        <v>1</v>
      </c>
      <c r="AF922" s="25" t="s">
        <v>132</v>
      </c>
    </row>
    <row r="923" spans="1:32" s="25" customFormat="1" x14ac:dyDescent="0.25">
      <c r="A923" s="25" t="s">
        <v>186</v>
      </c>
      <c r="B923" s="25">
        <f t="shared" si="28"/>
        <v>6780</v>
      </c>
      <c r="C923" s="25" t="s">
        <v>12</v>
      </c>
      <c r="D923" s="25">
        <v>0</v>
      </c>
      <c r="E923" s="25">
        <v>0</v>
      </c>
      <c r="F923" s="25">
        <v>256</v>
      </c>
      <c r="G923" s="25">
        <v>222</v>
      </c>
      <c r="H923" s="27">
        <v>0</v>
      </c>
      <c r="I923" s="27">
        <v>0</v>
      </c>
      <c r="J923" s="27">
        <v>0</v>
      </c>
      <c r="K923" s="27">
        <v>0</v>
      </c>
      <c r="L923" s="27">
        <v>1</v>
      </c>
      <c r="M923" s="27">
        <v>0</v>
      </c>
      <c r="N923" s="27">
        <v>0</v>
      </c>
      <c r="O923" s="27">
        <v>0</v>
      </c>
      <c r="P923" s="25">
        <v>700</v>
      </c>
      <c r="Q923" s="25">
        <v>560</v>
      </c>
      <c r="R923" s="25" t="s">
        <v>87</v>
      </c>
      <c r="S923" s="25" t="s">
        <v>89</v>
      </c>
      <c r="T923" s="25">
        <v>0</v>
      </c>
      <c r="U923" s="25">
        <v>0</v>
      </c>
      <c r="V923" s="25">
        <v>0</v>
      </c>
      <c r="W923" s="25">
        <v>0</v>
      </c>
      <c r="X923" s="25">
        <v>1</v>
      </c>
      <c r="Y923" s="25">
        <v>0</v>
      </c>
      <c r="Z923" s="25">
        <v>0</v>
      </c>
      <c r="AA923" s="25">
        <v>0</v>
      </c>
      <c r="AB923" s="25">
        <v>0</v>
      </c>
      <c r="AC923" s="25">
        <v>0</v>
      </c>
      <c r="AD923" s="25">
        <v>0</v>
      </c>
      <c r="AE923" s="25">
        <v>1</v>
      </c>
      <c r="AF923" s="25" t="s">
        <v>132</v>
      </c>
    </row>
    <row r="924" spans="1:32" s="25" customFormat="1" x14ac:dyDescent="0.25">
      <c r="A924" s="25" t="s">
        <v>186</v>
      </c>
      <c r="B924" s="25">
        <f t="shared" si="28"/>
        <v>6790</v>
      </c>
      <c r="C924" s="25" t="s">
        <v>12</v>
      </c>
      <c r="D924" s="25">
        <v>0</v>
      </c>
      <c r="E924" s="25">
        <v>0</v>
      </c>
      <c r="F924" s="25">
        <v>256</v>
      </c>
      <c r="G924" s="25">
        <v>222</v>
      </c>
      <c r="H924" s="27">
        <v>0</v>
      </c>
      <c r="I924" s="27">
        <v>0</v>
      </c>
      <c r="J924" s="27">
        <v>0</v>
      </c>
      <c r="K924" s="27">
        <v>0</v>
      </c>
      <c r="L924" s="27">
        <v>1</v>
      </c>
      <c r="M924" s="27">
        <v>0</v>
      </c>
      <c r="N924" s="27">
        <v>0</v>
      </c>
      <c r="O924" s="27">
        <v>0</v>
      </c>
      <c r="P924" s="25">
        <v>700</v>
      </c>
      <c r="Q924" s="25">
        <v>560</v>
      </c>
      <c r="R924" s="25" t="s">
        <v>87</v>
      </c>
      <c r="S924" s="25" t="s">
        <v>89</v>
      </c>
      <c r="T924" s="25">
        <v>0</v>
      </c>
      <c r="U924" s="25">
        <v>0</v>
      </c>
      <c r="V924" s="25">
        <v>0</v>
      </c>
      <c r="W924" s="25">
        <v>0</v>
      </c>
      <c r="X924" s="25">
        <v>1</v>
      </c>
      <c r="Y924" s="25">
        <v>0</v>
      </c>
      <c r="Z924" s="25">
        <v>0</v>
      </c>
      <c r="AA924" s="25">
        <v>0</v>
      </c>
      <c r="AB924" s="25">
        <v>0</v>
      </c>
      <c r="AC924" s="25">
        <v>0</v>
      </c>
      <c r="AD924" s="25">
        <v>0</v>
      </c>
      <c r="AE924" s="25">
        <v>1</v>
      </c>
      <c r="AF924" s="25" t="s">
        <v>132</v>
      </c>
    </row>
    <row r="925" spans="1:32" s="25" customFormat="1" x14ac:dyDescent="0.25">
      <c r="A925" s="25" t="s">
        <v>186</v>
      </c>
      <c r="B925" s="25">
        <f t="shared" si="28"/>
        <v>6800</v>
      </c>
      <c r="C925" s="25" t="s">
        <v>12</v>
      </c>
      <c r="D925" s="25">
        <v>0</v>
      </c>
      <c r="E925" s="25">
        <v>0</v>
      </c>
      <c r="F925" s="25">
        <v>256</v>
      </c>
      <c r="G925" s="25">
        <v>222</v>
      </c>
      <c r="H925" s="27">
        <v>0</v>
      </c>
      <c r="I925" s="27">
        <v>0</v>
      </c>
      <c r="J925" s="27">
        <v>0</v>
      </c>
      <c r="K925" s="27">
        <v>0</v>
      </c>
      <c r="L925" s="27">
        <v>1</v>
      </c>
      <c r="M925" s="27">
        <v>0</v>
      </c>
      <c r="N925" s="27">
        <v>0</v>
      </c>
      <c r="O925" s="27">
        <v>0</v>
      </c>
      <c r="P925" s="25">
        <v>700</v>
      </c>
      <c r="Q925" s="25">
        <v>560</v>
      </c>
      <c r="R925" s="25" t="s">
        <v>87</v>
      </c>
      <c r="S925" s="25" t="s">
        <v>89</v>
      </c>
      <c r="T925" s="25">
        <v>0</v>
      </c>
      <c r="U925" s="25">
        <v>0</v>
      </c>
      <c r="V925" s="25">
        <v>0</v>
      </c>
      <c r="W925" s="25">
        <v>0</v>
      </c>
      <c r="X925" s="25">
        <v>1</v>
      </c>
      <c r="Y925" s="25">
        <v>0</v>
      </c>
      <c r="Z925" s="25">
        <v>0</v>
      </c>
      <c r="AA925" s="25">
        <v>0</v>
      </c>
      <c r="AB925" s="25">
        <v>0</v>
      </c>
      <c r="AC925" s="25">
        <v>0</v>
      </c>
      <c r="AD925" s="25">
        <v>0</v>
      </c>
      <c r="AE925" s="25">
        <v>1</v>
      </c>
      <c r="AF925" s="25" t="s">
        <v>132</v>
      </c>
    </row>
    <row r="926" spans="1:32" s="25" customFormat="1" x14ac:dyDescent="0.25">
      <c r="A926" s="25" t="s">
        <v>186</v>
      </c>
      <c r="B926" s="25">
        <f t="shared" si="28"/>
        <v>6810</v>
      </c>
      <c r="C926" s="25" t="s">
        <v>12</v>
      </c>
      <c r="D926" s="25">
        <v>0</v>
      </c>
      <c r="E926" s="25">
        <v>0</v>
      </c>
      <c r="F926" s="25">
        <v>256</v>
      </c>
      <c r="G926" s="25">
        <v>222</v>
      </c>
      <c r="H926" s="27">
        <v>0</v>
      </c>
      <c r="I926" s="27">
        <v>0</v>
      </c>
      <c r="J926" s="27">
        <v>0</v>
      </c>
      <c r="K926" s="27">
        <v>0</v>
      </c>
      <c r="L926" s="27">
        <v>1</v>
      </c>
      <c r="M926" s="27">
        <v>0</v>
      </c>
      <c r="N926" s="27">
        <v>0</v>
      </c>
      <c r="O926" s="27">
        <v>0</v>
      </c>
      <c r="P926" s="25">
        <v>700</v>
      </c>
      <c r="Q926" s="25">
        <v>560</v>
      </c>
      <c r="R926" s="25" t="s">
        <v>87</v>
      </c>
      <c r="S926" s="25" t="s">
        <v>89</v>
      </c>
      <c r="T926" s="25">
        <v>0</v>
      </c>
      <c r="U926" s="25">
        <v>0</v>
      </c>
      <c r="V926" s="25">
        <v>0</v>
      </c>
      <c r="W926" s="25">
        <v>0</v>
      </c>
      <c r="X926" s="25">
        <v>1</v>
      </c>
      <c r="Y926" s="25">
        <v>0</v>
      </c>
      <c r="Z926" s="25">
        <v>0</v>
      </c>
      <c r="AA926" s="25">
        <v>0</v>
      </c>
      <c r="AB926" s="25">
        <v>0</v>
      </c>
      <c r="AC926" s="25">
        <v>0</v>
      </c>
      <c r="AD926" s="25">
        <v>0</v>
      </c>
      <c r="AE926" s="25">
        <v>1</v>
      </c>
      <c r="AF926" s="25" t="s">
        <v>132</v>
      </c>
    </row>
    <row r="927" spans="1:32" s="25" customFormat="1" x14ac:dyDescent="0.25">
      <c r="A927" s="25" t="s">
        <v>186</v>
      </c>
      <c r="B927" s="25">
        <f t="shared" si="28"/>
        <v>6820</v>
      </c>
      <c r="C927" s="25" t="s">
        <v>12</v>
      </c>
      <c r="D927" s="25">
        <v>0</v>
      </c>
      <c r="E927" s="25">
        <v>0</v>
      </c>
      <c r="F927" s="25">
        <v>256</v>
      </c>
      <c r="G927" s="25">
        <v>222</v>
      </c>
      <c r="H927" s="27">
        <v>0</v>
      </c>
      <c r="I927" s="27">
        <v>0</v>
      </c>
      <c r="J927" s="27">
        <v>0</v>
      </c>
      <c r="K927" s="27">
        <v>0</v>
      </c>
      <c r="L927" s="27">
        <v>1</v>
      </c>
      <c r="M927" s="27">
        <v>0</v>
      </c>
      <c r="N927" s="27">
        <v>0</v>
      </c>
      <c r="O927" s="27">
        <v>0</v>
      </c>
      <c r="P927" s="25">
        <v>700</v>
      </c>
      <c r="Q927" s="25">
        <v>560</v>
      </c>
      <c r="R927" s="25" t="s">
        <v>87</v>
      </c>
      <c r="S927" s="25" t="s">
        <v>89</v>
      </c>
      <c r="T927" s="25">
        <v>0</v>
      </c>
      <c r="U927" s="25">
        <v>0</v>
      </c>
      <c r="V927" s="25">
        <v>0</v>
      </c>
      <c r="W927" s="25">
        <v>0</v>
      </c>
      <c r="X927" s="25">
        <v>1</v>
      </c>
      <c r="Y927" s="25">
        <v>0</v>
      </c>
      <c r="Z927" s="25">
        <v>0</v>
      </c>
      <c r="AA927" s="25">
        <v>0</v>
      </c>
      <c r="AB927" s="25">
        <v>0</v>
      </c>
      <c r="AC927" s="25">
        <v>0</v>
      </c>
      <c r="AD927" s="25">
        <v>0</v>
      </c>
      <c r="AE927" s="25">
        <v>1</v>
      </c>
      <c r="AF927" s="25" t="s">
        <v>132</v>
      </c>
    </row>
    <row r="928" spans="1:32" s="25" customFormat="1" x14ac:dyDescent="0.25">
      <c r="A928" s="25" t="s">
        <v>186</v>
      </c>
      <c r="B928" s="25">
        <f t="shared" si="28"/>
        <v>6830</v>
      </c>
      <c r="C928" s="25" t="s">
        <v>12</v>
      </c>
      <c r="D928" s="25">
        <v>0</v>
      </c>
      <c r="E928" s="25">
        <v>0</v>
      </c>
      <c r="F928" s="25">
        <v>256</v>
      </c>
      <c r="G928" s="25">
        <v>222</v>
      </c>
      <c r="H928" s="27">
        <v>0</v>
      </c>
      <c r="I928" s="27">
        <v>0</v>
      </c>
      <c r="J928" s="27">
        <v>0</v>
      </c>
      <c r="K928" s="27">
        <v>0</v>
      </c>
      <c r="L928" s="27">
        <v>1</v>
      </c>
      <c r="M928" s="27">
        <v>0</v>
      </c>
      <c r="N928" s="27">
        <v>0</v>
      </c>
      <c r="O928" s="27">
        <v>0</v>
      </c>
      <c r="P928" s="25">
        <v>700</v>
      </c>
      <c r="Q928" s="25">
        <v>560</v>
      </c>
      <c r="R928" s="25" t="s">
        <v>87</v>
      </c>
      <c r="S928" s="25" t="s">
        <v>89</v>
      </c>
      <c r="T928" s="25">
        <v>0</v>
      </c>
      <c r="U928" s="25">
        <v>0</v>
      </c>
      <c r="V928" s="25">
        <v>0</v>
      </c>
      <c r="W928" s="25">
        <v>0</v>
      </c>
      <c r="X928" s="25">
        <v>1</v>
      </c>
      <c r="Y928" s="25">
        <v>0</v>
      </c>
      <c r="Z928" s="25">
        <v>0</v>
      </c>
      <c r="AA928" s="25">
        <v>0</v>
      </c>
      <c r="AB928" s="25">
        <v>0</v>
      </c>
      <c r="AC928" s="25">
        <v>0</v>
      </c>
      <c r="AD928" s="25">
        <v>0</v>
      </c>
      <c r="AE928" s="25">
        <v>1</v>
      </c>
      <c r="AF928" s="25" t="s">
        <v>132</v>
      </c>
    </row>
    <row r="929" spans="1:32" s="25" customFormat="1" x14ac:dyDescent="0.25">
      <c r="A929" s="25" t="s">
        <v>186</v>
      </c>
      <c r="B929" s="25">
        <f t="shared" si="28"/>
        <v>6840</v>
      </c>
      <c r="C929" s="25" t="s">
        <v>12</v>
      </c>
      <c r="D929" s="25">
        <v>0</v>
      </c>
      <c r="E929" s="25">
        <v>0</v>
      </c>
      <c r="F929" s="25">
        <v>256</v>
      </c>
      <c r="G929" s="25">
        <v>222</v>
      </c>
      <c r="H929" s="27">
        <v>0</v>
      </c>
      <c r="I929" s="27">
        <v>0</v>
      </c>
      <c r="J929" s="27">
        <v>0</v>
      </c>
      <c r="K929" s="27">
        <v>0</v>
      </c>
      <c r="L929" s="27">
        <v>1</v>
      </c>
      <c r="M929" s="27">
        <v>0</v>
      </c>
      <c r="N929" s="27">
        <v>0</v>
      </c>
      <c r="O929" s="27">
        <v>0</v>
      </c>
      <c r="P929" s="25">
        <v>700</v>
      </c>
      <c r="Q929" s="25">
        <v>560</v>
      </c>
      <c r="R929" s="25" t="s">
        <v>87</v>
      </c>
      <c r="S929" s="25" t="s">
        <v>89</v>
      </c>
      <c r="T929" s="25">
        <v>0</v>
      </c>
      <c r="U929" s="25">
        <v>0</v>
      </c>
      <c r="V929" s="25">
        <v>0</v>
      </c>
      <c r="W929" s="25">
        <v>0</v>
      </c>
      <c r="X929" s="25">
        <v>1</v>
      </c>
      <c r="Y929" s="25">
        <v>0</v>
      </c>
      <c r="Z929" s="25">
        <v>0</v>
      </c>
      <c r="AA929" s="25">
        <v>0</v>
      </c>
      <c r="AB929" s="25">
        <v>0</v>
      </c>
      <c r="AC929" s="25">
        <v>0</v>
      </c>
      <c r="AD929" s="25">
        <v>0</v>
      </c>
      <c r="AE929" s="25">
        <v>1</v>
      </c>
      <c r="AF929" s="25" t="s">
        <v>132</v>
      </c>
    </row>
    <row r="930" spans="1:32" s="25" customFormat="1" x14ac:dyDescent="0.25">
      <c r="A930" s="25" t="s">
        <v>186</v>
      </c>
      <c r="B930" s="25">
        <f t="shared" si="28"/>
        <v>6850</v>
      </c>
      <c r="C930" s="25" t="s">
        <v>12</v>
      </c>
      <c r="D930" s="25">
        <v>0</v>
      </c>
      <c r="E930" s="25">
        <v>0</v>
      </c>
      <c r="F930" s="25">
        <v>256</v>
      </c>
      <c r="G930" s="25">
        <v>222</v>
      </c>
      <c r="H930" s="27">
        <v>0</v>
      </c>
      <c r="I930" s="27">
        <v>0</v>
      </c>
      <c r="J930" s="27">
        <v>0</v>
      </c>
      <c r="K930" s="27">
        <v>0</v>
      </c>
      <c r="L930" s="27">
        <v>1</v>
      </c>
      <c r="M930" s="27">
        <v>0</v>
      </c>
      <c r="N930" s="27">
        <v>0</v>
      </c>
      <c r="O930" s="27">
        <v>0</v>
      </c>
      <c r="P930" s="25">
        <v>700</v>
      </c>
      <c r="Q930" s="25">
        <v>560</v>
      </c>
      <c r="R930" s="25" t="s">
        <v>87</v>
      </c>
      <c r="S930" s="25" t="s">
        <v>89</v>
      </c>
      <c r="T930" s="25">
        <v>0</v>
      </c>
      <c r="U930" s="25">
        <v>0</v>
      </c>
      <c r="V930" s="25">
        <v>0</v>
      </c>
      <c r="W930" s="25">
        <v>0</v>
      </c>
      <c r="X930" s="25">
        <v>1</v>
      </c>
      <c r="Y930" s="25">
        <v>0</v>
      </c>
      <c r="Z930" s="25">
        <v>0</v>
      </c>
      <c r="AA930" s="25">
        <v>0</v>
      </c>
      <c r="AB930" s="25">
        <v>0</v>
      </c>
      <c r="AC930" s="25">
        <v>0</v>
      </c>
      <c r="AD930" s="25">
        <v>0</v>
      </c>
      <c r="AE930" s="25">
        <v>1</v>
      </c>
      <c r="AF930" s="25" t="s">
        <v>132</v>
      </c>
    </row>
    <row r="931" spans="1:32" s="25" customFormat="1" x14ac:dyDescent="0.25">
      <c r="A931" s="25" t="s">
        <v>186</v>
      </c>
      <c r="B931" s="25">
        <f t="shared" si="28"/>
        <v>6860</v>
      </c>
      <c r="C931" s="25" t="s">
        <v>12</v>
      </c>
      <c r="D931" s="25">
        <v>0</v>
      </c>
      <c r="E931" s="25">
        <v>0</v>
      </c>
      <c r="F931" s="25">
        <v>256</v>
      </c>
      <c r="G931" s="25">
        <v>222</v>
      </c>
      <c r="H931" s="27">
        <v>0</v>
      </c>
      <c r="I931" s="27">
        <v>0</v>
      </c>
      <c r="J931" s="27">
        <v>0</v>
      </c>
      <c r="K931" s="27">
        <v>0</v>
      </c>
      <c r="L931" s="27">
        <v>1</v>
      </c>
      <c r="M931" s="27">
        <v>0</v>
      </c>
      <c r="N931" s="27">
        <v>0</v>
      </c>
      <c r="O931" s="27">
        <v>0</v>
      </c>
      <c r="P931" s="25">
        <v>700</v>
      </c>
      <c r="Q931" s="25">
        <v>560</v>
      </c>
      <c r="R931" s="25" t="s">
        <v>87</v>
      </c>
      <c r="S931" s="25" t="s">
        <v>89</v>
      </c>
      <c r="T931" s="25">
        <v>0</v>
      </c>
      <c r="U931" s="25">
        <v>0</v>
      </c>
      <c r="V931" s="25">
        <v>0</v>
      </c>
      <c r="W931" s="25">
        <v>0</v>
      </c>
      <c r="X931" s="25">
        <v>1</v>
      </c>
      <c r="Y931" s="25">
        <v>0</v>
      </c>
      <c r="Z931" s="25">
        <v>0</v>
      </c>
      <c r="AA931" s="25">
        <v>0</v>
      </c>
      <c r="AB931" s="25">
        <v>0</v>
      </c>
      <c r="AC931" s="25">
        <v>0</v>
      </c>
      <c r="AD931" s="25">
        <v>0</v>
      </c>
      <c r="AE931" s="25">
        <v>1</v>
      </c>
      <c r="AF931" s="25" t="s">
        <v>132</v>
      </c>
    </row>
    <row r="932" spans="1:32" s="25" customFormat="1" x14ac:dyDescent="0.25">
      <c r="A932" s="25" t="s">
        <v>186</v>
      </c>
      <c r="B932" s="25">
        <f t="shared" si="28"/>
        <v>6870</v>
      </c>
      <c r="C932" s="25" t="s">
        <v>12</v>
      </c>
      <c r="D932" s="25">
        <v>0</v>
      </c>
      <c r="E932" s="25">
        <v>0</v>
      </c>
      <c r="F932" s="25">
        <v>256</v>
      </c>
      <c r="G932" s="25">
        <v>222</v>
      </c>
      <c r="H932" s="27">
        <v>0</v>
      </c>
      <c r="I932" s="27">
        <v>0</v>
      </c>
      <c r="J932" s="27">
        <v>0</v>
      </c>
      <c r="K932" s="27">
        <v>0</v>
      </c>
      <c r="L932" s="27">
        <v>1</v>
      </c>
      <c r="M932" s="27">
        <v>0</v>
      </c>
      <c r="N932" s="27">
        <v>0</v>
      </c>
      <c r="O932" s="27">
        <v>0</v>
      </c>
      <c r="P932" s="25">
        <v>700</v>
      </c>
      <c r="Q932" s="25">
        <v>560</v>
      </c>
      <c r="R932" s="25" t="s">
        <v>87</v>
      </c>
      <c r="S932" s="25" t="s">
        <v>89</v>
      </c>
      <c r="T932" s="25">
        <v>0</v>
      </c>
      <c r="U932" s="25">
        <v>0</v>
      </c>
      <c r="V932" s="25">
        <v>0</v>
      </c>
      <c r="W932" s="25">
        <v>0</v>
      </c>
      <c r="X932" s="25">
        <v>1</v>
      </c>
      <c r="Y932" s="25">
        <v>0</v>
      </c>
      <c r="Z932" s="25">
        <v>0</v>
      </c>
      <c r="AA932" s="25">
        <v>0</v>
      </c>
      <c r="AB932" s="25">
        <v>0</v>
      </c>
      <c r="AC932" s="25">
        <v>0</v>
      </c>
      <c r="AD932" s="25">
        <v>0</v>
      </c>
      <c r="AE932" s="25">
        <v>1</v>
      </c>
      <c r="AF932" s="25" t="s">
        <v>132</v>
      </c>
    </row>
    <row r="933" spans="1:32" s="25" customFormat="1" x14ac:dyDescent="0.25">
      <c r="A933" s="25" t="s">
        <v>186</v>
      </c>
      <c r="B933" s="25">
        <f t="shared" si="28"/>
        <v>6880</v>
      </c>
      <c r="C933" s="25" t="s">
        <v>12</v>
      </c>
      <c r="D933" s="25">
        <v>0</v>
      </c>
      <c r="E933" s="25">
        <v>0</v>
      </c>
      <c r="F933" s="25">
        <v>256</v>
      </c>
      <c r="G933" s="25">
        <v>222</v>
      </c>
      <c r="H933" s="27">
        <v>0</v>
      </c>
      <c r="I933" s="27">
        <v>0</v>
      </c>
      <c r="J933" s="27">
        <v>0</v>
      </c>
      <c r="K933" s="27">
        <v>0</v>
      </c>
      <c r="L933" s="27">
        <v>1</v>
      </c>
      <c r="M933" s="27">
        <v>0</v>
      </c>
      <c r="N933" s="27">
        <v>0</v>
      </c>
      <c r="O933" s="27">
        <v>0</v>
      </c>
      <c r="P933" s="25">
        <v>700</v>
      </c>
      <c r="Q933" s="25">
        <v>560</v>
      </c>
      <c r="R933" s="25" t="s">
        <v>87</v>
      </c>
      <c r="S933" s="25" t="s">
        <v>89</v>
      </c>
      <c r="T933" s="25">
        <v>0</v>
      </c>
      <c r="U933" s="25">
        <v>0</v>
      </c>
      <c r="V933" s="25">
        <v>0</v>
      </c>
      <c r="W933" s="25">
        <v>0</v>
      </c>
      <c r="X933" s="25">
        <v>1</v>
      </c>
      <c r="Y933" s="25">
        <v>0</v>
      </c>
      <c r="Z933" s="25">
        <v>0</v>
      </c>
      <c r="AA933" s="25">
        <v>0</v>
      </c>
      <c r="AB933" s="25">
        <v>0</v>
      </c>
      <c r="AC933" s="25">
        <v>0</v>
      </c>
      <c r="AD933" s="25">
        <v>0</v>
      </c>
      <c r="AE933" s="25">
        <v>1</v>
      </c>
      <c r="AF933" s="25" t="s">
        <v>132</v>
      </c>
    </row>
    <row r="934" spans="1:32" s="25" customFormat="1" x14ac:dyDescent="0.25">
      <c r="A934" s="25" t="s">
        <v>186</v>
      </c>
      <c r="B934" s="25">
        <f t="shared" si="28"/>
        <v>6890</v>
      </c>
      <c r="C934" s="25" t="s">
        <v>12</v>
      </c>
      <c r="D934" s="25">
        <v>0</v>
      </c>
      <c r="E934" s="25">
        <v>0</v>
      </c>
      <c r="F934" s="25">
        <v>256</v>
      </c>
      <c r="G934" s="25">
        <v>222</v>
      </c>
      <c r="H934" s="27">
        <v>0</v>
      </c>
      <c r="I934" s="27">
        <v>0</v>
      </c>
      <c r="J934" s="27">
        <v>0</v>
      </c>
      <c r="K934" s="27">
        <v>0</v>
      </c>
      <c r="L934" s="27">
        <v>1</v>
      </c>
      <c r="M934" s="27">
        <v>0</v>
      </c>
      <c r="N934" s="27">
        <v>0</v>
      </c>
      <c r="O934" s="27">
        <v>0</v>
      </c>
      <c r="P934" s="25">
        <v>700</v>
      </c>
      <c r="Q934" s="25">
        <v>560</v>
      </c>
      <c r="R934" s="25" t="s">
        <v>87</v>
      </c>
      <c r="S934" s="25" t="s">
        <v>89</v>
      </c>
      <c r="T934" s="25">
        <v>0</v>
      </c>
      <c r="U934" s="25">
        <v>0</v>
      </c>
      <c r="V934" s="25">
        <v>0</v>
      </c>
      <c r="W934" s="25">
        <v>0</v>
      </c>
      <c r="X934" s="25">
        <v>1</v>
      </c>
      <c r="Y934" s="25">
        <v>0</v>
      </c>
      <c r="Z934" s="25">
        <v>0</v>
      </c>
      <c r="AA934" s="25">
        <v>0</v>
      </c>
      <c r="AB934" s="25">
        <v>0</v>
      </c>
      <c r="AC934" s="25">
        <v>0</v>
      </c>
      <c r="AD934" s="25">
        <v>0</v>
      </c>
      <c r="AE934" s="25">
        <v>1</v>
      </c>
      <c r="AF934" s="25" t="s">
        <v>132</v>
      </c>
    </row>
    <row r="935" spans="1:32" s="25" customFormat="1" x14ac:dyDescent="0.25">
      <c r="A935" s="25" t="s">
        <v>186</v>
      </c>
      <c r="B935" s="25">
        <f t="shared" si="28"/>
        <v>6900</v>
      </c>
      <c r="C935" s="25" t="s">
        <v>12</v>
      </c>
      <c r="D935" s="25">
        <v>0</v>
      </c>
      <c r="E935" s="25">
        <v>0</v>
      </c>
      <c r="F935" s="25">
        <v>256</v>
      </c>
      <c r="G935" s="25">
        <v>222</v>
      </c>
      <c r="H935" s="27">
        <v>0</v>
      </c>
      <c r="I935" s="27">
        <v>0</v>
      </c>
      <c r="J935" s="27">
        <v>0</v>
      </c>
      <c r="K935" s="27">
        <v>0</v>
      </c>
      <c r="L935" s="27">
        <v>1</v>
      </c>
      <c r="M935" s="27">
        <v>0</v>
      </c>
      <c r="N935" s="27">
        <v>0</v>
      </c>
      <c r="O935" s="27">
        <v>0</v>
      </c>
      <c r="P935" s="25">
        <v>700</v>
      </c>
      <c r="Q935" s="25">
        <v>560</v>
      </c>
      <c r="R935" s="25" t="s">
        <v>87</v>
      </c>
      <c r="S935" s="25" t="s">
        <v>89</v>
      </c>
      <c r="T935" s="25">
        <v>0</v>
      </c>
      <c r="U935" s="25">
        <v>0</v>
      </c>
      <c r="V935" s="25">
        <v>0</v>
      </c>
      <c r="W935" s="25">
        <v>0</v>
      </c>
      <c r="X935" s="25">
        <v>1</v>
      </c>
      <c r="Y935" s="25">
        <v>0</v>
      </c>
      <c r="Z935" s="25">
        <v>0</v>
      </c>
      <c r="AA935" s="25">
        <v>0</v>
      </c>
      <c r="AB935" s="25">
        <v>0</v>
      </c>
      <c r="AC935" s="25">
        <v>0</v>
      </c>
      <c r="AD935" s="25">
        <v>0</v>
      </c>
      <c r="AE935" s="25">
        <v>1</v>
      </c>
      <c r="AF935" s="25" t="s">
        <v>132</v>
      </c>
    </row>
    <row r="936" spans="1:32" s="25" customFormat="1" x14ac:dyDescent="0.25">
      <c r="A936" s="25" t="s">
        <v>186</v>
      </c>
      <c r="B936" s="25">
        <f t="shared" si="28"/>
        <v>6910</v>
      </c>
      <c r="C936" s="25" t="s">
        <v>12</v>
      </c>
      <c r="D936" s="25">
        <v>0</v>
      </c>
      <c r="E936" s="25">
        <v>0</v>
      </c>
      <c r="F936" s="25">
        <v>256</v>
      </c>
      <c r="G936" s="25">
        <v>222</v>
      </c>
      <c r="H936" s="27">
        <v>0</v>
      </c>
      <c r="I936" s="27">
        <v>0</v>
      </c>
      <c r="J936" s="27">
        <v>0</v>
      </c>
      <c r="K936" s="27">
        <v>0</v>
      </c>
      <c r="L936" s="27">
        <v>1</v>
      </c>
      <c r="M936" s="27">
        <v>0</v>
      </c>
      <c r="N936" s="27">
        <v>0</v>
      </c>
      <c r="O936" s="27">
        <v>0</v>
      </c>
      <c r="P936" s="25">
        <v>700</v>
      </c>
      <c r="Q936" s="25">
        <v>560</v>
      </c>
      <c r="R936" s="25" t="s">
        <v>87</v>
      </c>
      <c r="S936" s="25" t="s">
        <v>89</v>
      </c>
      <c r="T936" s="25">
        <v>0</v>
      </c>
      <c r="U936" s="25">
        <v>0</v>
      </c>
      <c r="V936" s="25">
        <v>0</v>
      </c>
      <c r="W936" s="25">
        <v>0</v>
      </c>
      <c r="X936" s="25">
        <v>1</v>
      </c>
      <c r="Y936" s="25">
        <v>0</v>
      </c>
      <c r="Z936" s="25">
        <v>0</v>
      </c>
      <c r="AA936" s="25">
        <v>0</v>
      </c>
      <c r="AB936" s="25">
        <v>0</v>
      </c>
      <c r="AC936" s="25">
        <v>0</v>
      </c>
      <c r="AD936" s="25">
        <v>0</v>
      </c>
      <c r="AE936" s="25">
        <v>1</v>
      </c>
      <c r="AF936" s="25" t="s">
        <v>132</v>
      </c>
    </row>
    <row r="937" spans="1:32" s="25" customFormat="1" x14ac:dyDescent="0.25">
      <c r="A937" s="25" t="s">
        <v>186</v>
      </c>
      <c r="B937" s="25">
        <f t="shared" si="28"/>
        <v>6920</v>
      </c>
      <c r="C937" s="25" t="s">
        <v>12</v>
      </c>
      <c r="D937" s="25">
        <v>0</v>
      </c>
      <c r="E937" s="25">
        <v>0</v>
      </c>
      <c r="F937" s="25">
        <v>256</v>
      </c>
      <c r="G937" s="25">
        <v>222</v>
      </c>
      <c r="H937" s="27">
        <v>0</v>
      </c>
      <c r="I937" s="27">
        <v>0</v>
      </c>
      <c r="J937" s="27">
        <v>0</v>
      </c>
      <c r="K937" s="27">
        <v>0</v>
      </c>
      <c r="L937" s="27">
        <v>1</v>
      </c>
      <c r="M937" s="27">
        <v>0</v>
      </c>
      <c r="N937" s="27">
        <v>0</v>
      </c>
      <c r="O937" s="27">
        <v>0</v>
      </c>
      <c r="P937" s="25">
        <v>700</v>
      </c>
      <c r="Q937" s="25">
        <v>560</v>
      </c>
      <c r="R937" s="25" t="s">
        <v>87</v>
      </c>
      <c r="S937" s="25" t="s">
        <v>89</v>
      </c>
      <c r="T937" s="25">
        <v>0</v>
      </c>
      <c r="U937" s="25">
        <v>0</v>
      </c>
      <c r="V937" s="25">
        <v>0</v>
      </c>
      <c r="W937" s="25">
        <v>0</v>
      </c>
      <c r="X937" s="25">
        <v>1</v>
      </c>
      <c r="Y937" s="25">
        <v>0</v>
      </c>
      <c r="Z937" s="25">
        <v>0</v>
      </c>
      <c r="AA937" s="25">
        <v>0</v>
      </c>
      <c r="AB937" s="25">
        <v>0</v>
      </c>
      <c r="AC937" s="25">
        <v>0</v>
      </c>
      <c r="AD937" s="25">
        <v>0</v>
      </c>
      <c r="AE937" s="25">
        <v>1</v>
      </c>
      <c r="AF937" s="25" t="s">
        <v>132</v>
      </c>
    </row>
    <row r="938" spans="1:32" s="25" customFormat="1" x14ac:dyDescent="0.25">
      <c r="A938" s="25" t="s">
        <v>186</v>
      </c>
      <c r="B938" s="25">
        <f t="shared" si="28"/>
        <v>6930</v>
      </c>
      <c r="C938" s="25" t="s">
        <v>12</v>
      </c>
      <c r="D938" s="25">
        <v>0</v>
      </c>
      <c r="E938" s="25">
        <v>0</v>
      </c>
      <c r="F938" s="25">
        <v>256</v>
      </c>
      <c r="G938" s="25">
        <v>222</v>
      </c>
      <c r="H938" s="27">
        <v>0</v>
      </c>
      <c r="I938" s="27">
        <v>0</v>
      </c>
      <c r="J938" s="27">
        <v>0</v>
      </c>
      <c r="K938" s="27">
        <v>0</v>
      </c>
      <c r="L938" s="27">
        <v>1</v>
      </c>
      <c r="M938" s="27">
        <v>0</v>
      </c>
      <c r="N938" s="27">
        <v>0</v>
      </c>
      <c r="O938" s="27">
        <v>0</v>
      </c>
      <c r="P938" s="25">
        <v>700</v>
      </c>
      <c r="Q938" s="25">
        <v>560</v>
      </c>
      <c r="R938" s="25" t="s">
        <v>87</v>
      </c>
      <c r="S938" s="25" t="s">
        <v>89</v>
      </c>
      <c r="T938" s="25">
        <v>0</v>
      </c>
      <c r="U938" s="25">
        <v>0</v>
      </c>
      <c r="V938" s="25">
        <v>0</v>
      </c>
      <c r="W938" s="25">
        <v>0</v>
      </c>
      <c r="X938" s="25">
        <v>1</v>
      </c>
      <c r="Y938" s="25">
        <v>0</v>
      </c>
      <c r="Z938" s="25">
        <v>0</v>
      </c>
      <c r="AA938" s="25">
        <v>0</v>
      </c>
      <c r="AB938" s="25">
        <v>0</v>
      </c>
      <c r="AC938" s="25">
        <v>0</v>
      </c>
      <c r="AD938" s="25">
        <v>0</v>
      </c>
      <c r="AE938" s="25">
        <v>1</v>
      </c>
      <c r="AF938" s="25" t="s">
        <v>132</v>
      </c>
    </row>
    <row r="939" spans="1:32" s="25" customFormat="1" x14ac:dyDescent="0.25">
      <c r="A939" s="25" t="s">
        <v>186</v>
      </c>
      <c r="B939" s="25">
        <f t="shared" si="28"/>
        <v>6940</v>
      </c>
      <c r="C939" s="25" t="s">
        <v>12</v>
      </c>
      <c r="D939" s="25">
        <v>0</v>
      </c>
      <c r="E939" s="25">
        <v>0</v>
      </c>
      <c r="F939" s="25">
        <v>256</v>
      </c>
      <c r="G939" s="25">
        <v>222</v>
      </c>
      <c r="H939" s="27">
        <v>0</v>
      </c>
      <c r="I939" s="27">
        <v>0</v>
      </c>
      <c r="J939" s="27">
        <v>0</v>
      </c>
      <c r="K939" s="27">
        <v>0</v>
      </c>
      <c r="L939" s="27">
        <v>1</v>
      </c>
      <c r="M939" s="27">
        <v>0</v>
      </c>
      <c r="N939" s="27">
        <v>0</v>
      </c>
      <c r="O939" s="27">
        <v>0</v>
      </c>
      <c r="P939" s="25">
        <v>700</v>
      </c>
      <c r="Q939" s="25">
        <v>560</v>
      </c>
      <c r="R939" s="25" t="s">
        <v>87</v>
      </c>
      <c r="S939" s="25" t="s">
        <v>89</v>
      </c>
      <c r="T939" s="25">
        <v>0</v>
      </c>
      <c r="U939" s="25">
        <v>0</v>
      </c>
      <c r="V939" s="25">
        <v>0</v>
      </c>
      <c r="W939" s="25">
        <v>0</v>
      </c>
      <c r="X939" s="25">
        <v>1</v>
      </c>
      <c r="Y939" s="25">
        <v>0</v>
      </c>
      <c r="Z939" s="25">
        <v>0</v>
      </c>
      <c r="AA939" s="25">
        <v>0</v>
      </c>
      <c r="AB939" s="25">
        <v>0</v>
      </c>
      <c r="AC939" s="25">
        <v>0</v>
      </c>
      <c r="AD939" s="25">
        <v>0</v>
      </c>
      <c r="AE939" s="25">
        <v>1</v>
      </c>
      <c r="AF939" s="25" t="s">
        <v>132</v>
      </c>
    </row>
    <row r="940" spans="1:32" s="25" customFormat="1" x14ac:dyDescent="0.25">
      <c r="A940" s="25" t="s">
        <v>186</v>
      </c>
      <c r="B940" s="25">
        <f t="shared" si="28"/>
        <v>6950</v>
      </c>
      <c r="C940" s="25" t="s">
        <v>12</v>
      </c>
      <c r="D940" s="25">
        <v>0</v>
      </c>
      <c r="E940" s="25">
        <v>0</v>
      </c>
      <c r="F940" s="25">
        <v>256</v>
      </c>
      <c r="G940" s="25">
        <v>222</v>
      </c>
      <c r="H940" s="27">
        <v>0</v>
      </c>
      <c r="I940" s="27">
        <v>0</v>
      </c>
      <c r="J940" s="27">
        <v>0</v>
      </c>
      <c r="K940" s="27">
        <v>0</v>
      </c>
      <c r="L940" s="27">
        <v>1</v>
      </c>
      <c r="M940" s="27">
        <v>0</v>
      </c>
      <c r="N940" s="27">
        <v>0</v>
      </c>
      <c r="O940" s="27">
        <v>0</v>
      </c>
      <c r="P940" s="25">
        <v>700</v>
      </c>
      <c r="Q940" s="25">
        <v>560</v>
      </c>
      <c r="R940" s="25" t="s">
        <v>87</v>
      </c>
      <c r="S940" s="25" t="s">
        <v>89</v>
      </c>
      <c r="T940" s="25">
        <v>0</v>
      </c>
      <c r="U940" s="25">
        <v>0</v>
      </c>
      <c r="V940" s="25">
        <v>0</v>
      </c>
      <c r="W940" s="25">
        <v>0</v>
      </c>
      <c r="X940" s="25">
        <v>1</v>
      </c>
      <c r="Y940" s="25">
        <v>0</v>
      </c>
      <c r="Z940" s="25">
        <v>0</v>
      </c>
      <c r="AA940" s="25">
        <v>0</v>
      </c>
      <c r="AB940" s="25">
        <v>0</v>
      </c>
      <c r="AC940" s="25">
        <v>0</v>
      </c>
      <c r="AD940" s="25">
        <v>0</v>
      </c>
      <c r="AE940" s="25">
        <v>1</v>
      </c>
      <c r="AF940" s="25" t="s">
        <v>132</v>
      </c>
    </row>
    <row r="941" spans="1:32" s="25" customFormat="1" x14ac:dyDescent="0.25">
      <c r="A941" s="25" t="s">
        <v>186</v>
      </c>
      <c r="B941" s="25">
        <f t="shared" si="28"/>
        <v>6960</v>
      </c>
      <c r="C941" s="25" t="s">
        <v>12</v>
      </c>
      <c r="D941" s="25">
        <v>0</v>
      </c>
      <c r="E941" s="25">
        <v>0</v>
      </c>
      <c r="F941" s="25">
        <v>256</v>
      </c>
      <c r="G941" s="25">
        <v>222</v>
      </c>
      <c r="H941" s="27">
        <v>0</v>
      </c>
      <c r="I941" s="27">
        <v>0</v>
      </c>
      <c r="J941" s="27">
        <v>0</v>
      </c>
      <c r="K941" s="27">
        <v>0</v>
      </c>
      <c r="L941" s="27">
        <v>1</v>
      </c>
      <c r="M941" s="27">
        <v>0</v>
      </c>
      <c r="N941" s="27">
        <v>0</v>
      </c>
      <c r="O941" s="27">
        <v>0</v>
      </c>
      <c r="P941" s="25">
        <v>700</v>
      </c>
      <c r="Q941" s="25">
        <v>560</v>
      </c>
      <c r="R941" s="25" t="s">
        <v>87</v>
      </c>
      <c r="S941" s="25" t="s">
        <v>89</v>
      </c>
      <c r="T941" s="25">
        <v>0</v>
      </c>
      <c r="U941" s="25">
        <v>0</v>
      </c>
      <c r="V941" s="25">
        <v>0</v>
      </c>
      <c r="W941" s="25">
        <v>0</v>
      </c>
      <c r="X941" s="25">
        <v>1</v>
      </c>
      <c r="Y941" s="25">
        <v>0</v>
      </c>
      <c r="Z941" s="25">
        <v>0</v>
      </c>
      <c r="AA941" s="25">
        <v>0</v>
      </c>
      <c r="AB941" s="25">
        <v>0</v>
      </c>
      <c r="AC941" s="25">
        <v>0</v>
      </c>
      <c r="AD941" s="25">
        <v>0</v>
      </c>
      <c r="AE941" s="25">
        <v>1</v>
      </c>
      <c r="AF941" s="25" t="s">
        <v>132</v>
      </c>
    </row>
    <row r="942" spans="1:32" s="25" customFormat="1" x14ac:dyDescent="0.25">
      <c r="A942" s="25" t="s">
        <v>186</v>
      </c>
      <c r="B942" s="25">
        <f t="shared" si="28"/>
        <v>6970</v>
      </c>
      <c r="C942" s="25" t="s">
        <v>12</v>
      </c>
      <c r="D942" s="25">
        <v>0</v>
      </c>
      <c r="E942" s="25">
        <v>0</v>
      </c>
      <c r="F942" s="25">
        <v>256</v>
      </c>
      <c r="G942" s="25">
        <v>222</v>
      </c>
      <c r="H942" s="27">
        <v>0</v>
      </c>
      <c r="I942" s="27">
        <v>0</v>
      </c>
      <c r="J942" s="27">
        <v>0</v>
      </c>
      <c r="K942" s="27">
        <v>0</v>
      </c>
      <c r="L942" s="27">
        <v>1</v>
      </c>
      <c r="M942" s="27">
        <v>0</v>
      </c>
      <c r="N942" s="27">
        <v>0</v>
      </c>
      <c r="O942" s="27">
        <v>0</v>
      </c>
      <c r="P942" s="25">
        <v>700</v>
      </c>
      <c r="Q942" s="25">
        <v>560</v>
      </c>
      <c r="R942" s="25" t="s">
        <v>87</v>
      </c>
      <c r="S942" s="25" t="s">
        <v>89</v>
      </c>
      <c r="T942" s="25">
        <v>0</v>
      </c>
      <c r="U942" s="25">
        <v>0</v>
      </c>
      <c r="V942" s="25">
        <v>0</v>
      </c>
      <c r="W942" s="25">
        <v>0</v>
      </c>
      <c r="X942" s="25">
        <v>1</v>
      </c>
      <c r="Y942" s="25">
        <v>0</v>
      </c>
      <c r="Z942" s="25">
        <v>0</v>
      </c>
      <c r="AA942" s="25">
        <v>0</v>
      </c>
      <c r="AB942" s="25">
        <v>0</v>
      </c>
      <c r="AC942" s="25">
        <v>0</v>
      </c>
      <c r="AD942" s="25">
        <v>0</v>
      </c>
      <c r="AE942" s="25">
        <v>1</v>
      </c>
      <c r="AF942" s="25" t="s">
        <v>132</v>
      </c>
    </row>
    <row r="943" spans="1:32" s="25" customFormat="1" x14ac:dyDescent="0.25">
      <c r="A943" s="25" t="s">
        <v>186</v>
      </c>
      <c r="B943" s="25">
        <f t="shared" si="28"/>
        <v>6980</v>
      </c>
      <c r="C943" s="25" t="s">
        <v>12</v>
      </c>
      <c r="D943" s="25">
        <v>0</v>
      </c>
      <c r="E943" s="25">
        <v>0</v>
      </c>
      <c r="F943" s="25">
        <v>256</v>
      </c>
      <c r="G943" s="25">
        <v>222</v>
      </c>
      <c r="H943" s="27">
        <v>0</v>
      </c>
      <c r="I943" s="27">
        <v>0</v>
      </c>
      <c r="J943" s="27">
        <v>0</v>
      </c>
      <c r="K943" s="27">
        <v>0</v>
      </c>
      <c r="L943" s="27">
        <v>1</v>
      </c>
      <c r="M943" s="27">
        <v>0</v>
      </c>
      <c r="N943" s="27">
        <v>0</v>
      </c>
      <c r="O943" s="27">
        <v>0</v>
      </c>
      <c r="P943" s="25">
        <v>700</v>
      </c>
      <c r="Q943" s="25">
        <v>560</v>
      </c>
      <c r="R943" s="25" t="s">
        <v>87</v>
      </c>
      <c r="S943" s="25" t="s">
        <v>89</v>
      </c>
      <c r="T943" s="25">
        <v>0</v>
      </c>
      <c r="U943" s="25">
        <v>0</v>
      </c>
      <c r="V943" s="25">
        <v>0</v>
      </c>
      <c r="W943" s="25">
        <v>0</v>
      </c>
      <c r="X943" s="25">
        <v>1</v>
      </c>
      <c r="Y943" s="25">
        <v>0</v>
      </c>
      <c r="Z943" s="25">
        <v>0</v>
      </c>
      <c r="AA943" s="25">
        <v>0</v>
      </c>
      <c r="AB943" s="25">
        <v>0</v>
      </c>
      <c r="AC943" s="25">
        <v>0</v>
      </c>
      <c r="AD943" s="25">
        <v>0</v>
      </c>
      <c r="AE943" s="25">
        <v>1</v>
      </c>
      <c r="AF943" s="25" t="s">
        <v>132</v>
      </c>
    </row>
    <row r="944" spans="1:32" s="25" customFormat="1" x14ac:dyDescent="0.25">
      <c r="A944" s="25" t="s">
        <v>186</v>
      </c>
      <c r="B944" s="25">
        <f t="shared" si="28"/>
        <v>6990</v>
      </c>
      <c r="C944" s="25" t="s">
        <v>12</v>
      </c>
      <c r="D944" s="25">
        <v>0</v>
      </c>
      <c r="E944" s="25">
        <v>0</v>
      </c>
      <c r="F944" s="25">
        <v>256</v>
      </c>
      <c r="G944" s="25">
        <v>222</v>
      </c>
      <c r="H944" s="27">
        <v>0</v>
      </c>
      <c r="I944" s="27">
        <v>0</v>
      </c>
      <c r="J944" s="27">
        <v>0</v>
      </c>
      <c r="K944" s="27">
        <v>0</v>
      </c>
      <c r="L944" s="27">
        <v>1</v>
      </c>
      <c r="M944" s="27">
        <v>0</v>
      </c>
      <c r="N944" s="27">
        <v>0</v>
      </c>
      <c r="O944" s="27">
        <v>0</v>
      </c>
      <c r="P944" s="25">
        <v>700</v>
      </c>
      <c r="Q944" s="25">
        <v>560</v>
      </c>
      <c r="R944" s="25" t="s">
        <v>87</v>
      </c>
      <c r="S944" s="25" t="s">
        <v>89</v>
      </c>
      <c r="T944" s="25">
        <v>0</v>
      </c>
      <c r="U944" s="25">
        <v>0</v>
      </c>
      <c r="V944" s="25">
        <v>0</v>
      </c>
      <c r="W944" s="25">
        <v>0</v>
      </c>
      <c r="X944" s="25">
        <v>1</v>
      </c>
      <c r="Y944" s="25">
        <v>0</v>
      </c>
      <c r="Z944" s="25">
        <v>0</v>
      </c>
      <c r="AA944" s="25">
        <v>0</v>
      </c>
      <c r="AB944" s="25">
        <v>0</v>
      </c>
      <c r="AC944" s="25">
        <v>0</v>
      </c>
      <c r="AD944" s="25">
        <v>0</v>
      </c>
      <c r="AE944" s="25">
        <v>1</v>
      </c>
      <c r="AF944" s="25" t="s">
        <v>132</v>
      </c>
    </row>
    <row r="945" spans="1:32" s="25" customFormat="1" x14ac:dyDescent="0.25">
      <c r="A945" s="25" t="s">
        <v>186</v>
      </c>
      <c r="B945" s="25">
        <f t="shared" si="28"/>
        <v>7000</v>
      </c>
      <c r="C945" s="25" t="s">
        <v>12</v>
      </c>
      <c r="D945" s="25">
        <v>0</v>
      </c>
      <c r="E945" s="25">
        <v>0</v>
      </c>
      <c r="F945" s="25">
        <v>256</v>
      </c>
      <c r="G945" s="25">
        <v>222</v>
      </c>
      <c r="H945" s="27">
        <v>0</v>
      </c>
      <c r="I945" s="27">
        <v>0</v>
      </c>
      <c r="J945" s="27">
        <v>0</v>
      </c>
      <c r="K945" s="27">
        <v>0</v>
      </c>
      <c r="L945" s="27">
        <v>1</v>
      </c>
      <c r="M945" s="27">
        <v>0</v>
      </c>
      <c r="N945" s="27">
        <v>0</v>
      </c>
      <c r="O945" s="27">
        <v>0</v>
      </c>
      <c r="P945" s="25">
        <v>700</v>
      </c>
      <c r="Q945" s="25">
        <v>560</v>
      </c>
      <c r="R945" s="25" t="s">
        <v>87</v>
      </c>
      <c r="S945" s="25" t="s">
        <v>89</v>
      </c>
      <c r="T945" s="25">
        <v>0</v>
      </c>
      <c r="U945" s="25">
        <v>0</v>
      </c>
      <c r="V945" s="25">
        <v>0</v>
      </c>
      <c r="W945" s="25">
        <v>0</v>
      </c>
      <c r="X945" s="25">
        <v>1</v>
      </c>
      <c r="Y945" s="25">
        <v>0</v>
      </c>
      <c r="Z945" s="25">
        <v>0</v>
      </c>
      <c r="AA945" s="25">
        <v>0</v>
      </c>
      <c r="AB945" s="25">
        <v>0</v>
      </c>
      <c r="AC945" s="25">
        <v>0</v>
      </c>
      <c r="AD945" s="25">
        <v>0</v>
      </c>
      <c r="AE945" s="25">
        <v>1</v>
      </c>
      <c r="AF945" s="25" t="s">
        <v>132</v>
      </c>
    </row>
    <row r="946" spans="1:32" s="25" customFormat="1" x14ac:dyDescent="0.25">
      <c r="A946" s="25" t="s">
        <v>186</v>
      </c>
      <c r="B946" s="25">
        <f t="shared" si="28"/>
        <v>7010</v>
      </c>
      <c r="C946" s="25" t="s">
        <v>12</v>
      </c>
      <c r="D946" s="25">
        <v>0</v>
      </c>
      <c r="E946" s="25">
        <v>0</v>
      </c>
      <c r="F946" s="25">
        <v>256</v>
      </c>
      <c r="G946" s="25">
        <v>222</v>
      </c>
      <c r="H946" s="27">
        <v>0</v>
      </c>
      <c r="I946" s="27">
        <v>0</v>
      </c>
      <c r="J946" s="27">
        <v>0</v>
      </c>
      <c r="K946" s="27">
        <v>0</v>
      </c>
      <c r="L946" s="27">
        <v>1</v>
      </c>
      <c r="M946" s="27">
        <v>0</v>
      </c>
      <c r="N946" s="27">
        <v>0</v>
      </c>
      <c r="O946" s="27">
        <v>0</v>
      </c>
      <c r="P946" s="25">
        <v>700</v>
      </c>
      <c r="Q946" s="25">
        <v>560</v>
      </c>
      <c r="R946" s="25" t="s">
        <v>87</v>
      </c>
      <c r="S946" s="25" t="s">
        <v>89</v>
      </c>
      <c r="T946" s="25">
        <v>0</v>
      </c>
      <c r="U946" s="25">
        <v>0</v>
      </c>
      <c r="V946" s="25">
        <v>0</v>
      </c>
      <c r="W946" s="25">
        <v>0</v>
      </c>
      <c r="X946" s="25">
        <v>1</v>
      </c>
      <c r="Y946" s="25">
        <v>0</v>
      </c>
      <c r="Z946" s="25">
        <v>0</v>
      </c>
      <c r="AA946" s="25">
        <v>0</v>
      </c>
      <c r="AB946" s="25">
        <v>0</v>
      </c>
      <c r="AC946" s="25">
        <v>0</v>
      </c>
      <c r="AD946" s="25">
        <v>0</v>
      </c>
      <c r="AE946" s="25">
        <v>1</v>
      </c>
      <c r="AF946" s="25" t="s">
        <v>132</v>
      </c>
    </row>
    <row r="947" spans="1:32" s="25" customFormat="1" x14ac:dyDescent="0.25">
      <c r="A947" s="25" t="s">
        <v>186</v>
      </c>
      <c r="B947" s="25">
        <f t="shared" si="28"/>
        <v>7020</v>
      </c>
      <c r="C947" s="25" t="s">
        <v>12</v>
      </c>
      <c r="D947" s="25">
        <v>0</v>
      </c>
      <c r="E947" s="25">
        <v>0</v>
      </c>
      <c r="F947" s="25">
        <v>256</v>
      </c>
      <c r="G947" s="25">
        <v>222</v>
      </c>
      <c r="H947" s="27">
        <v>0</v>
      </c>
      <c r="I947" s="27">
        <v>0</v>
      </c>
      <c r="J947" s="27">
        <v>0</v>
      </c>
      <c r="K947" s="27">
        <v>0</v>
      </c>
      <c r="L947" s="27">
        <v>1</v>
      </c>
      <c r="M947" s="27">
        <v>0</v>
      </c>
      <c r="N947" s="27">
        <v>0</v>
      </c>
      <c r="O947" s="27">
        <v>0</v>
      </c>
      <c r="P947" s="25">
        <v>700</v>
      </c>
      <c r="Q947" s="25">
        <v>560</v>
      </c>
      <c r="R947" s="25" t="s">
        <v>87</v>
      </c>
      <c r="S947" s="25" t="s">
        <v>89</v>
      </c>
      <c r="T947" s="25">
        <v>0</v>
      </c>
      <c r="U947" s="25">
        <v>0</v>
      </c>
      <c r="V947" s="25">
        <v>0</v>
      </c>
      <c r="W947" s="25">
        <v>0</v>
      </c>
      <c r="X947" s="25">
        <v>1</v>
      </c>
      <c r="Y947" s="25">
        <v>0</v>
      </c>
      <c r="Z947" s="25">
        <v>0</v>
      </c>
      <c r="AA947" s="25">
        <v>0</v>
      </c>
      <c r="AB947" s="25">
        <v>0</v>
      </c>
      <c r="AC947" s="25">
        <v>0</v>
      </c>
      <c r="AD947" s="25">
        <v>0</v>
      </c>
      <c r="AE947" s="25">
        <v>1</v>
      </c>
      <c r="AF947" s="25" t="s">
        <v>132</v>
      </c>
    </row>
    <row r="948" spans="1:32" s="25" customFormat="1" x14ac:dyDescent="0.25">
      <c r="A948" s="25" t="s">
        <v>186</v>
      </c>
      <c r="B948" s="25">
        <f t="shared" si="28"/>
        <v>7030</v>
      </c>
      <c r="C948" s="25" t="s">
        <v>12</v>
      </c>
      <c r="D948" s="25">
        <v>0</v>
      </c>
      <c r="E948" s="25">
        <v>0</v>
      </c>
      <c r="F948" s="25">
        <v>256</v>
      </c>
      <c r="G948" s="25">
        <v>222</v>
      </c>
      <c r="H948" s="27">
        <v>0</v>
      </c>
      <c r="I948" s="27">
        <v>0</v>
      </c>
      <c r="J948" s="27">
        <v>0</v>
      </c>
      <c r="K948" s="27">
        <v>0</v>
      </c>
      <c r="L948" s="27">
        <v>1</v>
      </c>
      <c r="M948" s="27">
        <v>0</v>
      </c>
      <c r="N948" s="27">
        <v>0</v>
      </c>
      <c r="O948" s="27">
        <v>0</v>
      </c>
      <c r="P948" s="25">
        <v>700</v>
      </c>
      <c r="Q948" s="25">
        <v>560</v>
      </c>
      <c r="R948" s="25" t="s">
        <v>87</v>
      </c>
      <c r="S948" s="25" t="s">
        <v>89</v>
      </c>
      <c r="T948" s="25">
        <v>0</v>
      </c>
      <c r="U948" s="25">
        <v>0</v>
      </c>
      <c r="V948" s="25">
        <v>0</v>
      </c>
      <c r="W948" s="25">
        <v>0</v>
      </c>
      <c r="X948" s="25">
        <v>1</v>
      </c>
      <c r="Y948" s="25">
        <v>0</v>
      </c>
      <c r="Z948" s="25">
        <v>0</v>
      </c>
      <c r="AA948" s="25">
        <v>0</v>
      </c>
      <c r="AB948" s="25">
        <v>0</v>
      </c>
      <c r="AC948" s="25">
        <v>0</v>
      </c>
      <c r="AD948" s="25">
        <v>0</v>
      </c>
      <c r="AE948" s="25">
        <v>1</v>
      </c>
      <c r="AF948" s="25" t="s">
        <v>132</v>
      </c>
    </row>
    <row r="949" spans="1:32" s="25" customFormat="1" x14ac:dyDescent="0.25">
      <c r="A949" s="25" t="s">
        <v>186</v>
      </c>
      <c r="B949" s="25">
        <f t="shared" si="28"/>
        <v>7040</v>
      </c>
      <c r="C949" s="25" t="s">
        <v>12</v>
      </c>
      <c r="D949" s="25">
        <v>0</v>
      </c>
      <c r="E949" s="25">
        <v>0</v>
      </c>
      <c r="F949" s="25">
        <v>256</v>
      </c>
      <c r="G949" s="25">
        <v>222</v>
      </c>
      <c r="H949" s="27">
        <v>0</v>
      </c>
      <c r="I949" s="27">
        <v>0</v>
      </c>
      <c r="J949" s="27">
        <v>0</v>
      </c>
      <c r="K949" s="27">
        <v>0</v>
      </c>
      <c r="L949" s="27">
        <v>1</v>
      </c>
      <c r="M949" s="27">
        <v>0</v>
      </c>
      <c r="N949" s="27">
        <v>0</v>
      </c>
      <c r="O949" s="27">
        <v>0</v>
      </c>
      <c r="P949" s="25">
        <v>700</v>
      </c>
      <c r="Q949" s="25">
        <v>560</v>
      </c>
      <c r="R949" s="25" t="s">
        <v>87</v>
      </c>
      <c r="S949" s="25" t="s">
        <v>89</v>
      </c>
      <c r="T949" s="25">
        <v>0</v>
      </c>
      <c r="U949" s="25">
        <v>0</v>
      </c>
      <c r="V949" s="25">
        <v>0</v>
      </c>
      <c r="W949" s="25">
        <v>0</v>
      </c>
      <c r="X949" s="25">
        <v>1</v>
      </c>
      <c r="Y949" s="25">
        <v>0</v>
      </c>
      <c r="Z949" s="25">
        <v>0</v>
      </c>
      <c r="AA949" s="25">
        <v>0</v>
      </c>
      <c r="AB949" s="25">
        <v>0</v>
      </c>
      <c r="AC949" s="25">
        <v>0</v>
      </c>
      <c r="AD949" s="25">
        <v>0</v>
      </c>
      <c r="AE949" s="25">
        <v>1</v>
      </c>
      <c r="AF949" s="25" t="s">
        <v>132</v>
      </c>
    </row>
    <row r="950" spans="1:32" s="25" customFormat="1" x14ac:dyDescent="0.25">
      <c r="A950" s="25" t="s">
        <v>186</v>
      </c>
      <c r="B950" s="25">
        <f t="shared" si="28"/>
        <v>7050</v>
      </c>
      <c r="C950" s="25" t="s">
        <v>12</v>
      </c>
      <c r="D950" s="25">
        <v>0</v>
      </c>
      <c r="E950" s="25">
        <v>0</v>
      </c>
      <c r="F950" s="25">
        <v>256</v>
      </c>
      <c r="G950" s="25">
        <v>222</v>
      </c>
      <c r="H950" s="27">
        <v>0</v>
      </c>
      <c r="I950" s="27">
        <v>0</v>
      </c>
      <c r="J950" s="27">
        <v>0</v>
      </c>
      <c r="K950" s="27">
        <v>0</v>
      </c>
      <c r="L950" s="27">
        <v>1</v>
      </c>
      <c r="M950" s="27">
        <v>0</v>
      </c>
      <c r="N950" s="27">
        <v>0</v>
      </c>
      <c r="O950" s="27">
        <v>0</v>
      </c>
      <c r="P950" s="25">
        <v>700</v>
      </c>
      <c r="Q950" s="25">
        <v>560</v>
      </c>
      <c r="R950" s="25" t="s">
        <v>87</v>
      </c>
      <c r="S950" s="25" t="s">
        <v>89</v>
      </c>
      <c r="T950" s="25">
        <v>0</v>
      </c>
      <c r="U950" s="25">
        <v>0</v>
      </c>
      <c r="V950" s="25">
        <v>0</v>
      </c>
      <c r="W950" s="25">
        <v>0</v>
      </c>
      <c r="X950" s="25">
        <v>1</v>
      </c>
      <c r="Y950" s="25">
        <v>0</v>
      </c>
      <c r="Z950" s="25">
        <v>0</v>
      </c>
      <c r="AA950" s="25">
        <v>0</v>
      </c>
      <c r="AB950" s="25">
        <v>0</v>
      </c>
      <c r="AC950" s="25">
        <v>0</v>
      </c>
      <c r="AD950" s="25">
        <v>0</v>
      </c>
      <c r="AE950" s="25">
        <v>1</v>
      </c>
      <c r="AF950" s="25" t="s">
        <v>132</v>
      </c>
    </row>
    <row r="951" spans="1:32" s="25" customFormat="1" x14ac:dyDescent="0.25">
      <c r="A951" s="25" t="s">
        <v>186</v>
      </c>
      <c r="B951" s="25">
        <f t="shared" si="28"/>
        <v>7060</v>
      </c>
      <c r="C951" s="25" t="s">
        <v>12</v>
      </c>
      <c r="D951" s="25">
        <v>0</v>
      </c>
      <c r="E951" s="25">
        <v>0</v>
      </c>
      <c r="F951" s="25">
        <v>256</v>
      </c>
      <c r="G951" s="25">
        <v>222</v>
      </c>
      <c r="H951" s="27">
        <v>0</v>
      </c>
      <c r="I951" s="27">
        <v>0</v>
      </c>
      <c r="J951" s="27">
        <v>0</v>
      </c>
      <c r="K951" s="27">
        <v>0</v>
      </c>
      <c r="L951" s="27">
        <v>1</v>
      </c>
      <c r="M951" s="27">
        <v>0</v>
      </c>
      <c r="N951" s="27">
        <v>0</v>
      </c>
      <c r="O951" s="27">
        <v>0</v>
      </c>
      <c r="P951" s="25">
        <v>700</v>
      </c>
      <c r="Q951" s="25">
        <v>560</v>
      </c>
      <c r="R951" s="25" t="s">
        <v>87</v>
      </c>
      <c r="S951" s="25" t="s">
        <v>89</v>
      </c>
      <c r="T951" s="25">
        <v>0</v>
      </c>
      <c r="U951" s="25">
        <v>0</v>
      </c>
      <c r="V951" s="25">
        <v>0</v>
      </c>
      <c r="W951" s="25">
        <v>0</v>
      </c>
      <c r="X951" s="25">
        <v>1</v>
      </c>
      <c r="Y951" s="25">
        <v>0</v>
      </c>
      <c r="Z951" s="25">
        <v>0</v>
      </c>
      <c r="AA951" s="25">
        <v>0</v>
      </c>
      <c r="AB951" s="25">
        <v>0</v>
      </c>
      <c r="AC951" s="25">
        <v>0</v>
      </c>
      <c r="AD951" s="25">
        <v>0</v>
      </c>
      <c r="AE951" s="25">
        <v>1</v>
      </c>
      <c r="AF951" s="25" t="s">
        <v>132</v>
      </c>
    </row>
    <row r="952" spans="1:32" s="25" customFormat="1" x14ac:dyDescent="0.25">
      <c r="A952" s="25" t="s">
        <v>186</v>
      </c>
      <c r="B952" s="25">
        <f t="shared" si="28"/>
        <v>7070</v>
      </c>
      <c r="C952" s="25" t="s">
        <v>12</v>
      </c>
      <c r="D952" s="25">
        <v>0</v>
      </c>
      <c r="E952" s="25">
        <v>0</v>
      </c>
      <c r="F952" s="25">
        <v>256</v>
      </c>
      <c r="G952" s="25">
        <v>222</v>
      </c>
      <c r="H952" s="27">
        <v>0</v>
      </c>
      <c r="I952" s="27">
        <v>0</v>
      </c>
      <c r="J952" s="27">
        <v>0</v>
      </c>
      <c r="K952" s="27">
        <v>0</v>
      </c>
      <c r="L952" s="27">
        <v>1</v>
      </c>
      <c r="M952" s="27">
        <v>0</v>
      </c>
      <c r="N952" s="27">
        <v>0</v>
      </c>
      <c r="O952" s="27">
        <v>0</v>
      </c>
      <c r="P952" s="25">
        <v>700</v>
      </c>
      <c r="Q952" s="25">
        <v>560</v>
      </c>
      <c r="R952" s="25" t="s">
        <v>87</v>
      </c>
      <c r="S952" s="25" t="s">
        <v>89</v>
      </c>
      <c r="T952" s="25">
        <v>0</v>
      </c>
      <c r="U952" s="25">
        <v>0</v>
      </c>
      <c r="V952" s="25">
        <v>0</v>
      </c>
      <c r="W952" s="25">
        <v>0</v>
      </c>
      <c r="X952" s="25">
        <v>1</v>
      </c>
      <c r="Y952" s="25">
        <v>0</v>
      </c>
      <c r="Z952" s="25">
        <v>0</v>
      </c>
      <c r="AA952" s="25">
        <v>0</v>
      </c>
      <c r="AB952" s="25">
        <v>0</v>
      </c>
      <c r="AC952" s="25">
        <v>0</v>
      </c>
      <c r="AD952" s="25">
        <v>0</v>
      </c>
      <c r="AE952" s="25">
        <v>1</v>
      </c>
      <c r="AF952" s="25" t="s">
        <v>132</v>
      </c>
    </row>
    <row r="953" spans="1:32" s="25" customFormat="1" x14ac:dyDescent="0.25">
      <c r="A953" s="25" t="s">
        <v>186</v>
      </c>
      <c r="B953" s="25">
        <f t="shared" si="28"/>
        <v>7080</v>
      </c>
      <c r="C953" s="25" t="s">
        <v>12</v>
      </c>
      <c r="D953" s="25">
        <v>0</v>
      </c>
      <c r="E953" s="25">
        <v>0</v>
      </c>
      <c r="F953" s="25">
        <v>256</v>
      </c>
      <c r="G953" s="25">
        <v>222</v>
      </c>
      <c r="H953" s="27">
        <v>0</v>
      </c>
      <c r="I953" s="27">
        <v>0</v>
      </c>
      <c r="J953" s="27">
        <v>0</v>
      </c>
      <c r="K953" s="27">
        <v>0</v>
      </c>
      <c r="L953" s="27">
        <v>1</v>
      </c>
      <c r="M953" s="27">
        <v>0</v>
      </c>
      <c r="N953" s="27">
        <v>0</v>
      </c>
      <c r="O953" s="27">
        <v>0</v>
      </c>
      <c r="P953" s="25">
        <v>700</v>
      </c>
      <c r="Q953" s="25">
        <v>560</v>
      </c>
      <c r="R953" s="25" t="s">
        <v>87</v>
      </c>
      <c r="S953" s="25" t="s">
        <v>89</v>
      </c>
      <c r="T953" s="25">
        <v>0</v>
      </c>
      <c r="U953" s="25">
        <v>0</v>
      </c>
      <c r="V953" s="25">
        <v>0</v>
      </c>
      <c r="W953" s="25">
        <v>0</v>
      </c>
      <c r="X953" s="25">
        <v>1</v>
      </c>
      <c r="Y953" s="25">
        <v>0</v>
      </c>
      <c r="Z953" s="25">
        <v>0</v>
      </c>
      <c r="AA953" s="25">
        <v>0</v>
      </c>
      <c r="AB953" s="25">
        <v>0</v>
      </c>
      <c r="AC953" s="25">
        <v>0</v>
      </c>
      <c r="AD953" s="25">
        <v>0</v>
      </c>
      <c r="AE953" s="25">
        <v>1</v>
      </c>
      <c r="AF953" s="25" t="s">
        <v>132</v>
      </c>
    </row>
    <row r="954" spans="1:32" s="25" customFormat="1" x14ac:dyDescent="0.25">
      <c r="A954" s="25" t="s">
        <v>186</v>
      </c>
      <c r="B954" s="25">
        <f t="shared" si="28"/>
        <v>7090</v>
      </c>
      <c r="C954" s="25" t="s">
        <v>12</v>
      </c>
      <c r="D954" s="25">
        <v>0</v>
      </c>
      <c r="E954" s="25">
        <v>0</v>
      </c>
      <c r="F954" s="25">
        <v>256</v>
      </c>
      <c r="G954" s="25">
        <v>222</v>
      </c>
      <c r="H954" s="27">
        <v>0</v>
      </c>
      <c r="I954" s="27">
        <v>0</v>
      </c>
      <c r="J954" s="27">
        <v>0</v>
      </c>
      <c r="K954" s="27">
        <v>0</v>
      </c>
      <c r="L954" s="27">
        <v>1</v>
      </c>
      <c r="M954" s="27">
        <v>0</v>
      </c>
      <c r="N954" s="27">
        <v>0</v>
      </c>
      <c r="O954" s="27">
        <v>0</v>
      </c>
      <c r="P954" s="25">
        <v>700</v>
      </c>
      <c r="Q954" s="25">
        <v>560</v>
      </c>
      <c r="R954" s="25" t="s">
        <v>87</v>
      </c>
      <c r="S954" s="25" t="s">
        <v>89</v>
      </c>
      <c r="T954" s="25">
        <v>0</v>
      </c>
      <c r="U954" s="25">
        <v>0</v>
      </c>
      <c r="V954" s="25">
        <v>0</v>
      </c>
      <c r="W954" s="25">
        <v>0</v>
      </c>
      <c r="X954" s="25">
        <v>1</v>
      </c>
      <c r="Y954" s="25">
        <v>0</v>
      </c>
      <c r="Z954" s="25">
        <v>0</v>
      </c>
      <c r="AA954" s="25">
        <v>0</v>
      </c>
      <c r="AB954" s="25">
        <v>0</v>
      </c>
      <c r="AC954" s="25">
        <v>0</v>
      </c>
      <c r="AD954" s="25">
        <v>0</v>
      </c>
      <c r="AE954" s="25">
        <v>1</v>
      </c>
      <c r="AF954" s="25" t="s">
        <v>132</v>
      </c>
    </row>
    <row r="955" spans="1:32" s="25" customFormat="1" x14ac:dyDescent="0.25">
      <c r="A955" s="25" t="s">
        <v>186</v>
      </c>
      <c r="B955" s="25">
        <f t="shared" si="28"/>
        <v>7100</v>
      </c>
      <c r="C955" s="25" t="s">
        <v>12</v>
      </c>
      <c r="D955" s="25">
        <v>0</v>
      </c>
      <c r="E955" s="25">
        <v>0</v>
      </c>
      <c r="F955" s="25">
        <v>256</v>
      </c>
      <c r="G955" s="25">
        <v>222</v>
      </c>
      <c r="H955" s="27">
        <v>0</v>
      </c>
      <c r="I955" s="27">
        <v>0</v>
      </c>
      <c r="J955" s="27">
        <v>0</v>
      </c>
      <c r="K955" s="27">
        <v>0</v>
      </c>
      <c r="L955" s="27">
        <v>1</v>
      </c>
      <c r="M955" s="27">
        <v>0</v>
      </c>
      <c r="N955" s="27">
        <v>0</v>
      </c>
      <c r="O955" s="27">
        <v>0</v>
      </c>
      <c r="P955" s="25">
        <v>700</v>
      </c>
      <c r="Q955" s="25">
        <v>560</v>
      </c>
      <c r="R955" s="25" t="s">
        <v>87</v>
      </c>
      <c r="S955" s="25" t="s">
        <v>89</v>
      </c>
      <c r="T955" s="25">
        <v>0</v>
      </c>
      <c r="U955" s="25">
        <v>0</v>
      </c>
      <c r="V955" s="25">
        <v>0</v>
      </c>
      <c r="W955" s="25">
        <v>0</v>
      </c>
      <c r="X955" s="25">
        <v>1</v>
      </c>
      <c r="Y955" s="25">
        <v>0</v>
      </c>
      <c r="Z955" s="25">
        <v>0</v>
      </c>
      <c r="AA955" s="25">
        <v>0</v>
      </c>
      <c r="AB955" s="25">
        <v>0</v>
      </c>
      <c r="AC955" s="25">
        <v>0</v>
      </c>
      <c r="AD955" s="25">
        <v>0</v>
      </c>
      <c r="AE955" s="25">
        <v>1</v>
      </c>
      <c r="AF955" s="25" t="s">
        <v>132</v>
      </c>
    </row>
    <row r="956" spans="1:32" x14ac:dyDescent="0.25">
      <c r="A956" t="s">
        <v>186</v>
      </c>
      <c r="B956" s="25">
        <f t="shared" si="28"/>
        <v>7110</v>
      </c>
      <c r="C956" t="s">
        <v>12</v>
      </c>
      <c r="D956">
        <v>0</v>
      </c>
      <c r="E956">
        <v>0</v>
      </c>
      <c r="F956">
        <v>256</v>
      </c>
      <c r="G956">
        <v>222</v>
      </c>
      <c r="H956" s="27">
        <v>0</v>
      </c>
      <c r="I956" s="27">
        <v>0</v>
      </c>
      <c r="J956" s="27">
        <v>0</v>
      </c>
      <c r="K956" s="27">
        <v>0</v>
      </c>
      <c r="L956" s="27">
        <v>1</v>
      </c>
      <c r="M956" s="27">
        <v>0</v>
      </c>
      <c r="N956" s="27">
        <v>0</v>
      </c>
      <c r="O956" s="27">
        <v>0</v>
      </c>
      <c r="P956">
        <v>700</v>
      </c>
      <c r="Q956">
        <v>560</v>
      </c>
      <c r="R956" t="s">
        <v>87</v>
      </c>
      <c r="S956" t="s">
        <v>89</v>
      </c>
      <c r="T956">
        <v>0</v>
      </c>
      <c r="U956">
        <v>0</v>
      </c>
      <c r="V956">
        <v>0</v>
      </c>
      <c r="W956">
        <v>0</v>
      </c>
      <c r="X956">
        <v>1</v>
      </c>
      <c r="Y956">
        <v>0</v>
      </c>
      <c r="Z956">
        <v>0</v>
      </c>
      <c r="AA956">
        <v>0</v>
      </c>
      <c r="AB956">
        <v>0</v>
      </c>
      <c r="AC956">
        <v>0</v>
      </c>
      <c r="AD956">
        <v>0</v>
      </c>
      <c r="AE956">
        <v>1</v>
      </c>
      <c r="AF956" t="s">
        <v>132</v>
      </c>
    </row>
    <row r="957" spans="1:32" x14ac:dyDescent="0.25">
      <c r="A957" t="s">
        <v>186</v>
      </c>
      <c r="B957" s="25">
        <f t="shared" si="28"/>
        <v>7120</v>
      </c>
      <c r="C957" t="s">
        <v>12</v>
      </c>
      <c r="D957" t="s">
        <v>13</v>
      </c>
      <c r="E957" t="s">
        <v>13</v>
      </c>
      <c r="F957" t="s">
        <v>13</v>
      </c>
      <c r="G957" t="s">
        <v>13</v>
      </c>
      <c r="H957" s="27" t="s">
        <v>13</v>
      </c>
      <c r="I957" s="27" t="s">
        <v>13</v>
      </c>
      <c r="J957" s="27" t="s">
        <v>13</v>
      </c>
      <c r="K957" s="27" t="s">
        <v>13</v>
      </c>
      <c r="L957" s="27" t="s">
        <v>13</v>
      </c>
      <c r="M957" s="27" t="s">
        <v>13</v>
      </c>
      <c r="N957" s="27" t="s">
        <v>13</v>
      </c>
      <c r="O957" s="27" t="s">
        <v>13</v>
      </c>
      <c r="P957">
        <v>700</v>
      </c>
      <c r="Q957">
        <v>560</v>
      </c>
      <c r="R957" t="s">
        <v>87</v>
      </c>
      <c r="S957" t="s">
        <v>89</v>
      </c>
      <c r="T957">
        <v>0</v>
      </c>
      <c r="U957">
        <v>0</v>
      </c>
      <c r="V957">
        <v>0</v>
      </c>
      <c r="W957">
        <v>0</v>
      </c>
      <c r="X957">
        <v>1</v>
      </c>
      <c r="Y957">
        <v>0</v>
      </c>
      <c r="Z957">
        <v>0</v>
      </c>
      <c r="AA957">
        <v>0</v>
      </c>
      <c r="AB957">
        <v>0</v>
      </c>
      <c r="AC957">
        <v>0</v>
      </c>
      <c r="AD957">
        <v>0</v>
      </c>
      <c r="AE957">
        <v>1</v>
      </c>
      <c r="AF957" t="s">
        <v>128</v>
      </c>
    </row>
    <row r="958" spans="1:32" x14ac:dyDescent="0.25">
      <c r="A958" t="s">
        <v>186</v>
      </c>
      <c r="B958" s="25">
        <f t="shared" si="28"/>
        <v>7130</v>
      </c>
      <c r="C958" t="s">
        <v>12</v>
      </c>
      <c r="D958" t="s">
        <v>13</v>
      </c>
      <c r="E958" t="s">
        <v>13</v>
      </c>
      <c r="F958" t="s">
        <v>13</v>
      </c>
      <c r="G958" t="s">
        <v>13</v>
      </c>
      <c r="H958" s="27" t="s">
        <v>13</v>
      </c>
      <c r="I958" s="27" t="s">
        <v>13</v>
      </c>
      <c r="J958" s="27" t="s">
        <v>13</v>
      </c>
      <c r="K958" s="27" t="s">
        <v>13</v>
      </c>
      <c r="L958" s="27" t="s">
        <v>13</v>
      </c>
      <c r="M958" s="27" t="s">
        <v>13</v>
      </c>
      <c r="N958" s="27" t="s">
        <v>13</v>
      </c>
      <c r="O958" s="27" t="s">
        <v>13</v>
      </c>
      <c r="P958">
        <v>700</v>
      </c>
      <c r="Q958">
        <v>560</v>
      </c>
      <c r="R958" t="s">
        <v>87</v>
      </c>
      <c r="S958" t="s">
        <v>89</v>
      </c>
      <c r="T958">
        <v>0</v>
      </c>
      <c r="U958">
        <v>0</v>
      </c>
      <c r="V958">
        <v>0</v>
      </c>
      <c r="W958">
        <v>0</v>
      </c>
      <c r="X958">
        <v>1</v>
      </c>
      <c r="Y958">
        <v>0</v>
      </c>
      <c r="Z958">
        <v>0</v>
      </c>
      <c r="AA958">
        <v>0</v>
      </c>
      <c r="AB958">
        <v>0</v>
      </c>
      <c r="AC958">
        <v>0</v>
      </c>
      <c r="AD958">
        <v>0</v>
      </c>
      <c r="AE958">
        <v>1</v>
      </c>
      <c r="AF958" t="s">
        <v>129</v>
      </c>
    </row>
    <row r="959" spans="1:32" x14ac:dyDescent="0.25">
      <c r="A959" t="s">
        <v>186</v>
      </c>
      <c r="B959" s="25">
        <f t="shared" si="28"/>
        <v>7140</v>
      </c>
      <c r="C959" t="s">
        <v>12</v>
      </c>
      <c r="D959" t="s">
        <v>13</v>
      </c>
      <c r="E959" t="s">
        <v>13</v>
      </c>
      <c r="F959" t="s">
        <v>13</v>
      </c>
      <c r="G959" t="s">
        <v>13</v>
      </c>
      <c r="H959" s="27" t="s">
        <v>13</v>
      </c>
      <c r="I959" s="27" t="s">
        <v>13</v>
      </c>
      <c r="J959" s="27" t="s">
        <v>13</v>
      </c>
      <c r="K959" s="27" t="s">
        <v>13</v>
      </c>
      <c r="L959" s="27" t="s">
        <v>13</v>
      </c>
      <c r="M959" s="27" t="s">
        <v>13</v>
      </c>
      <c r="N959" s="27" t="s">
        <v>13</v>
      </c>
      <c r="O959" s="27" t="s">
        <v>13</v>
      </c>
      <c r="P959">
        <v>700</v>
      </c>
      <c r="Q959">
        <v>560</v>
      </c>
      <c r="R959" t="s">
        <v>87</v>
      </c>
      <c r="S959" t="s">
        <v>89</v>
      </c>
      <c r="T959">
        <v>0</v>
      </c>
      <c r="U959">
        <v>0</v>
      </c>
      <c r="V959">
        <v>0</v>
      </c>
      <c r="W959">
        <v>0</v>
      </c>
      <c r="X959">
        <v>1</v>
      </c>
      <c r="Y959">
        <v>0</v>
      </c>
      <c r="Z959">
        <v>0</v>
      </c>
      <c r="AA959">
        <v>0</v>
      </c>
      <c r="AB959">
        <v>0</v>
      </c>
      <c r="AC959">
        <v>0</v>
      </c>
      <c r="AD959">
        <v>0</v>
      </c>
      <c r="AE959">
        <v>1</v>
      </c>
      <c r="AF959" t="s">
        <v>130</v>
      </c>
    </row>
    <row r="960" spans="1:32" x14ac:dyDescent="0.25">
      <c r="A960" t="s">
        <v>186</v>
      </c>
      <c r="B960" s="25">
        <f t="shared" si="28"/>
        <v>7150</v>
      </c>
      <c r="C960" t="s">
        <v>12</v>
      </c>
      <c r="D960">
        <v>0</v>
      </c>
      <c r="E960">
        <v>0</v>
      </c>
      <c r="F960">
        <v>256</v>
      </c>
      <c r="G960">
        <v>222</v>
      </c>
      <c r="H960" s="27">
        <v>0</v>
      </c>
      <c r="I960" s="27">
        <v>0</v>
      </c>
      <c r="J960" s="27">
        <v>0</v>
      </c>
      <c r="K960" s="27">
        <v>0</v>
      </c>
      <c r="L960" s="27">
        <v>1</v>
      </c>
      <c r="M960" s="27">
        <v>0</v>
      </c>
      <c r="N960" s="27">
        <v>0</v>
      </c>
      <c r="O960" s="27">
        <v>0</v>
      </c>
      <c r="P960">
        <v>700</v>
      </c>
      <c r="Q960">
        <v>560</v>
      </c>
      <c r="R960" t="s">
        <v>87</v>
      </c>
      <c r="S960" t="s">
        <v>89</v>
      </c>
      <c r="T960">
        <v>0</v>
      </c>
      <c r="U960">
        <v>0</v>
      </c>
      <c r="V960">
        <v>0</v>
      </c>
      <c r="W960">
        <v>0</v>
      </c>
      <c r="X960">
        <v>1</v>
      </c>
      <c r="Y960">
        <v>0</v>
      </c>
      <c r="Z960">
        <v>0</v>
      </c>
      <c r="AA960">
        <v>0</v>
      </c>
      <c r="AB960">
        <v>0</v>
      </c>
      <c r="AC960">
        <v>0</v>
      </c>
      <c r="AD960">
        <v>0</v>
      </c>
      <c r="AE960">
        <v>1</v>
      </c>
      <c r="AF960" t="s">
        <v>131</v>
      </c>
    </row>
    <row r="961" spans="1:32" s="25" customFormat="1" x14ac:dyDescent="0.25">
      <c r="A961" s="25" t="s">
        <v>186</v>
      </c>
      <c r="B961" s="25">
        <f t="shared" ref="B961:B1011" si="29">B960+10</f>
        <v>7160</v>
      </c>
      <c r="C961" s="25" t="s">
        <v>12</v>
      </c>
      <c r="D961" s="25">
        <v>0</v>
      </c>
      <c r="E961" s="25">
        <v>0</v>
      </c>
      <c r="F961" s="25">
        <v>256</v>
      </c>
      <c r="G961" s="25">
        <v>222</v>
      </c>
      <c r="H961" s="27">
        <v>0</v>
      </c>
      <c r="I961" s="27">
        <v>0</v>
      </c>
      <c r="J961" s="27">
        <v>0</v>
      </c>
      <c r="K961" s="27">
        <v>0</v>
      </c>
      <c r="L961" s="27">
        <v>1</v>
      </c>
      <c r="M961" s="27">
        <v>0</v>
      </c>
      <c r="N961" s="27">
        <v>0</v>
      </c>
      <c r="O961" s="27">
        <v>0</v>
      </c>
      <c r="P961" s="25">
        <v>700</v>
      </c>
      <c r="Q961" s="25">
        <v>560</v>
      </c>
      <c r="R961" s="25" t="s">
        <v>87</v>
      </c>
      <c r="S961" s="25" t="s">
        <v>89</v>
      </c>
      <c r="T961" s="25">
        <v>0</v>
      </c>
      <c r="U961" s="25">
        <v>0</v>
      </c>
      <c r="V961" s="25">
        <v>0</v>
      </c>
      <c r="W961" s="25">
        <v>0</v>
      </c>
      <c r="X961" s="25">
        <v>1</v>
      </c>
      <c r="Y961" s="25">
        <v>0</v>
      </c>
      <c r="Z961" s="25">
        <v>0</v>
      </c>
      <c r="AA961" s="25">
        <v>0</v>
      </c>
      <c r="AB961" s="25">
        <v>0</v>
      </c>
      <c r="AC961" s="25">
        <v>0</v>
      </c>
      <c r="AD961" s="25">
        <v>0</v>
      </c>
      <c r="AE961" s="25">
        <v>1</v>
      </c>
      <c r="AF961" s="25" t="s">
        <v>131</v>
      </c>
    </row>
    <row r="962" spans="1:32" s="25" customFormat="1" x14ac:dyDescent="0.25">
      <c r="A962" s="25" t="s">
        <v>186</v>
      </c>
      <c r="B962" s="25">
        <f t="shared" si="29"/>
        <v>7170</v>
      </c>
      <c r="C962" s="25" t="s">
        <v>12</v>
      </c>
      <c r="D962" s="25">
        <v>0</v>
      </c>
      <c r="E962" s="25">
        <v>0</v>
      </c>
      <c r="F962" s="25">
        <v>256</v>
      </c>
      <c r="G962" s="25">
        <v>222</v>
      </c>
      <c r="H962" s="27">
        <v>0</v>
      </c>
      <c r="I962" s="27">
        <v>0</v>
      </c>
      <c r="J962" s="27">
        <v>0</v>
      </c>
      <c r="K962" s="27">
        <v>0</v>
      </c>
      <c r="L962" s="27">
        <v>1</v>
      </c>
      <c r="M962" s="27">
        <v>0</v>
      </c>
      <c r="N962" s="27">
        <v>0</v>
      </c>
      <c r="O962" s="27">
        <v>0</v>
      </c>
      <c r="P962" s="25">
        <v>700</v>
      </c>
      <c r="Q962" s="25">
        <v>560</v>
      </c>
      <c r="R962" s="25" t="s">
        <v>87</v>
      </c>
      <c r="S962" s="25" t="s">
        <v>89</v>
      </c>
      <c r="T962" s="25">
        <v>0</v>
      </c>
      <c r="U962" s="25">
        <v>0</v>
      </c>
      <c r="V962" s="25">
        <v>0</v>
      </c>
      <c r="W962" s="25">
        <v>0</v>
      </c>
      <c r="X962" s="25">
        <v>1</v>
      </c>
      <c r="Y962" s="25">
        <v>0</v>
      </c>
      <c r="Z962" s="25">
        <v>0</v>
      </c>
      <c r="AA962" s="25">
        <v>0</v>
      </c>
      <c r="AB962" s="25">
        <v>0</v>
      </c>
      <c r="AC962" s="25">
        <v>0</v>
      </c>
      <c r="AD962" s="25">
        <v>0</v>
      </c>
      <c r="AE962" s="25">
        <v>1</v>
      </c>
      <c r="AF962" s="25" t="s">
        <v>131</v>
      </c>
    </row>
    <row r="963" spans="1:32" s="25" customFormat="1" x14ac:dyDescent="0.25">
      <c r="A963" s="25" t="s">
        <v>186</v>
      </c>
      <c r="B963" s="25">
        <f t="shared" si="29"/>
        <v>7180</v>
      </c>
      <c r="C963" s="25" t="s">
        <v>12</v>
      </c>
      <c r="D963" s="25">
        <v>0</v>
      </c>
      <c r="E963" s="25">
        <v>0</v>
      </c>
      <c r="F963" s="25">
        <v>256</v>
      </c>
      <c r="G963" s="25">
        <v>222</v>
      </c>
      <c r="H963" s="27">
        <v>0</v>
      </c>
      <c r="I963" s="27">
        <v>0</v>
      </c>
      <c r="J963" s="27">
        <v>0</v>
      </c>
      <c r="K963" s="27">
        <v>0</v>
      </c>
      <c r="L963" s="27">
        <v>1</v>
      </c>
      <c r="M963" s="27">
        <v>0</v>
      </c>
      <c r="N963" s="27">
        <v>0</v>
      </c>
      <c r="O963" s="27">
        <v>0</v>
      </c>
      <c r="P963" s="25">
        <v>700</v>
      </c>
      <c r="Q963" s="25">
        <v>560</v>
      </c>
      <c r="R963" s="25" t="s">
        <v>87</v>
      </c>
      <c r="S963" s="25" t="s">
        <v>89</v>
      </c>
      <c r="T963" s="25">
        <v>0</v>
      </c>
      <c r="U963" s="25">
        <v>0</v>
      </c>
      <c r="V963" s="25">
        <v>0</v>
      </c>
      <c r="W963" s="25">
        <v>0</v>
      </c>
      <c r="X963" s="25">
        <v>1</v>
      </c>
      <c r="Y963" s="25">
        <v>0</v>
      </c>
      <c r="Z963" s="25">
        <v>0</v>
      </c>
      <c r="AA963" s="25">
        <v>0</v>
      </c>
      <c r="AB963" s="25">
        <v>0</v>
      </c>
      <c r="AC963" s="25">
        <v>0</v>
      </c>
      <c r="AD963" s="25">
        <v>0</v>
      </c>
      <c r="AE963" s="25">
        <v>1</v>
      </c>
      <c r="AF963" s="25" t="s">
        <v>131</v>
      </c>
    </row>
    <row r="964" spans="1:32" s="25" customFormat="1" x14ac:dyDescent="0.25">
      <c r="A964" s="25" t="s">
        <v>186</v>
      </c>
      <c r="B964" s="25">
        <f t="shared" si="29"/>
        <v>7190</v>
      </c>
      <c r="C964" s="25" t="s">
        <v>12</v>
      </c>
      <c r="D964" s="25">
        <v>0</v>
      </c>
      <c r="E964" s="25">
        <v>0</v>
      </c>
      <c r="F964" s="25">
        <v>256</v>
      </c>
      <c r="G964" s="25">
        <v>222</v>
      </c>
      <c r="H964" s="27">
        <v>0</v>
      </c>
      <c r="I964" s="27">
        <v>0</v>
      </c>
      <c r="J964" s="27">
        <v>0</v>
      </c>
      <c r="K964" s="27">
        <v>0</v>
      </c>
      <c r="L964" s="27">
        <v>1</v>
      </c>
      <c r="M964" s="27">
        <v>0</v>
      </c>
      <c r="N964" s="27">
        <v>0</v>
      </c>
      <c r="O964" s="27">
        <v>0</v>
      </c>
      <c r="P964" s="25">
        <v>700</v>
      </c>
      <c r="Q964" s="25">
        <v>560</v>
      </c>
      <c r="R964" s="25" t="s">
        <v>87</v>
      </c>
      <c r="S964" s="25" t="s">
        <v>89</v>
      </c>
      <c r="T964" s="25">
        <v>0</v>
      </c>
      <c r="U964" s="25">
        <v>0</v>
      </c>
      <c r="V964" s="25">
        <v>0</v>
      </c>
      <c r="W964" s="25">
        <v>0</v>
      </c>
      <c r="X964" s="25">
        <v>1</v>
      </c>
      <c r="Y964" s="25">
        <v>0</v>
      </c>
      <c r="Z964" s="25">
        <v>0</v>
      </c>
      <c r="AA964" s="25">
        <v>0</v>
      </c>
      <c r="AB964" s="25">
        <v>0</v>
      </c>
      <c r="AC964" s="25">
        <v>0</v>
      </c>
      <c r="AD964" s="25">
        <v>0</v>
      </c>
      <c r="AE964" s="25">
        <v>1</v>
      </c>
      <c r="AF964" s="25" t="s">
        <v>131</v>
      </c>
    </row>
    <row r="965" spans="1:32" s="25" customFormat="1" x14ac:dyDescent="0.25">
      <c r="A965" s="25" t="s">
        <v>186</v>
      </c>
      <c r="B965" s="25">
        <f t="shared" si="29"/>
        <v>7200</v>
      </c>
      <c r="C965" s="25" t="s">
        <v>12</v>
      </c>
      <c r="D965" s="25">
        <v>0</v>
      </c>
      <c r="E965" s="25">
        <v>0</v>
      </c>
      <c r="F965" s="25">
        <v>256</v>
      </c>
      <c r="G965" s="25">
        <v>222</v>
      </c>
      <c r="H965" s="27">
        <v>0</v>
      </c>
      <c r="I965" s="27">
        <v>0</v>
      </c>
      <c r="J965" s="27">
        <v>0</v>
      </c>
      <c r="K965" s="27">
        <v>0</v>
      </c>
      <c r="L965" s="27">
        <v>1</v>
      </c>
      <c r="M965" s="27">
        <v>0</v>
      </c>
      <c r="N965" s="27">
        <v>0</v>
      </c>
      <c r="O965" s="27">
        <v>0</v>
      </c>
      <c r="P965" s="25">
        <v>700</v>
      </c>
      <c r="Q965" s="25">
        <v>560</v>
      </c>
      <c r="R965" s="25" t="s">
        <v>87</v>
      </c>
      <c r="S965" s="25" t="s">
        <v>89</v>
      </c>
      <c r="T965" s="25">
        <v>0</v>
      </c>
      <c r="U965" s="25">
        <v>0</v>
      </c>
      <c r="V965" s="25">
        <v>0</v>
      </c>
      <c r="W965" s="25">
        <v>0</v>
      </c>
      <c r="X965" s="25">
        <v>1</v>
      </c>
      <c r="Y965" s="25">
        <v>0</v>
      </c>
      <c r="Z965" s="25">
        <v>0</v>
      </c>
      <c r="AA965" s="25">
        <v>0</v>
      </c>
      <c r="AB965" s="25">
        <v>0</v>
      </c>
      <c r="AC965" s="25">
        <v>0</v>
      </c>
      <c r="AD965" s="25">
        <v>0</v>
      </c>
      <c r="AE965" s="25">
        <v>1</v>
      </c>
      <c r="AF965" s="25" t="s">
        <v>131</v>
      </c>
    </row>
    <row r="966" spans="1:32" s="25" customFormat="1" x14ac:dyDescent="0.25">
      <c r="A966" s="25" t="s">
        <v>186</v>
      </c>
      <c r="B966" s="25">
        <f t="shared" si="29"/>
        <v>7210</v>
      </c>
      <c r="C966" s="25" t="s">
        <v>12</v>
      </c>
      <c r="D966" s="25">
        <v>0</v>
      </c>
      <c r="E966" s="25">
        <v>0</v>
      </c>
      <c r="F966" s="25">
        <v>256</v>
      </c>
      <c r="G966" s="25">
        <v>222</v>
      </c>
      <c r="H966" s="27">
        <v>0</v>
      </c>
      <c r="I966" s="27">
        <v>0</v>
      </c>
      <c r="J966" s="27">
        <v>0</v>
      </c>
      <c r="K966" s="27">
        <v>0</v>
      </c>
      <c r="L966" s="27">
        <v>1</v>
      </c>
      <c r="M966" s="27">
        <v>0</v>
      </c>
      <c r="N966" s="27">
        <v>0</v>
      </c>
      <c r="O966" s="27">
        <v>0</v>
      </c>
      <c r="P966" s="25">
        <v>700</v>
      </c>
      <c r="Q966" s="25">
        <v>560</v>
      </c>
      <c r="R966" s="25" t="s">
        <v>87</v>
      </c>
      <c r="S966" s="25" t="s">
        <v>89</v>
      </c>
      <c r="T966" s="25">
        <v>0</v>
      </c>
      <c r="U966" s="25">
        <v>0</v>
      </c>
      <c r="V966" s="25">
        <v>0</v>
      </c>
      <c r="W966" s="25">
        <v>0</v>
      </c>
      <c r="X966" s="25">
        <v>1</v>
      </c>
      <c r="Y966" s="25">
        <v>0</v>
      </c>
      <c r="Z966" s="25">
        <v>0</v>
      </c>
      <c r="AA966" s="25">
        <v>0</v>
      </c>
      <c r="AB966" s="25">
        <v>0</v>
      </c>
      <c r="AC966" s="25">
        <v>0</v>
      </c>
      <c r="AD966" s="25">
        <v>0</v>
      </c>
      <c r="AE966" s="25">
        <v>1</v>
      </c>
      <c r="AF966" s="25" t="s">
        <v>131</v>
      </c>
    </row>
    <row r="967" spans="1:32" s="25" customFormat="1" x14ac:dyDescent="0.25">
      <c r="A967" s="25" t="s">
        <v>186</v>
      </c>
      <c r="B967" s="25">
        <f t="shared" si="29"/>
        <v>7220</v>
      </c>
      <c r="C967" s="25" t="s">
        <v>12</v>
      </c>
      <c r="D967" s="25">
        <v>0</v>
      </c>
      <c r="E967" s="25">
        <v>0</v>
      </c>
      <c r="F967" s="25">
        <v>256</v>
      </c>
      <c r="G967" s="25">
        <v>222</v>
      </c>
      <c r="H967" s="27">
        <v>0</v>
      </c>
      <c r="I967" s="27">
        <v>0</v>
      </c>
      <c r="J967" s="27">
        <v>0</v>
      </c>
      <c r="K967" s="27">
        <v>0</v>
      </c>
      <c r="L967" s="27">
        <v>1</v>
      </c>
      <c r="M967" s="27">
        <v>0</v>
      </c>
      <c r="N967" s="27">
        <v>0</v>
      </c>
      <c r="O967" s="27">
        <v>0</v>
      </c>
      <c r="P967" s="25">
        <v>700</v>
      </c>
      <c r="Q967" s="25">
        <v>560</v>
      </c>
      <c r="R967" s="25" t="s">
        <v>87</v>
      </c>
      <c r="S967" s="25" t="s">
        <v>89</v>
      </c>
      <c r="T967" s="25">
        <v>0</v>
      </c>
      <c r="U967" s="25">
        <v>0</v>
      </c>
      <c r="V967" s="25">
        <v>0</v>
      </c>
      <c r="W967" s="25">
        <v>0</v>
      </c>
      <c r="X967" s="25">
        <v>1</v>
      </c>
      <c r="Y967" s="25">
        <v>0</v>
      </c>
      <c r="Z967" s="25">
        <v>0</v>
      </c>
      <c r="AA967" s="25">
        <v>0</v>
      </c>
      <c r="AB967" s="25">
        <v>0</v>
      </c>
      <c r="AC967" s="25">
        <v>0</v>
      </c>
      <c r="AD967" s="25">
        <v>0</v>
      </c>
      <c r="AE967" s="25">
        <v>1</v>
      </c>
      <c r="AF967" s="25" t="s">
        <v>131</v>
      </c>
    </row>
    <row r="968" spans="1:32" s="25" customFormat="1" x14ac:dyDescent="0.25">
      <c r="A968" s="25" t="s">
        <v>186</v>
      </c>
      <c r="B968" s="25">
        <f t="shared" si="29"/>
        <v>7230</v>
      </c>
      <c r="C968" s="25" t="s">
        <v>12</v>
      </c>
      <c r="D968" s="25">
        <v>0</v>
      </c>
      <c r="E968" s="25">
        <v>0</v>
      </c>
      <c r="F968" s="25">
        <v>256</v>
      </c>
      <c r="G968" s="25">
        <v>222</v>
      </c>
      <c r="H968" s="27">
        <v>0</v>
      </c>
      <c r="I968" s="27">
        <v>0</v>
      </c>
      <c r="J968" s="27">
        <v>0</v>
      </c>
      <c r="K968" s="27">
        <v>0</v>
      </c>
      <c r="L968" s="27">
        <v>1</v>
      </c>
      <c r="M968" s="27">
        <v>0</v>
      </c>
      <c r="N968" s="27">
        <v>0</v>
      </c>
      <c r="O968" s="27">
        <v>0</v>
      </c>
      <c r="P968" s="25">
        <v>700</v>
      </c>
      <c r="Q968" s="25">
        <v>560</v>
      </c>
      <c r="R968" s="25" t="s">
        <v>87</v>
      </c>
      <c r="S968" s="25" t="s">
        <v>89</v>
      </c>
      <c r="T968" s="25">
        <v>0</v>
      </c>
      <c r="U968" s="25">
        <v>0</v>
      </c>
      <c r="V968" s="25">
        <v>0</v>
      </c>
      <c r="W968" s="25">
        <v>0</v>
      </c>
      <c r="X968" s="25">
        <v>1</v>
      </c>
      <c r="Y968" s="25">
        <v>0</v>
      </c>
      <c r="Z968" s="25">
        <v>0</v>
      </c>
      <c r="AA968" s="25">
        <v>0</v>
      </c>
      <c r="AB968" s="25">
        <v>0</v>
      </c>
      <c r="AC968" s="25">
        <v>0</v>
      </c>
      <c r="AD968" s="25">
        <v>0</v>
      </c>
      <c r="AE968" s="25">
        <v>1</v>
      </c>
      <c r="AF968" s="25" t="s">
        <v>131</v>
      </c>
    </row>
    <row r="969" spans="1:32" s="25" customFormat="1" x14ac:dyDescent="0.25">
      <c r="A969" s="25" t="s">
        <v>186</v>
      </c>
      <c r="B969" s="25">
        <f t="shared" si="29"/>
        <v>7240</v>
      </c>
      <c r="C969" s="25" t="s">
        <v>12</v>
      </c>
      <c r="D969" s="25">
        <v>0</v>
      </c>
      <c r="E969" s="25">
        <v>0</v>
      </c>
      <c r="F969" s="25">
        <v>256</v>
      </c>
      <c r="G969" s="25">
        <v>222</v>
      </c>
      <c r="H969" s="27">
        <v>0</v>
      </c>
      <c r="I969" s="27">
        <v>0</v>
      </c>
      <c r="J969" s="27">
        <v>0</v>
      </c>
      <c r="K969" s="27">
        <v>0</v>
      </c>
      <c r="L969" s="27">
        <v>1</v>
      </c>
      <c r="M969" s="27">
        <v>0</v>
      </c>
      <c r="N969" s="27">
        <v>0</v>
      </c>
      <c r="O969" s="27">
        <v>0</v>
      </c>
      <c r="P969" s="25">
        <v>700</v>
      </c>
      <c r="Q969" s="25">
        <v>560</v>
      </c>
      <c r="R969" s="25" t="s">
        <v>87</v>
      </c>
      <c r="S969" s="25" t="s">
        <v>89</v>
      </c>
      <c r="T969" s="25">
        <v>0</v>
      </c>
      <c r="U969" s="25">
        <v>0</v>
      </c>
      <c r="V969" s="25">
        <v>0</v>
      </c>
      <c r="W969" s="25">
        <v>0</v>
      </c>
      <c r="X969" s="25">
        <v>1</v>
      </c>
      <c r="Y969" s="25">
        <v>0</v>
      </c>
      <c r="Z969" s="25">
        <v>0</v>
      </c>
      <c r="AA969" s="25">
        <v>0</v>
      </c>
      <c r="AB969" s="25">
        <v>0</v>
      </c>
      <c r="AC969" s="25">
        <v>0</v>
      </c>
      <c r="AD969" s="25">
        <v>0</v>
      </c>
      <c r="AE969" s="25">
        <v>1</v>
      </c>
      <c r="AF969" s="25" t="s">
        <v>131</v>
      </c>
    </row>
    <row r="970" spans="1:32" s="25" customFormat="1" x14ac:dyDescent="0.25">
      <c r="A970" s="25" t="s">
        <v>186</v>
      </c>
      <c r="B970" s="25">
        <f t="shared" si="29"/>
        <v>7250</v>
      </c>
      <c r="C970" s="25" t="s">
        <v>12</v>
      </c>
      <c r="D970" s="25">
        <v>0</v>
      </c>
      <c r="E970" s="25">
        <v>0</v>
      </c>
      <c r="F970" s="25">
        <v>256</v>
      </c>
      <c r="G970" s="25">
        <v>222</v>
      </c>
      <c r="H970" s="27">
        <v>0</v>
      </c>
      <c r="I970" s="27">
        <v>0</v>
      </c>
      <c r="J970" s="27">
        <v>0</v>
      </c>
      <c r="K970" s="27">
        <v>0</v>
      </c>
      <c r="L970" s="27">
        <v>1</v>
      </c>
      <c r="M970" s="27">
        <v>0</v>
      </c>
      <c r="N970" s="27">
        <v>0</v>
      </c>
      <c r="O970" s="27">
        <v>0</v>
      </c>
      <c r="P970" s="25">
        <v>700</v>
      </c>
      <c r="Q970" s="25">
        <v>560</v>
      </c>
      <c r="R970" s="25" t="s">
        <v>87</v>
      </c>
      <c r="S970" s="25" t="s">
        <v>89</v>
      </c>
      <c r="T970" s="25">
        <v>0</v>
      </c>
      <c r="U970" s="25">
        <v>0</v>
      </c>
      <c r="V970" s="25">
        <v>0</v>
      </c>
      <c r="W970" s="25">
        <v>0</v>
      </c>
      <c r="X970" s="25">
        <v>1</v>
      </c>
      <c r="Y970" s="25">
        <v>0</v>
      </c>
      <c r="Z970" s="25">
        <v>0</v>
      </c>
      <c r="AA970" s="25">
        <v>0</v>
      </c>
      <c r="AB970" s="25">
        <v>0</v>
      </c>
      <c r="AC970" s="25">
        <v>0</v>
      </c>
      <c r="AD970" s="25">
        <v>0</v>
      </c>
      <c r="AE970" s="25">
        <v>1</v>
      </c>
      <c r="AF970" s="25" t="s">
        <v>131</v>
      </c>
    </row>
    <row r="971" spans="1:32" s="25" customFormat="1" x14ac:dyDescent="0.25">
      <c r="A971" s="25" t="s">
        <v>186</v>
      </c>
      <c r="B971" s="25">
        <f t="shared" si="29"/>
        <v>7260</v>
      </c>
      <c r="C971" s="25" t="s">
        <v>12</v>
      </c>
      <c r="D971" s="25">
        <v>0</v>
      </c>
      <c r="E971" s="25">
        <v>0</v>
      </c>
      <c r="F971" s="25">
        <v>256</v>
      </c>
      <c r="G971" s="25">
        <v>222</v>
      </c>
      <c r="H971" s="27">
        <v>0</v>
      </c>
      <c r="I971" s="27">
        <v>0</v>
      </c>
      <c r="J971" s="27">
        <v>0</v>
      </c>
      <c r="K971" s="27">
        <v>0</v>
      </c>
      <c r="L971" s="27">
        <v>1</v>
      </c>
      <c r="M971" s="27">
        <v>0</v>
      </c>
      <c r="N971" s="27">
        <v>0</v>
      </c>
      <c r="O971" s="27">
        <v>0</v>
      </c>
      <c r="P971" s="25">
        <v>700</v>
      </c>
      <c r="Q971" s="25">
        <v>560</v>
      </c>
      <c r="R971" s="25" t="s">
        <v>87</v>
      </c>
      <c r="S971" s="25" t="s">
        <v>89</v>
      </c>
      <c r="T971" s="25">
        <v>0</v>
      </c>
      <c r="U971" s="25">
        <v>0</v>
      </c>
      <c r="V971" s="25">
        <v>0</v>
      </c>
      <c r="W971" s="25">
        <v>0</v>
      </c>
      <c r="X971" s="25">
        <v>1</v>
      </c>
      <c r="Y971" s="25">
        <v>0</v>
      </c>
      <c r="Z971" s="25">
        <v>0</v>
      </c>
      <c r="AA971" s="25">
        <v>0</v>
      </c>
      <c r="AB971" s="25">
        <v>0</v>
      </c>
      <c r="AC971" s="25">
        <v>0</v>
      </c>
      <c r="AD971" s="25">
        <v>0</v>
      </c>
      <c r="AE971" s="25">
        <v>1</v>
      </c>
      <c r="AF971" s="25" t="s">
        <v>131</v>
      </c>
    </row>
    <row r="972" spans="1:32" s="25" customFormat="1" x14ac:dyDescent="0.25">
      <c r="A972" s="25" t="s">
        <v>186</v>
      </c>
      <c r="B972" s="25">
        <f t="shared" si="29"/>
        <v>7270</v>
      </c>
      <c r="C972" s="25" t="s">
        <v>12</v>
      </c>
      <c r="D972" s="25">
        <v>0</v>
      </c>
      <c r="E972" s="25">
        <v>0</v>
      </c>
      <c r="F972" s="25">
        <v>256</v>
      </c>
      <c r="G972" s="25">
        <v>222</v>
      </c>
      <c r="H972" s="27">
        <v>0</v>
      </c>
      <c r="I972" s="27">
        <v>0</v>
      </c>
      <c r="J972" s="27">
        <v>0</v>
      </c>
      <c r="K972" s="27">
        <v>0</v>
      </c>
      <c r="L972" s="27">
        <v>1</v>
      </c>
      <c r="M972" s="27">
        <v>0</v>
      </c>
      <c r="N972" s="27">
        <v>0</v>
      </c>
      <c r="O972" s="27">
        <v>0</v>
      </c>
      <c r="P972" s="25">
        <v>700</v>
      </c>
      <c r="Q972" s="25">
        <v>560</v>
      </c>
      <c r="R972" s="25" t="s">
        <v>87</v>
      </c>
      <c r="S972" s="25" t="s">
        <v>89</v>
      </c>
      <c r="T972" s="25">
        <v>0</v>
      </c>
      <c r="U972" s="25">
        <v>0</v>
      </c>
      <c r="V972" s="25">
        <v>0</v>
      </c>
      <c r="W972" s="25">
        <v>0</v>
      </c>
      <c r="X972" s="25">
        <v>1</v>
      </c>
      <c r="Y972" s="25">
        <v>0</v>
      </c>
      <c r="Z972" s="25">
        <v>0</v>
      </c>
      <c r="AA972" s="25">
        <v>0</v>
      </c>
      <c r="AB972" s="25">
        <v>0</v>
      </c>
      <c r="AC972" s="25">
        <v>0</v>
      </c>
      <c r="AD972" s="25">
        <v>0</v>
      </c>
      <c r="AE972" s="25">
        <v>1</v>
      </c>
      <c r="AF972" s="25" t="s">
        <v>131</v>
      </c>
    </row>
    <row r="973" spans="1:32" s="25" customFormat="1" x14ac:dyDescent="0.25">
      <c r="A973" s="25" t="s">
        <v>186</v>
      </c>
      <c r="B973" s="25">
        <f t="shared" si="29"/>
        <v>7280</v>
      </c>
      <c r="C973" s="25" t="s">
        <v>12</v>
      </c>
      <c r="D973" s="25">
        <v>0</v>
      </c>
      <c r="E973" s="25">
        <v>0</v>
      </c>
      <c r="F973" s="25">
        <v>256</v>
      </c>
      <c r="G973" s="25">
        <v>222</v>
      </c>
      <c r="H973" s="27">
        <v>0</v>
      </c>
      <c r="I973" s="27">
        <v>0</v>
      </c>
      <c r="J973" s="27">
        <v>0</v>
      </c>
      <c r="K973" s="27">
        <v>0</v>
      </c>
      <c r="L973" s="27">
        <v>1</v>
      </c>
      <c r="M973" s="27">
        <v>0</v>
      </c>
      <c r="N973" s="27">
        <v>0</v>
      </c>
      <c r="O973" s="27">
        <v>0</v>
      </c>
      <c r="P973" s="25">
        <v>700</v>
      </c>
      <c r="Q973" s="25">
        <v>560</v>
      </c>
      <c r="R973" s="25" t="s">
        <v>87</v>
      </c>
      <c r="S973" s="25" t="s">
        <v>89</v>
      </c>
      <c r="T973" s="25">
        <v>0</v>
      </c>
      <c r="U973" s="25">
        <v>0</v>
      </c>
      <c r="V973" s="25">
        <v>0</v>
      </c>
      <c r="W973" s="25">
        <v>0</v>
      </c>
      <c r="X973" s="25">
        <v>1</v>
      </c>
      <c r="Y973" s="25">
        <v>0</v>
      </c>
      <c r="Z973" s="25">
        <v>0</v>
      </c>
      <c r="AA973" s="25">
        <v>0</v>
      </c>
      <c r="AB973" s="25">
        <v>0</v>
      </c>
      <c r="AC973" s="25">
        <v>0</v>
      </c>
      <c r="AD973" s="25">
        <v>0</v>
      </c>
      <c r="AE973" s="25">
        <v>1</v>
      </c>
      <c r="AF973" s="25" t="s">
        <v>131</v>
      </c>
    </row>
    <row r="974" spans="1:32" s="25" customFormat="1" x14ac:dyDescent="0.25">
      <c r="A974" s="25" t="s">
        <v>186</v>
      </c>
      <c r="B974" s="25">
        <f t="shared" si="29"/>
        <v>7290</v>
      </c>
      <c r="C974" s="25" t="s">
        <v>12</v>
      </c>
      <c r="D974" s="25">
        <v>0</v>
      </c>
      <c r="E974" s="25">
        <v>0</v>
      </c>
      <c r="F974" s="25">
        <v>256</v>
      </c>
      <c r="G974" s="25">
        <v>222</v>
      </c>
      <c r="H974" s="27">
        <v>0</v>
      </c>
      <c r="I974" s="27">
        <v>0</v>
      </c>
      <c r="J974" s="27">
        <v>0</v>
      </c>
      <c r="K974" s="27">
        <v>0</v>
      </c>
      <c r="L974" s="27">
        <v>1</v>
      </c>
      <c r="M974" s="27">
        <v>0</v>
      </c>
      <c r="N974" s="27">
        <v>0</v>
      </c>
      <c r="O974" s="27">
        <v>0</v>
      </c>
      <c r="P974" s="25">
        <v>700</v>
      </c>
      <c r="Q974" s="25">
        <v>560</v>
      </c>
      <c r="R974" s="25" t="s">
        <v>87</v>
      </c>
      <c r="S974" s="25" t="s">
        <v>89</v>
      </c>
      <c r="T974" s="25">
        <v>0</v>
      </c>
      <c r="U974" s="25">
        <v>0</v>
      </c>
      <c r="V974" s="25">
        <v>0</v>
      </c>
      <c r="W974" s="25">
        <v>0</v>
      </c>
      <c r="X974" s="25">
        <v>1</v>
      </c>
      <c r="Y974" s="25">
        <v>0</v>
      </c>
      <c r="Z974" s="25">
        <v>0</v>
      </c>
      <c r="AA974" s="25">
        <v>0</v>
      </c>
      <c r="AB974" s="25">
        <v>0</v>
      </c>
      <c r="AC974" s="25">
        <v>0</v>
      </c>
      <c r="AD974" s="25">
        <v>0</v>
      </c>
      <c r="AE974" s="25">
        <v>1</v>
      </c>
      <c r="AF974" s="25" t="s">
        <v>131</v>
      </c>
    </row>
    <row r="975" spans="1:32" s="25" customFormat="1" x14ac:dyDescent="0.25">
      <c r="A975" s="25" t="s">
        <v>186</v>
      </c>
      <c r="B975" s="25">
        <f t="shared" si="29"/>
        <v>7300</v>
      </c>
      <c r="C975" s="25" t="s">
        <v>12</v>
      </c>
      <c r="D975" s="25">
        <v>0</v>
      </c>
      <c r="E975" s="25">
        <v>0</v>
      </c>
      <c r="F975" s="25">
        <v>256</v>
      </c>
      <c r="G975" s="25">
        <v>222</v>
      </c>
      <c r="H975" s="27">
        <v>0</v>
      </c>
      <c r="I975" s="27">
        <v>0</v>
      </c>
      <c r="J975" s="27">
        <v>0</v>
      </c>
      <c r="K975" s="27">
        <v>0</v>
      </c>
      <c r="L975" s="27">
        <v>1</v>
      </c>
      <c r="M975" s="27">
        <v>0</v>
      </c>
      <c r="N975" s="27">
        <v>0</v>
      </c>
      <c r="O975" s="27">
        <v>0</v>
      </c>
      <c r="P975" s="25">
        <v>700</v>
      </c>
      <c r="Q975" s="25">
        <v>560</v>
      </c>
      <c r="R975" s="25" t="s">
        <v>87</v>
      </c>
      <c r="S975" s="25" t="s">
        <v>89</v>
      </c>
      <c r="T975" s="25">
        <v>0</v>
      </c>
      <c r="U975" s="25">
        <v>0</v>
      </c>
      <c r="V975" s="25">
        <v>0</v>
      </c>
      <c r="W975" s="25">
        <v>0</v>
      </c>
      <c r="X975" s="25">
        <v>1</v>
      </c>
      <c r="Y975" s="25">
        <v>0</v>
      </c>
      <c r="Z975" s="25">
        <v>0</v>
      </c>
      <c r="AA975" s="25">
        <v>0</v>
      </c>
      <c r="AB975" s="25">
        <v>0</v>
      </c>
      <c r="AC975" s="25">
        <v>0</v>
      </c>
      <c r="AD975" s="25">
        <v>0</v>
      </c>
      <c r="AE975" s="25">
        <v>1</v>
      </c>
      <c r="AF975" s="25" t="s">
        <v>131</v>
      </c>
    </row>
    <row r="976" spans="1:32" s="25" customFormat="1" x14ac:dyDescent="0.25">
      <c r="A976" s="25" t="s">
        <v>186</v>
      </c>
      <c r="B976" s="25">
        <f t="shared" si="29"/>
        <v>7310</v>
      </c>
      <c r="C976" s="25" t="s">
        <v>12</v>
      </c>
      <c r="D976" s="25">
        <v>0</v>
      </c>
      <c r="E976" s="25">
        <v>0</v>
      </c>
      <c r="F976" s="25">
        <v>256</v>
      </c>
      <c r="G976" s="25">
        <v>222</v>
      </c>
      <c r="H976" s="27">
        <v>0</v>
      </c>
      <c r="I976" s="27">
        <v>0</v>
      </c>
      <c r="J976" s="27">
        <v>0</v>
      </c>
      <c r="K976" s="27">
        <v>0</v>
      </c>
      <c r="L976" s="27">
        <v>1</v>
      </c>
      <c r="M976" s="27">
        <v>0</v>
      </c>
      <c r="N976" s="27">
        <v>0</v>
      </c>
      <c r="O976" s="27">
        <v>0</v>
      </c>
      <c r="P976" s="25">
        <v>700</v>
      </c>
      <c r="Q976" s="25">
        <v>560</v>
      </c>
      <c r="R976" s="25" t="s">
        <v>87</v>
      </c>
      <c r="S976" s="25" t="s">
        <v>89</v>
      </c>
      <c r="T976" s="25">
        <v>0</v>
      </c>
      <c r="U976" s="25">
        <v>0</v>
      </c>
      <c r="V976" s="25">
        <v>0</v>
      </c>
      <c r="W976" s="25">
        <v>0</v>
      </c>
      <c r="X976" s="25">
        <v>1</v>
      </c>
      <c r="Y976" s="25">
        <v>0</v>
      </c>
      <c r="Z976" s="25">
        <v>0</v>
      </c>
      <c r="AA976" s="25">
        <v>0</v>
      </c>
      <c r="AB976" s="25">
        <v>0</v>
      </c>
      <c r="AC976" s="25">
        <v>0</v>
      </c>
      <c r="AD976" s="25">
        <v>0</v>
      </c>
      <c r="AE976" s="25">
        <v>1</v>
      </c>
      <c r="AF976" s="25" t="s">
        <v>131</v>
      </c>
    </row>
    <row r="977" spans="1:32" s="25" customFormat="1" x14ac:dyDescent="0.25">
      <c r="A977" s="25" t="s">
        <v>186</v>
      </c>
      <c r="B977" s="25">
        <f t="shared" si="29"/>
        <v>7320</v>
      </c>
      <c r="C977" s="25" t="s">
        <v>12</v>
      </c>
      <c r="D977" s="25">
        <v>0</v>
      </c>
      <c r="E977" s="25">
        <v>0</v>
      </c>
      <c r="F977" s="25">
        <v>256</v>
      </c>
      <c r="G977" s="25">
        <v>222</v>
      </c>
      <c r="H977" s="27">
        <v>0</v>
      </c>
      <c r="I977" s="27">
        <v>0</v>
      </c>
      <c r="J977" s="27">
        <v>0</v>
      </c>
      <c r="K977" s="27">
        <v>0</v>
      </c>
      <c r="L977" s="27">
        <v>1</v>
      </c>
      <c r="M977" s="27">
        <v>0</v>
      </c>
      <c r="N977" s="27">
        <v>0</v>
      </c>
      <c r="O977" s="27">
        <v>0</v>
      </c>
      <c r="P977" s="25">
        <v>700</v>
      </c>
      <c r="Q977" s="25">
        <v>560</v>
      </c>
      <c r="R977" s="25" t="s">
        <v>87</v>
      </c>
      <c r="S977" s="25" t="s">
        <v>89</v>
      </c>
      <c r="T977" s="25">
        <v>0</v>
      </c>
      <c r="U977" s="25">
        <v>0</v>
      </c>
      <c r="V977" s="25">
        <v>0</v>
      </c>
      <c r="W977" s="25">
        <v>0</v>
      </c>
      <c r="X977" s="25">
        <v>1</v>
      </c>
      <c r="Y977" s="25">
        <v>0</v>
      </c>
      <c r="Z977" s="25">
        <v>0</v>
      </c>
      <c r="AA977" s="25">
        <v>0</v>
      </c>
      <c r="AB977" s="25">
        <v>0</v>
      </c>
      <c r="AC977" s="25">
        <v>0</v>
      </c>
      <c r="AD977" s="25">
        <v>0</v>
      </c>
      <c r="AE977" s="25">
        <v>1</v>
      </c>
      <c r="AF977" s="25" t="s">
        <v>131</v>
      </c>
    </row>
    <row r="978" spans="1:32" s="25" customFormat="1" x14ac:dyDescent="0.25">
      <c r="A978" s="25" t="s">
        <v>186</v>
      </c>
      <c r="B978" s="25">
        <f t="shared" si="29"/>
        <v>7330</v>
      </c>
      <c r="C978" s="25" t="s">
        <v>12</v>
      </c>
      <c r="D978" s="25">
        <v>0</v>
      </c>
      <c r="E978" s="25">
        <v>0</v>
      </c>
      <c r="F978" s="25">
        <v>256</v>
      </c>
      <c r="G978" s="25">
        <v>222</v>
      </c>
      <c r="H978" s="27">
        <v>0</v>
      </c>
      <c r="I978" s="27">
        <v>0</v>
      </c>
      <c r="J978" s="27">
        <v>0</v>
      </c>
      <c r="K978" s="27">
        <v>0</v>
      </c>
      <c r="L978" s="27">
        <v>1</v>
      </c>
      <c r="M978" s="27">
        <v>0</v>
      </c>
      <c r="N978" s="27">
        <v>0</v>
      </c>
      <c r="O978" s="27">
        <v>0</v>
      </c>
      <c r="P978" s="25">
        <v>700</v>
      </c>
      <c r="Q978" s="25">
        <v>560</v>
      </c>
      <c r="R978" s="25" t="s">
        <v>87</v>
      </c>
      <c r="S978" s="25" t="s">
        <v>89</v>
      </c>
      <c r="T978" s="25">
        <v>0</v>
      </c>
      <c r="U978" s="25">
        <v>0</v>
      </c>
      <c r="V978" s="25">
        <v>0</v>
      </c>
      <c r="W978" s="25">
        <v>0</v>
      </c>
      <c r="X978" s="25">
        <v>1</v>
      </c>
      <c r="Y978" s="25">
        <v>0</v>
      </c>
      <c r="Z978" s="25">
        <v>0</v>
      </c>
      <c r="AA978" s="25">
        <v>0</v>
      </c>
      <c r="AB978" s="25">
        <v>0</v>
      </c>
      <c r="AC978" s="25">
        <v>0</v>
      </c>
      <c r="AD978" s="25">
        <v>0</v>
      </c>
      <c r="AE978" s="25">
        <v>1</v>
      </c>
      <c r="AF978" s="25" t="s">
        <v>131</v>
      </c>
    </row>
    <row r="979" spans="1:32" s="25" customFormat="1" x14ac:dyDescent="0.25">
      <c r="A979" s="25" t="s">
        <v>186</v>
      </c>
      <c r="B979" s="25">
        <f t="shared" si="29"/>
        <v>7340</v>
      </c>
      <c r="C979" s="25" t="s">
        <v>12</v>
      </c>
      <c r="D979" s="25">
        <v>0</v>
      </c>
      <c r="E979" s="25">
        <v>0</v>
      </c>
      <c r="F979" s="25">
        <v>256</v>
      </c>
      <c r="G979" s="25">
        <v>222</v>
      </c>
      <c r="H979" s="27">
        <v>0</v>
      </c>
      <c r="I979" s="27">
        <v>0</v>
      </c>
      <c r="J979" s="27">
        <v>0</v>
      </c>
      <c r="K979" s="27">
        <v>0</v>
      </c>
      <c r="L979" s="27">
        <v>1</v>
      </c>
      <c r="M979" s="27">
        <v>0</v>
      </c>
      <c r="N979" s="27">
        <v>0</v>
      </c>
      <c r="O979" s="27">
        <v>0</v>
      </c>
      <c r="P979" s="25">
        <v>700</v>
      </c>
      <c r="Q979" s="25">
        <v>560</v>
      </c>
      <c r="R979" s="25" t="s">
        <v>87</v>
      </c>
      <c r="S979" s="25" t="s">
        <v>89</v>
      </c>
      <c r="T979" s="25">
        <v>0</v>
      </c>
      <c r="U979" s="25">
        <v>0</v>
      </c>
      <c r="V979" s="25">
        <v>0</v>
      </c>
      <c r="W979" s="25">
        <v>0</v>
      </c>
      <c r="X979" s="25">
        <v>1</v>
      </c>
      <c r="Y979" s="25">
        <v>0</v>
      </c>
      <c r="Z979" s="25">
        <v>0</v>
      </c>
      <c r="AA979" s="25">
        <v>0</v>
      </c>
      <c r="AB979" s="25">
        <v>0</v>
      </c>
      <c r="AC979" s="25">
        <v>0</v>
      </c>
      <c r="AD979" s="25">
        <v>0</v>
      </c>
      <c r="AE979" s="25">
        <v>1</v>
      </c>
      <c r="AF979" s="25" t="s">
        <v>131</v>
      </c>
    </row>
    <row r="980" spans="1:32" s="25" customFormat="1" x14ac:dyDescent="0.25">
      <c r="A980" s="25" t="s">
        <v>186</v>
      </c>
      <c r="B980" s="25">
        <f t="shared" si="29"/>
        <v>7350</v>
      </c>
      <c r="C980" s="25" t="s">
        <v>12</v>
      </c>
      <c r="D980" s="25">
        <v>0</v>
      </c>
      <c r="E980" s="25">
        <v>0</v>
      </c>
      <c r="F980" s="25">
        <v>256</v>
      </c>
      <c r="G980" s="25">
        <v>222</v>
      </c>
      <c r="H980" s="27">
        <v>0</v>
      </c>
      <c r="I980" s="27">
        <v>0</v>
      </c>
      <c r="J980" s="27">
        <v>0</v>
      </c>
      <c r="K980" s="27">
        <v>0</v>
      </c>
      <c r="L980" s="27">
        <v>1</v>
      </c>
      <c r="M980" s="27">
        <v>0</v>
      </c>
      <c r="N980" s="27">
        <v>0</v>
      </c>
      <c r="O980" s="27">
        <v>0</v>
      </c>
      <c r="P980" s="25">
        <v>700</v>
      </c>
      <c r="Q980" s="25">
        <v>560</v>
      </c>
      <c r="R980" s="25" t="s">
        <v>87</v>
      </c>
      <c r="S980" s="25" t="s">
        <v>89</v>
      </c>
      <c r="T980" s="25">
        <v>0</v>
      </c>
      <c r="U980" s="25">
        <v>0</v>
      </c>
      <c r="V980" s="25">
        <v>0</v>
      </c>
      <c r="W980" s="25">
        <v>0</v>
      </c>
      <c r="X980" s="25">
        <v>1</v>
      </c>
      <c r="Y980" s="25">
        <v>0</v>
      </c>
      <c r="Z980" s="25">
        <v>0</v>
      </c>
      <c r="AA980" s="25">
        <v>0</v>
      </c>
      <c r="AB980" s="25">
        <v>0</v>
      </c>
      <c r="AC980" s="25">
        <v>0</v>
      </c>
      <c r="AD980" s="25">
        <v>0</v>
      </c>
      <c r="AE980" s="25">
        <v>1</v>
      </c>
      <c r="AF980" s="25" t="s">
        <v>131</v>
      </c>
    </row>
    <row r="981" spans="1:32" s="25" customFormat="1" x14ac:dyDescent="0.25">
      <c r="A981" s="25" t="s">
        <v>186</v>
      </c>
      <c r="B981" s="25">
        <f t="shared" si="29"/>
        <v>7360</v>
      </c>
      <c r="C981" s="25" t="s">
        <v>12</v>
      </c>
      <c r="D981" s="25">
        <v>0</v>
      </c>
      <c r="E981" s="25">
        <v>0</v>
      </c>
      <c r="F981" s="25">
        <v>256</v>
      </c>
      <c r="G981" s="25">
        <v>222</v>
      </c>
      <c r="H981" s="27">
        <v>0</v>
      </c>
      <c r="I981" s="27">
        <v>0</v>
      </c>
      <c r="J981" s="27">
        <v>0</v>
      </c>
      <c r="K981" s="27">
        <v>0</v>
      </c>
      <c r="L981" s="27">
        <v>1</v>
      </c>
      <c r="M981" s="27">
        <v>0</v>
      </c>
      <c r="N981" s="27">
        <v>0</v>
      </c>
      <c r="O981" s="27">
        <v>0</v>
      </c>
      <c r="P981" s="25">
        <v>700</v>
      </c>
      <c r="Q981" s="25">
        <v>560</v>
      </c>
      <c r="R981" s="25" t="s">
        <v>87</v>
      </c>
      <c r="S981" s="25" t="s">
        <v>89</v>
      </c>
      <c r="T981" s="25">
        <v>0</v>
      </c>
      <c r="U981" s="25">
        <v>0</v>
      </c>
      <c r="V981" s="25">
        <v>0</v>
      </c>
      <c r="W981" s="25">
        <v>0</v>
      </c>
      <c r="X981" s="25">
        <v>1</v>
      </c>
      <c r="Y981" s="25">
        <v>0</v>
      </c>
      <c r="Z981" s="25">
        <v>0</v>
      </c>
      <c r="AA981" s="25">
        <v>0</v>
      </c>
      <c r="AB981" s="25">
        <v>0</v>
      </c>
      <c r="AC981" s="25">
        <v>0</v>
      </c>
      <c r="AD981" s="25">
        <v>0</v>
      </c>
      <c r="AE981" s="25">
        <v>1</v>
      </c>
      <c r="AF981" s="25" t="s">
        <v>131</v>
      </c>
    </row>
    <row r="982" spans="1:32" s="25" customFormat="1" x14ac:dyDescent="0.25">
      <c r="A982" s="25" t="s">
        <v>186</v>
      </c>
      <c r="B982" s="25">
        <f t="shared" si="29"/>
        <v>7370</v>
      </c>
      <c r="C982" s="25" t="s">
        <v>12</v>
      </c>
      <c r="D982" s="25">
        <v>0</v>
      </c>
      <c r="E982" s="25">
        <v>0</v>
      </c>
      <c r="F982" s="25">
        <v>256</v>
      </c>
      <c r="G982" s="25">
        <v>222</v>
      </c>
      <c r="H982" s="27">
        <v>0</v>
      </c>
      <c r="I982" s="27">
        <v>0</v>
      </c>
      <c r="J982" s="27">
        <v>0</v>
      </c>
      <c r="K982" s="27">
        <v>0</v>
      </c>
      <c r="L982" s="27">
        <v>1</v>
      </c>
      <c r="M982" s="27">
        <v>0</v>
      </c>
      <c r="N982" s="27">
        <v>0</v>
      </c>
      <c r="O982" s="27">
        <v>0</v>
      </c>
      <c r="P982" s="25">
        <v>700</v>
      </c>
      <c r="Q982" s="25">
        <v>560</v>
      </c>
      <c r="R982" s="25" t="s">
        <v>87</v>
      </c>
      <c r="S982" s="25" t="s">
        <v>89</v>
      </c>
      <c r="T982" s="25">
        <v>0</v>
      </c>
      <c r="U982" s="25">
        <v>0</v>
      </c>
      <c r="V982" s="25">
        <v>0</v>
      </c>
      <c r="W982" s="25">
        <v>0</v>
      </c>
      <c r="X982" s="25">
        <v>1</v>
      </c>
      <c r="Y982" s="25">
        <v>0</v>
      </c>
      <c r="Z982" s="25">
        <v>0</v>
      </c>
      <c r="AA982" s="25">
        <v>0</v>
      </c>
      <c r="AB982" s="25">
        <v>0</v>
      </c>
      <c r="AC982" s="25">
        <v>0</v>
      </c>
      <c r="AD982" s="25">
        <v>0</v>
      </c>
      <c r="AE982" s="25">
        <v>1</v>
      </c>
      <c r="AF982" s="25" t="s">
        <v>131</v>
      </c>
    </row>
    <row r="983" spans="1:32" s="25" customFormat="1" x14ac:dyDescent="0.25">
      <c r="A983" s="25" t="s">
        <v>186</v>
      </c>
      <c r="B983" s="25">
        <f t="shared" si="29"/>
        <v>7380</v>
      </c>
      <c r="C983" s="25" t="s">
        <v>12</v>
      </c>
      <c r="D983" s="25">
        <v>0</v>
      </c>
      <c r="E983" s="25">
        <v>0</v>
      </c>
      <c r="F983" s="25">
        <v>256</v>
      </c>
      <c r="G983" s="25">
        <v>222</v>
      </c>
      <c r="H983" s="27">
        <v>0</v>
      </c>
      <c r="I983" s="27">
        <v>0</v>
      </c>
      <c r="J983" s="27">
        <v>0</v>
      </c>
      <c r="K983" s="27">
        <v>0</v>
      </c>
      <c r="L983" s="27">
        <v>1</v>
      </c>
      <c r="M983" s="27">
        <v>0</v>
      </c>
      <c r="N983" s="27">
        <v>0</v>
      </c>
      <c r="O983" s="27">
        <v>0</v>
      </c>
      <c r="P983" s="25">
        <v>700</v>
      </c>
      <c r="Q983" s="25">
        <v>560</v>
      </c>
      <c r="R983" s="25" t="s">
        <v>87</v>
      </c>
      <c r="S983" s="25" t="s">
        <v>89</v>
      </c>
      <c r="T983" s="25">
        <v>0</v>
      </c>
      <c r="U983" s="25">
        <v>0</v>
      </c>
      <c r="V983" s="25">
        <v>0</v>
      </c>
      <c r="W983" s="25">
        <v>0</v>
      </c>
      <c r="X983" s="25">
        <v>1</v>
      </c>
      <c r="Y983" s="25">
        <v>0</v>
      </c>
      <c r="Z983" s="25">
        <v>0</v>
      </c>
      <c r="AA983" s="25">
        <v>0</v>
      </c>
      <c r="AB983" s="25">
        <v>0</v>
      </c>
      <c r="AC983" s="25">
        <v>0</v>
      </c>
      <c r="AD983" s="25">
        <v>0</v>
      </c>
      <c r="AE983" s="25">
        <v>1</v>
      </c>
      <c r="AF983" s="25" t="s">
        <v>131</v>
      </c>
    </row>
    <row r="984" spans="1:32" s="25" customFormat="1" x14ac:dyDescent="0.25">
      <c r="A984" s="25" t="s">
        <v>186</v>
      </c>
      <c r="B984" s="25">
        <f t="shared" si="29"/>
        <v>7390</v>
      </c>
      <c r="C984" s="25" t="s">
        <v>12</v>
      </c>
      <c r="D984" s="25">
        <v>0</v>
      </c>
      <c r="E984" s="25">
        <v>0</v>
      </c>
      <c r="F984" s="25">
        <v>256</v>
      </c>
      <c r="G984" s="25">
        <v>222</v>
      </c>
      <c r="H984" s="27">
        <v>0</v>
      </c>
      <c r="I984" s="27">
        <v>0</v>
      </c>
      <c r="J984" s="27">
        <v>0</v>
      </c>
      <c r="K984" s="27">
        <v>0</v>
      </c>
      <c r="L984" s="27">
        <v>1</v>
      </c>
      <c r="M984" s="27">
        <v>0</v>
      </c>
      <c r="N984" s="27">
        <v>0</v>
      </c>
      <c r="O984" s="27">
        <v>0</v>
      </c>
      <c r="P984" s="25">
        <v>700</v>
      </c>
      <c r="Q984" s="25">
        <v>560</v>
      </c>
      <c r="R984" s="25" t="s">
        <v>87</v>
      </c>
      <c r="S984" s="25" t="s">
        <v>89</v>
      </c>
      <c r="T984" s="25">
        <v>0</v>
      </c>
      <c r="U984" s="25">
        <v>0</v>
      </c>
      <c r="V984" s="25">
        <v>0</v>
      </c>
      <c r="W984" s="25">
        <v>0</v>
      </c>
      <c r="X984" s="25">
        <v>1</v>
      </c>
      <c r="Y984" s="25">
        <v>0</v>
      </c>
      <c r="Z984" s="25">
        <v>0</v>
      </c>
      <c r="AA984" s="25">
        <v>0</v>
      </c>
      <c r="AB984" s="25">
        <v>0</v>
      </c>
      <c r="AC984" s="25">
        <v>0</v>
      </c>
      <c r="AD984" s="25">
        <v>0</v>
      </c>
      <c r="AE984" s="25">
        <v>1</v>
      </c>
      <c r="AF984" s="25" t="s">
        <v>131</v>
      </c>
    </row>
    <row r="985" spans="1:32" s="25" customFormat="1" x14ac:dyDescent="0.25">
      <c r="A985" s="25" t="s">
        <v>186</v>
      </c>
      <c r="B985" s="25">
        <f t="shared" si="29"/>
        <v>7400</v>
      </c>
      <c r="C985" s="25" t="s">
        <v>12</v>
      </c>
      <c r="D985" s="25">
        <v>0</v>
      </c>
      <c r="E985" s="25">
        <v>0</v>
      </c>
      <c r="F985" s="25">
        <v>256</v>
      </c>
      <c r="G985" s="25">
        <v>222</v>
      </c>
      <c r="H985" s="27">
        <v>0</v>
      </c>
      <c r="I985" s="27">
        <v>0</v>
      </c>
      <c r="J985" s="27">
        <v>0</v>
      </c>
      <c r="K985" s="27">
        <v>0</v>
      </c>
      <c r="L985" s="27">
        <v>1</v>
      </c>
      <c r="M985" s="27">
        <v>0</v>
      </c>
      <c r="N985" s="27">
        <v>0</v>
      </c>
      <c r="O985" s="27">
        <v>0</v>
      </c>
      <c r="P985" s="25">
        <v>700</v>
      </c>
      <c r="Q985" s="25">
        <v>560</v>
      </c>
      <c r="R985" s="25" t="s">
        <v>87</v>
      </c>
      <c r="S985" s="25" t="s">
        <v>89</v>
      </c>
      <c r="T985" s="25">
        <v>0</v>
      </c>
      <c r="U985" s="25">
        <v>0</v>
      </c>
      <c r="V985" s="25">
        <v>0</v>
      </c>
      <c r="W985" s="25">
        <v>0</v>
      </c>
      <c r="X985" s="25">
        <v>1</v>
      </c>
      <c r="Y985" s="25">
        <v>0</v>
      </c>
      <c r="Z985" s="25">
        <v>0</v>
      </c>
      <c r="AA985" s="25">
        <v>0</v>
      </c>
      <c r="AB985" s="25">
        <v>0</v>
      </c>
      <c r="AC985" s="25">
        <v>0</v>
      </c>
      <c r="AD985" s="25">
        <v>0</v>
      </c>
      <c r="AE985" s="25">
        <v>1</v>
      </c>
      <c r="AF985" s="25" t="s">
        <v>131</v>
      </c>
    </row>
    <row r="986" spans="1:32" s="25" customFormat="1" x14ac:dyDescent="0.25">
      <c r="A986" s="25" t="s">
        <v>186</v>
      </c>
      <c r="B986" s="25">
        <f t="shared" si="29"/>
        <v>7410</v>
      </c>
      <c r="C986" s="25" t="s">
        <v>12</v>
      </c>
      <c r="D986" s="25">
        <v>0</v>
      </c>
      <c r="E986" s="25">
        <v>0</v>
      </c>
      <c r="F986" s="25">
        <v>256</v>
      </c>
      <c r="G986" s="25">
        <v>222</v>
      </c>
      <c r="H986" s="27">
        <v>0</v>
      </c>
      <c r="I986" s="27">
        <v>0</v>
      </c>
      <c r="J986" s="27">
        <v>0</v>
      </c>
      <c r="K986" s="27">
        <v>0</v>
      </c>
      <c r="L986" s="27">
        <v>1</v>
      </c>
      <c r="M986" s="27">
        <v>0</v>
      </c>
      <c r="N986" s="27">
        <v>0</v>
      </c>
      <c r="O986" s="27">
        <v>0</v>
      </c>
      <c r="P986" s="25">
        <v>700</v>
      </c>
      <c r="Q986" s="25">
        <v>560</v>
      </c>
      <c r="R986" s="25" t="s">
        <v>87</v>
      </c>
      <c r="S986" s="25" t="s">
        <v>89</v>
      </c>
      <c r="T986" s="25">
        <v>0</v>
      </c>
      <c r="U986" s="25">
        <v>0</v>
      </c>
      <c r="V986" s="25">
        <v>0</v>
      </c>
      <c r="W986" s="25">
        <v>0</v>
      </c>
      <c r="X986" s="25">
        <v>1</v>
      </c>
      <c r="Y986" s="25">
        <v>0</v>
      </c>
      <c r="Z986" s="25">
        <v>0</v>
      </c>
      <c r="AA986" s="25">
        <v>0</v>
      </c>
      <c r="AB986" s="25">
        <v>0</v>
      </c>
      <c r="AC986" s="25">
        <v>0</v>
      </c>
      <c r="AD986" s="25">
        <v>0</v>
      </c>
      <c r="AE986" s="25">
        <v>1</v>
      </c>
      <c r="AF986" s="25" t="s">
        <v>131</v>
      </c>
    </row>
    <row r="987" spans="1:32" s="25" customFormat="1" x14ac:dyDescent="0.25">
      <c r="A987" s="25" t="s">
        <v>186</v>
      </c>
      <c r="B987" s="25">
        <f t="shared" si="29"/>
        <v>7420</v>
      </c>
      <c r="C987" s="25" t="s">
        <v>12</v>
      </c>
      <c r="D987" s="25">
        <v>0</v>
      </c>
      <c r="E987" s="25">
        <v>0</v>
      </c>
      <c r="F987" s="25">
        <v>256</v>
      </c>
      <c r="G987" s="25">
        <v>222</v>
      </c>
      <c r="H987" s="27">
        <v>0</v>
      </c>
      <c r="I987" s="27">
        <v>0</v>
      </c>
      <c r="J987" s="27">
        <v>0</v>
      </c>
      <c r="K987" s="27">
        <v>0</v>
      </c>
      <c r="L987" s="27">
        <v>1</v>
      </c>
      <c r="M987" s="27">
        <v>0</v>
      </c>
      <c r="N987" s="27">
        <v>0</v>
      </c>
      <c r="O987" s="27">
        <v>0</v>
      </c>
      <c r="P987" s="25">
        <v>700</v>
      </c>
      <c r="Q987" s="25">
        <v>560</v>
      </c>
      <c r="R987" s="25" t="s">
        <v>87</v>
      </c>
      <c r="S987" s="25" t="s">
        <v>89</v>
      </c>
      <c r="T987" s="25">
        <v>0</v>
      </c>
      <c r="U987" s="25">
        <v>0</v>
      </c>
      <c r="V987" s="25">
        <v>0</v>
      </c>
      <c r="W987" s="25">
        <v>0</v>
      </c>
      <c r="X987" s="25">
        <v>1</v>
      </c>
      <c r="Y987" s="25">
        <v>0</v>
      </c>
      <c r="Z987" s="25">
        <v>0</v>
      </c>
      <c r="AA987" s="25">
        <v>0</v>
      </c>
      <c r="AB987" s="25">
        <v>0</v>
      </c>
      <c r="AC987" s="25">
        <v>0</v>
      </c>
      <c r="AD987" s="25">
        <v>0</v>
      </c>
      <c r="AE987" s="25">
        <v>1</v>
      </c>
      <c r="AF987" s="25" t="s">
        <v>131</v>
      </c>
    </row>
    <row r="988" spans="1:32" s="25" customFormat="1" x14ac:dyDescent="0.25">
      <c r="A988" s="25" t="s">
        <v>186</v>
      </c>
      <c r="B988" s="25">
        <f t="shared" si="29"/>
        <v>7430</v>
      </c>
      <c r="C988" s="25" t="s">
        <v>12</v>
      </c>
      <c r="D988" s="25">
        <v>0</v>
      </c>
      <c r="E988" s="25">
        <v>0</v>
      </c>
      <c r="F988" s="25">
        <v>256</v>
      </c>
      <c r="G988" s="25">
        <v>222</v>
      </c>
      <c r="H988" s="27">
        <v>0</v>
      </c>
      <c r="I988" s="27">
        <v>0</v>
      </c>
      <c r="J988" s="27">
        <v>0</v>
      </c>
      <c r="K988" s="27">
        <v>0</v>
      </c>
      <c r="L988" s="27">
        <v>1</v>
      </c>
      <c r="M988" s="27">
        <v>0</v>
      </c>
      <c r="N988" s="27">
        <v>0</v>
      </c>
      <c r="O988" s="27">
        <v>0</v>
      </c>
      <c r="P988" s="25">
        <v>700</v>
      </c>
      <c r="Q988" s="25">
        <v>560</v>
      </c>
      <c r="R988" s="25" t="s">
        <v>87</v>
      </c>
      <c r="S988" s="25" t="s">
        <v>89</v>
      </c>
      <c r="T988" s="25">
        <v>0</v>
      </c>
      <c r="U988" s="25">
        <v>0</v>
      </c>
      <c r="V988" s="25">
        <v>0</v>
      </c>
      <c r="W988" s="25">
        <v>0</v>
      </c>
      <c r="X988" s="25">
        <v>1</v>
      </c>
      <c r="Y988" s="25">
        <v>0</v>
      </c>
      <c r="Z988" s="25">
        <v>0</v>
      </c>
      <c r="AA988" s="25">
        <v>0</v>
      </c>
      <c r="AB988" s="25">
        <v>0</v>
      </c>
      <c r="AC988" s="25">
        <v>0</v>
      </c>
      <c r="AD988" s="25">
        <v>0</v>
      </c>
      <c r="AE988" s="25">
        <v>1</v>
      </c>
      <c r="AF988" s="25" t="s">
        <v>131</v>
      </c>
    </row>
    <row r="989" spans="1:32" s="25" customFormat="1" x14ac:dyDescent="0.25">
      <c r="A989" s="25" t="s">
        <v>186</v>
      </c>
      <c r="B989" s="25">
        <f t="shared" si="29"/>
        <v>7440</v>
      </c>
      <c r="C989" s="25" t="s">
        <v>12</v>
      </c>
      <c r="D989" s="25">
        <v>0</v>
      </c>
      <c r="E989" s="25">
        <v>0</v>
      </c>
      <c r="F989" s="25">
        <v>256</v>
      </c>
      <c r="G989" s="25">
        <v>222</v>
      </c>
      <c r="H989" s="27">
        <v>0</v>
      </c>
      <c r="I989" s="27">
        <v>0</v>
      </c>
      <c r="J989" s="27">
        <v>0</v>
      </c>
      <c r="K989" s="27">
        <v>0</v>
      </c>
      <c r="L989" s="27">
        <v>1</v>
      </c>
      <c r="M989" s="27">
        <v>0</v>
      </c>
      <c r="N989" s="27">
        <v>0</v>
      </c>
      <c r="O989" s="27">
        <v>0</v>
      </c>
      <c r="P989" s="25">
        <v>700</v>
      </c>
      <c r="Q989" s="25">
        <v>560</v>
      </c>
      <c r="R989" s="25" t="s">
        <v>87</v>
      </c>
      <c r="S989" s="25" t="s">
        <v>89</v>
      </c>
      <c r="T989" s="25">
        <v>0</v>
      </c>
      <c r="U989" s="25">
        <v>0</v>
      </c>
      <c r="V989" s="25">
        <v>0</v>
      </c>
      <c r="W989" s="25">
        <v>0</v>
      </c>
      <c r="X989" s="25">
        <v>1</v>
      </c>
      <c r="Y989" s="25">
        <v>0</v>
      </c>
      <c r="Z989" s="25">
        <v>0</v>
      </c>
      <c r="AA989" s="25">
        <v>0</v>
      </c>
      <c r="AB989" s="25">
        <v>0</v>
      </c>
      <c r="AC989" s="25">
        <v>0</v>
      </c>
      <c r="AD989" s="25">
        <v>0</v>
      </c>
      <c r="AE989" s="25">
        <v>1</v>
      </c>
      <c r="AF989" s="25" t="s">
        <v>131</v>
      </c>
    </row>
    <row r="990" spans="1:32" s="25" customFormat="1" x14ac:dyDescent="0.25">
      <c r="A990" s="25" t="s">
        <v>186</v>
      </c>
      <c r="B990" s="25">
        <f t="shared" si="29"/>
        <v>7450</v>
      </c>
      <c r="C990" s="25" t="s">
        <v>12</v>
      </c>
      <c r="D990" s="25">
        <v>0</v>
      </c>
      <c r="E990" s="25">
        <v>0</v>
      </c>
      <c r="F990" s="25">
        <v>256</v>
      </c>
      <c r="G990" s="25">
        <v>222</v>
      </c>
      <c r="H990" s="27">
        <v>0</v>
      </c>
      <c r="I990" s="27">
        <v>0</v>
      </c>
      <c r="J990" s="27">
        <v>0</v>
      </c>
      <c r="K990" s="27">
        <v>0</v>
      </c>
      <c r="L990" s="27">
        <v>1</v>
      </c>
      <c r="M990" s="27">
        <v>0</v>
      </c>
      <c r="N990" s="27">
        <v>0</v>
      </c>
      <c r="O990" s="27">
        <v>0</v>
      </c>
      <c r="P990" s="25">
        <v>700</v>
      </c>
      <c r="Q990" s="25">
        <v>560</v>
      </c>
      <c r="R990" s="25" t="s">
        <v>87</v>
      </c>
      <c r="S990" s="25" t="s">
        <v>89</v>
      </c>
      <c r="T990" s="25">
        <v>0</v>
      </c>
      <c r="U990" s="25">
        <v>0</v>
      </c>
      <c r="V990" s="25">
        <v>0</v>
      </c>
      <c r="W990" s="25">
        <v>0</v>
      </c>
      <c r="X990" s="25">
        <v>1</v>
      </c>
      <c r="Y990" s="25">
        <v>0</v>
      </c>
      <c r="Z990" s="25">
        <v>0</v>
      </c>
      <c r="AA990" s="25">
        <v>0</v>
      </c>
      <c r="AB990" s="25">
        <v>0</v>
      </c>
      <c r="AC990" s="25">
        <v>0</v>
      </c>
      <c r="AD990" s="25">
        <v>0</v>
      </c>
      <c r="AE990" s="25">
        <v>1</v>
      </c>
      <c r="AF990" s="25" t="s">
        <v>131</v>
      </c>
    </row>
    <row r="991" spans="1:32" s="25" customFormat="1" x14ac:dyDescent="0.25">
      <c r="A991" s="25" t="s">
        <v>186</v>
      </c>
      <c r="B991" s="25">
        <f t="shared" si="29"/>
        <v>7460</v>
      </c>
      <c r="C991" s="25" t="s">
        <v>12</v>
      </c>
      <c r="D991" s="25">
        <v>0</v>
      </c>
      <c r="E991" s="25">
        <v>0</v>
      </c>
      <c r="F991" s="25">
        <v>256</v>
      </c>
      <c r="G991" s="25">
        <v>222</v>
      </c>
      <c r="H991" s="27">
        <v>0</v>
      </c>
      <c r="I991" s="27">
        <v>0</v>
      </c>
      <c r="J991" s="27">
        <v>0</v>
      </c>
      <c r="K991" s="27">
        <v>0</v>
      </c>
      <c r="L991" s="27">
        <v>1</v>
      </c>
      <c r="M991" s="27">
        <v>0</v>
      </c>
      <c r="N991" s="27">
        <v>0</v>
      </c>
      <c r="O991" s="27">
        <v>0</v>
      </c>
      <c r="P991" s="25">
        <v>700</v>
      </c>
      <c r="Q991" s="25">
        <v>560</v>
      </c>
      <c r="R991" s="25" t="s">
        <v>87</v>
      </c>
      <c r="S991" s="25" t="s">
        <v>89</v>
      </c>
      <c r="T991" s="25">
        <v>0</v>
      </c>
      <c r="U991" s="25">
        <v>0</v>
      </c>
      <c r="V991" s="25">
        <v>0</v>
      </c>
      <c r="W991" s="25">
        <v>0</v>
      </c>
      <c r="X991" s="25">
        <v>1</v>
      </c>
      <c r="Y991" s="25">
        <v>0</v>
      </c>
      <c r="Z991" s="25">
        <v>0</v>
      </c>
      <c r="AA991" s="25">
        <v>0</v>
      </c>
      <c r="AB991" s="25">
        <v>0</v>
      </c>
      <c r="AC991" s="25">
        <v>0</v>
      </c>
      <c r="AD991" s="25">
        <v>0</v>
      </c>
      <c r="AE991" s="25">
        <v>1</v>
      </c>
      <c r="AF991" s="25" t="s">
        <v>131</v>
      </c>
    </row>
    <row r="992" spans="1:32" s="25" customFormat="1" x14ac:dyDescent="0.25">
      <c r="A992" s="25" t="s">
        <v>186</v>
      </c>
      <c r="B992" s="25">
        <f t="shared" si="29"/>
        <v>7470</v>
      </c>
      <c r="C992" s="25" t="s">
        <v>12</v>
      </c>
      <c r="D992" s="25">
        <v>0</v>
      </c>
      <c r="E992" s="25">
        <v>0</v>
      </c>
      <c r="F992" s="25">
        <v>256</v>
      </c>
      <c r="G992" s="25">
        <v>222</v>
      </c>
      <c r="H992" s="27">
        <v>0</v>
      </c>
      <c r="I992" s="27">
        <v>0</v>
      </c>
      <c r="J992" s="27">
        <v>0</v>
      </c>
      <c r="K992" s="27">
        <v>0</v>
      </c>
      <c r="L992" s="27">
        <v>1</v>
      </c>
      <c r="M992" s="27">
        <v>0</v>
      </c>
      <c r="N992" s="27">
        <v>0</v>
      </c>
      <c r="O992" s="27">
        <v>0</v>
      </c>
      <c r="P992" s="25">
        <v>700</v>
      </c>
      <c r="Q992" s="25">
        <v>560</v>
      </c>
      <c r="R992" s="25" t="s">
        <v>87</v>
      </c>
      <c r="S992" s="25" t="s">
        <v>89</v>
      </c>
      <c r="T992" s="25">
        <v>0</v>
      </c>
      <c r="U992" s="25">
        <v>0</v>
      </c>
      <c r="V992" s="25">
        <v>0</v>
      </c>
      <c r="W992" s="25">
        <v>0</v>
      </c>
      <c r="X992" s="25">
        <v>1</v>
      </c>
      <c r="Y992" s="25">
        <v>0</v>
      </c>
      <c r="Z992" s="25">
        <v>0</v>
      </c>
      <c r="AA992" s="25">
        <v>0</v>
      </c>
      <c r="AB992" s="25">
        <v>0</v>
      </c>
      <c r="AC992" s="25">
        <v>0</v>
      </c>
      <c r="AD992" s="25">
        <v>0</v>
      </c>
      <c r="AE992" s="25">
        <v>1</v>
      </c>
      <c r="AF992" s="25" t="s">
        <v>131</v>
      </c>
    </row>
    <row r="993" spans="1:32" s="25" customFormat="1" x14ac:dyDescent="0.25">
      <c r="A993" s="25" t="s">
        <v>186</v>
      </c>
      <c r="B993" s="25">
        <f t="shared" si="29"/>
        <v>7480</v>
      </c>
      <c r="C993" s="25" t="s">
        <v>12</v>
      </c>
      <c r="D993" s="25">
        <v>0</v>
      </c>
      <c r="E993" s="25">
        <v>0</v>
      </c>
      <c r="F993" s="25">
        <v>256</v>
      </c>
      <c r="G993" s="25">
        <v>222</v>
      </c>
      <c r="H993" s="27">
        <v>0</v>
      </c>
      <c r="I993" s="27">
        <v>0</v>
      </c>
      <c r="J993" s="27">
        <v>0</v>
      </c>
      <c r="K993" s="27">
        <v>0</v>
      </c>
      <c r="L993" s="27">
        <v>1</v>
      </c>
      <c r="M993" s="27">
        <v>0</v>
      </c>
      <c r="N993" s="27">
        <v>0</v>
      </c>
      <c r="O993" s="27">
        <v>0</v>
      </c>
      <c r="P993" s="25">
        <v>700</v>
      </c>
      <c r="Q993" s="25">
        <v>560</v>
      </c>
      <c r="R993" s="25" t="s">
        <v>87</v>
      </c>
      <c r="S993" s="25" t="s">
        <v>89</v>
      </c>
      <c r="T993" s="25">
        <v>0</v>
      </c>
      <c r="U993" s="25">
        <v>0</v>
      </c>
      <c r="V993" s="25">
        <v>0</v>
      </c>
      <c r="W993" s="25">
        <v>0</v>
      </c>
      <c r="X993" s="25">
        <v>1</v>
      </c>
      <c r="Y993" s="25">
        <v>0</v>
      </c>
      <c r="Z993" s="25">
        <v>0</v>
      </c>
      <c r="AA993" s="25">
        <v>0</v>
      </c>
      <c r="AB993" s="25">
        <v>0</v>
      </c>
      <c r="AC993" s="25">
        <v>0</v>
      </c>
      <c r="AD993" s="25">
        <v>0</v>
      </c>
      <c r="AE993" s="25">
        <v>1</v>
      </c>
      <c r="AF993" s="25" t="s">
        <v>131</v>
      </c>
    </row>
    <row r="994" spans="1:32" s="25" customFormat="1" x14ac:dyDescent="0.25">
      <c r="A994" s="25" t="s">
        <v>186</v>
      </c>
      <c r="B994" s="25">
        <f t="shared" si="29"/>
        <v>7490</v>
      </c>
      <c r="C994" s="25" t="s">
        <v>12</v>
      </c>
      <c r="D994" s="25">
        <v>0</v>
      </c>
      <c r="E994" s="25">
        <v>0</v>
      </c>
      <c r="F994" s="25">
        <v>256</v>
      </c>
      <c r="G994" s="25">
        <v>222</v>
      </c>
      <c r="H994" s="27">
        <v>0</v>
      </c>
      <c r="I994" s="27">
        <v>0</v>
      </c>
      <c r="J994" s="27">
        <v>0</v>
      </c>
      <c r="K994" s="27">
        <v>0</v>
      </c>
      <c r="L994" s="27">
        <v>1</v>
      </c>
      <c r="M994" s="27">
        <v>0</v>
      </c>
      <c r="N994" s="27">
        <v>0</v>
      </c>
      <c r="O994" s="27">
        <v>0</v>
      </c>
      <c r="P994" s="25">
        <v>700</v>
      </c>
      <c r="Q994" s="25">
        <v>560</v>
      </c>
      <c r="R994" s="25" t="s">
        <v>87</v>
      </c>
      <c r="S994" s="25" t="s">
        <v>89</v>
      </c>
      <c r="T994" s="25">
        <v>0</v>
      </c>
      <c r="U994" s="25">
        <v>0</v>
      </c>
      <c r="V994" s="25">
        <v>0</v>
      </c>
      <c r="W994" s="25">
        <v>0</v>
      </c>
      <c r="X994" s="25">
        <v>1</v>
      </c>
      <c r="Y994" s="25">
        <v>0</v>
      </c>
      <c r="Z994" s="25">
        <v>0</v>
      </c>
      <c r="AA994" s="25">
        <v>0</v>
      </c>
      <c r="AB994" s="25">
        <v>0</v>
      </c>
      <c r="AC994" s="25">
        <v>0</v>
      </c>
      <c r="AD994" s="25">
        <v>0</v>
      </c>
      <c r="AE994" s="25">
        <v>1</v>
      </c>
      <c r="AF994" s="25" t="s">
        <v>131</v>
      </c>
    </row>
    <row r="995" spans="1:32" s="25" customFormat="1" x14ac:dyDescent="0.25">
      <c r="A995" s="25" t="s">
        <v>186</v>
      </c>
      <c r="B995" s="25">
        <f t="shared" si="29"/>
        <v>7500</v>
      </c>
      <c r="C995" s="25" t="s">
        <v>12</v>
      </c>
      <c r="D995" s="25">
        <v>0</v>
      </c>
      <c r="E995" s="25">
        <v>0</v>
      </c>
      <c r="F995" s="25">
        <v>256</v>
      </c>
      <c r="G995" s="25">
        <v>222</v>
      </c>
      <c r="H995" s="27">
        <v>0</v>
      </c>
      <c r="I995" s="27">
        <v>0</v>
      </c>
      <c r="J995" s="27">
        <v>0</v>
      </c>
      <c r="K995" s="27">
        <v>0</v>
      </c>
      <c r="L995" s="27">
        <v>1</v>
      </c>
      <c r="M995" s="27">
        <v>0</v>
      </c>
      <c r="N995" s="27">
        <v>0</v>
      </c>
      <c r="O995" s="27">
        <v>0</v>
      </c>
      <c r="P995" s="25">
        <v>700</v>
      </c>
      <c r="Q995" s="25">
        <v>560</v>
      </c>
      <c r="R995" s="25" t="s">
        <v>87</v>
      </c>
      <c r="S995" s="25" t="s">
        <v>89</v>
      </c>
      <c r="T995" s="25">
        <v>0</v>
      </c>
      <c r="U995" s="25">
        <v>0</v>
      </c>
      <c r="V995" s="25">
        <v>0</v>
      </c>
      <c r="W995" s="25">
        <v>0</v>
      </c>
      <c r="X995" s="25">
        <v>1</v>
      </c>
      <c r="Y995" s="25">
        <v>0</v>
      </c>
      <c r="Z995" s="25">
        <v>0</v>
      </c>
      <c r="AA995" s="25">
        <v>0</v>
      </c>
      <c r="AB995" s="25">
        <v>0</v>
      </c>
      <c r="AC995" s="25">
        <v>0</v>
      </c>
      <c r="AD995" s="25">
        <v>0</v>
      </c>
      <c r="AE995" s="25">
        <v>1</v>
      </c>
      <c r="AF995" s="25" t="s">
        <v>131</v>
      </c>
    </row>
    <row r="996" spans="1:32" s="25" customFormat="1" x14ac:dyDescent="0.25">
      <c r="A996" s="25" t="s">
        <v>186</v>
      </c>
      <c r="B996" s="25">
        <f t="shared" si="29"/>
        <v>7510</v>
      </c>
      <c r="C996" s="25" t="s">
        <v>12</v>
      </c>
      <c r="D996" s="25">
        <v>0</v>
      </c>
      <c r="E996" s="25">
        <v>0</v>
      </c>
      <c r="F996" s="25">
        <v>256</v>
      </c>
      <c r="G996" s="25">
        <v>222</v>
      </c>
      <c r="H996" s="27">
        <v>0</v>
      </c>
      <c r="I996" s="27">
        <v>0</v>
      </c>
      <c r="J996" s="27">
        <v>0</v>
      </c>
      <c r="K996" s="27">
        <v>0</v>
      </c>
      <c r="L996" s="27">
        <v>1</v>
      </c>
      <c r="M996" s="27">
        <v>0</v>
      </c>
      <c r="N996" s="27">
        <v>0</v>
      </c>
      <c r="O996" s="27">
        <v>0</v>
      </c>
      <c r="P996" s="25">
        <v>700</v>
      </c>
      <c r="Q996" s="25">
        <v>560</v>
      </c>
      <c r="R996" s="25" t="s">
        <v>87</v>
      </c>
      <c r="S996" s="25" t="s">
        <v>89</v>
      </c>
      <c r="T996" s="25">
        <v>0</v>
      </c>
      <c r="U996" s="25">
        <v>0</v>
      </c>
      <c r="V996" s="25">
        <v>0</v>
      </c>
      <c r="W996" s="25">
        <v>0</v>
      </c>
      <c r="X996" s="25">
        <v>1</v>
      </c>
      <c r="Y996" s="25">
        <v>0</v>
      </c>
      <c r="Z996" s="25">
        <v>0</v>
      </c>
      <c r="AA996" s="25">
        <v>0</v>
      </c>
      <c r="AB996" s="25">
        <v>0</v>
      </c>
      <c r="AC996" s="25">
        <v>0</v>
      </c>
      <c r="AD996" s="25">
        <v>0</v>
      </c>
      <c r="AE996" s="25">
        <v>1</v>
      </c>
      <c r="AF996" s="25" t="s">
        <v>131</v>
      </c>
    </row>
    <row r="997" spans="1:32" s="25" customFormat="1" x14ac:dyDescent="0.25">
      <c r="A997" s="25" t="s">
        <v>186</v>
      </c>
      <c r="B997" s="25">
        <f t="shared" si="29"/>
        <v>7520</v>
      </c>
      <c r="C997" s="25" t="s">
        <v>12</v>
      </c>
      <c r="D997" s="25">
        <v>0</v>
      </c>
      <c r="E997" s="25">
        <v>0</v>
      </c>
      <c r="F997" s="25">
        <v>256</v>
      </c>
      <c r="G997" s="25">
        <v>222</v>
      </c>
      <c r="H997" s="27">
        <v>0</v>
      </c>
      <c r="I997" s="27">
        <v>0</v>
      </c>
      <c r="J997" s="27">
        <v>0</v>
      </c>
      <c r="K997" s="27">
        <v>0</v>
      </c>
      <c r="L997" s="27">
        <v>1</v>
      </c>
      <c r="M997" s="27">
        <v>0</v>
      </c>
      <c r="N997" s="27">
        <v>0</v>
      </c>
      <c r="O997" s="27">
        <v>0</v>
      </c>
      <c r="P997" s="25">
        <v>700</v>
      </c>
      <c r="Q997" s="25">
        <v>560</v>
      </c>
      <c r="R997" s="25" t="s">
        <v>87</v>
      </c>
      <c r="S997" s="25" t="s">
        <v>89</v>
      </c>
      <c r="T997" s="25">
        <v>0</v>
      </c>
      <c r="U997" s="25">
        <v>0</v>
      </c>
      <c r="V997" s="25">
        <v>0</v>
      </c>
      <c r="W997" s="25">
        <v>0</v>
      </c>
      <c r="X997" s="25">
        <v>1</v>
      </c>
      <c r="Y997" s="25">
        <v>0</v>
      </c>
      <c r="Z997" s="25">
        <v>0</v>
      </c>
      <c r="AA997" s="25">
        <v>0</v>
      </c>
      <c r="AB997" s="25">
        <v>0</v>
      </c>
      <c r="AC997" s="25">
        <v>0</v>
      </c>
      <c r="AD997" s="25">
        <v>0</v>
      </c>
      <c r="AE997" s="25">
        <v>1</v>
      </c>
      <c r="AF997" s="25" t="s">
        <v>131</v>
      </c>
    </row>
    <row r="998" spans="1:32" s="25" customFormat="1" x14ac:dyDescent="0.25">
      <c r="A998" s="25" t="s">
        <v>186</v>
      </c>
      <c r="B998" s="25">
        <f t="shared" si="29"/>
        <v>7530</v>
      </c>
      <c r="C998" s="25" t="s">
        <v>12</v>
      </c>
      <c r="D998" s="25">
        <v>0</v>
      </c>
      <c r="E998" s="25">
        <v>0</v>
      </c>
      <c r="F998" s="25">
        <v>256</v>
      </c>
      <c r="G998" s="25">
        <v>222</v>
      </c>
      <c r="H998" s="27">
        <v>0</v>
      </c>
      <c r="I998" s="27">
        <v>0</v>
      </c>
      <c r="J998" s="27">
        <v>0</v>
      </c>
      <c r="K998" s="27">
        <v>0</v>
      </c>
      <c r="L998" s="27">
        <v>1</v>
      </c>
      <c r="M998" s="27">
        <v>0</v>
      </c>
      <c r="N998" s="27">
        <v>0</v>
      </c>
      <c r="O998" s="27">
        <v>0</v>
      </c>
      <c r="P998" s="25">
        <v>700</v>
      </c>
      <c r="Q998" s="25">
        <v>560</v>
      </c>
      <c r="R998" s="25" t="s">
        <v>87</v>
      </c>
      <c r="S998" s="25" t="s">
        <v>89</v>
      </c>
      <c r="T998" s="25">
        <v>0</v>
      </c>
      <c r="U998" s="25">
        <v>0</v>
      </c>
      <c r="V998" s="25">
        <v>0</v>
      </c>
      <c r="W998" s="25">
        <v>0</v>
      </c>
      <c r="X998" s="25">
        <v>1</v>
      </c>
      <c r="Y998" s="25">
        <v>0</v>
      </c>
      <c r="Z998" s="25">
        <v>0</v>
      </c>
      <c r="AA998" s="25">
        <v>0</v>
      </c>
      <c r="AB998" s="25">
        <v>0</v>
      </c>
      <c r="AC998" s="25">
        <v>0</v>
      </c>
      <c r="AD998" s="25">
        <v>0</v>
      </c>
      <c r="AE998" s="25">
        <v>1</v>
      </c>
      <c r="AF998" s="25" t="s">
        <v>131</v>
      </c>
    </row>
    <row r="999" spans="1:32" s="25" customFormat="1" x14ac:dyDescent="0.25">
      <c r="A999" s="25" t="s">
        <v>186</v>
      </c>
      <c r="B999" s="25">
        <f t="shared" si="29"/>
        <v>7540</v>
      </c>
      <c r="C999" s="25" t="s">
        <v>12</v>
      </c>
      <c r="D999" s="25">
        <v>0</v>
      </c>
      <c r="E999" s="25">
        <v>0</v>
      </c>
      <c r="F999" s="25">
        <v>256</v>
      </c>
      <c r="G999" s="25">
        <v>222</v>
      </c>
      <c r="H999" s="27">
        <v>0</v>
      </c>
      <c r="I999" s="27">
        <v>0</v>
      </c>
      <c r="J999" s="27">
        <v>0</v>
      </c>
      <c r="K999" s="27">
        <v>0</v>
      </c>
      <c r="L999" s="27">
        <v>1</v>
      </c>
      <c r="M999" s="27">
        <v>0</v>
      </c>
      <c r="N999" s="27">
        <v>0</v>
      </c>
      <c r="O999" s="27">
        <v>0</v>
      </c>
      <c r="P999" s="25">
        <v>700</v>
      </c>
      <c r="Q999" s="25">
        <v>560</v>
      </c>
      <c r="R999" s="25" t="s">
        <v>87</v>
      </c>
      <c r="S999" s="25" t="s">
        <v>89</v>
      </c>
      <c r="T999" s="25">
        <v>0</v>
      </c>
      <c r="U999" s="25">
        <v>0</v>
      </c>
      <c r="V999" s="25">
        <v>0</v>
      </c>
      <c r="W999" s="25">
        <v>0</v>
      </c>
      <c r="X999" s="25">
        <v>1</v>
      </c>
      <c r="Y999" s="25">
        <v>0</v>
      </c>
      <c r="Z999" s="25">
        <v>0</v>
      </c>
      <c r="AA999" s="25">
        <v>0</v>
      </c>
      <c r="AB999" s="25">
        <v>0</v>
      </c>
      <c r="AC999" s="25">
        <v>0</v>
      </c>
      <c r="AD999" s="25">
        <v>0</v>
      </c>
      <c r="AE999" s="25">
        <v>1</v>
      </c>
      <c r="AF999" s="25" t="s">
        <v>131</v>
      </c>
    </row>
    <row r="1000" spans="1:32" s="25" customFormat="1" x14ac:dyDescent="0.25">
      <c r="A1000" s="25" t="s">
        <v>186</v>
      </c>
      <c r="B1000" s="25">
        <f t="shared" si="29"/>
        <v>7550</v>
      </c>
      <c r="C1000" s="25" t="s">
        <v>12</v>
      </c>
      <c r="D1000" s="25">
        <v>0</v>
      </c>
      <c r="E1000" s="25">
        <v>0</v>
      </c>
      <c r="F1000" s="25">
        <v>256</v>
      </c>
      <c r="G1000" s="25">
        <v>222</v>
      </c>
      <c r="H1000" s="27">
        <v>0</v>
      </c>
      <c r="I1000" s="27">
        <v>0</v>
      </c>
      <c r="J1000" s="27">
        <v>0</v>
      </c>
      <c r="K1000" s="27">
        <v>0</v>
      </c>
      <c r="L1000" s="27">
        <v>1</v>
      </c>
      <c r="M1000" s="27">
        <v>0</v>
      </c>
      <c r="N1000" s="27">
        <v>0</v>
      </c>
      <c r="O1000" s="27">
        <v>0</v>
      </c>
      <c r="P1000" s="25">
        <v>700</v>
      </c>
      <c r="Q1000" s="25">
        <v>560</v>
      </c>
      <c r="R1000" s="25" t="s">
        <v>87</v>
      </c>
      <c r="S1000" s="25" t="s">
        <v>89</v>
      </c>
      <c r="T1000" s="25">
        <v>0</v>
      </c>
      <c r="U1000" s="25">
        <v>0</v>
      </c>
      <c r="V1000" s="25">
        <v>0</v>
      </c>
      <c r="W1000" s="25">
        <v>0</v>
      </c>
      <c r="X1000" s="25">
        <v>1</v>
      </c>
      <c r="Y1000" s="25">
        <v>0</v>
      </c>
      <c r="Z1000" s="25">
        <v>0</v>
      </c>
      <c r="AA1000" s="25">
        <v>0</v>
      </c>
      <c r="AB1000" s="25">
        <v>0</v>
      </c>
      <c r="AC1000" s="25">
        <v>0</v>
      </c>
      <c r="AD1000" s="25">
        <v>0</v>
      </c>
      <c r="AE1000" s="25">
        <v>1</v>
      </c>
      <c r="AF1000" s="25" t="s">
        <v>131</v>
      </c>
    </row>
    <row r="1001" spans="1:32" s="25" customFormat="1" x14ac:dyDescent="0.25">
      <c r="A1001" s="25" t="s">
        <v>186</v>
      </c>
      <c r="B1001" s="25">
        <f t="shared" si="29"/>
        <v>7560</v>
      </c>
      <c r="C1001" s="25" t="s">
        <v>12</v>
      </c>
      <c r="D1001" s="25">
        <v>0</v>
      </c>
      <c r="E1001" s="25">
        <v>0</v>
      </c>
      <c r="F1001" s="25">
        <v>256</v>
      </c>
      <c r="G1001" s="25">
        <v>222</v>
      </c>
      <c r="H1001" s="27">
        <v>0</v>
      </c>
      <c r="I1001" s="27">
        <v>0</v>
      </c>
      <c r="J1001" s="27">
        <v>0</v>
      </c>
      <c r="K1001" s="27">
        <v>0</v>
      </c>
      <c r="L1001" s="27">
        <v>1</v>
      </c>
      <c r="M1001" s="27">
        <v>0</v>
      </c>
      <c r="N1001" s="27">
        <v>0</v>
      </c>
      <c r="O1001" s="27">
        <v>0</v>
      </c>
      <c r="P1001" s="25">
        <v>700</v>
      </c>
      <c r="Q1001" s="25">
        <v>560</v>
      </c>
      <c r="R1001" s="25" t="s">
        <v>87</v>
      </c>
      <c r="S1001" s="25" t="s">
        <v>89</v>
      </c>
      <c r="T1001" s="25">
        <v>0</v>
      </c>
      <c r="U1001" s="25">
        <v>0</v>
      </c>
      <c r="V1001" s="25">
        <v>0</v>
      </c>
      <c r="W1001" s="25">
        <v>0</v>
      </c>
      <c r="X1001" s="25">
        <v>1</v>
      </c>
      <c r="Y1001" s="25">
        <v>0</v>
      </c>
      <c r="Z1001" s="25">
        <v>0</v>
      </c>
      <c r="AA1001" s="25">
        <v>0</v>
      </c>
      <c r="AB1001" s="25">
        <v>0</v>
      </c>
      <c r="AC1001" s="25">
        <v>0</v>
      </c>
      <c r="AD1001" s="25">
        <v>0</v>
      </c>
      <c r="AE1001" s="25">
        <v>1</v>
      </c>
      <c r="AF1001" s="25" t="s">
        <v>131</v>
      </c>
    </row>
    <row r="1002" spans="1:32" s="25" customFormat="1" x14ac:dyDescent="0.25">
      <c r="A1002" s="25" t="s">
        <v>186</v>
      </c>
      <c r="B1002" s="25">
        <f t="shared" si="29"/>
        <v>7570</v>
      </c>
      <c r="C1002" s="25" t="s">
        <v>12</v>
      </c>
      <c r="D1002" s="25">
        <v>0</v>
      </c>
      <c r="E1002" s="25">
        <v>0</v>
      </c>
      <c r="F1002" s="25">
        <v>256</v>
      </c>
      <c r="G1002" s="25">
        <v>222</v>
      </c>
      <c r="H1002" s="27">
        <v>0</v>
      </c>
      <c r="I1002" s="27">
        <v>0</v>
      </c>
      <c r="J1002" s="27">
        <v>0</v>
      </c>
      <c r="K1002" s="27">
        <v>0</v>
      </c>
      <c r="L1002" s="27">
        <v>1</v>
      </c>
      <c r="M1002" s="27">
        <v>0</v>
      </c>
      <c r="N1002" s="27">
        <v>0</v>
      </c>
      <c r="O1002" s="27">
        <v>0</v>
      </c>
      <c r="P1002" s="25">
        <v>700</v>
      </c>
      <c r="Q1002" s="25">
        <v>560</v>
      </c>
      <c r="R1002" s="25" t="s">
        <v>87</v>
      </c>
      <c r="S1002" s="25" t="s">
        <v>89</v>
      </c>
      <c r="T1002" s="25">
        <v>0</v>
      </c>
      <c r="U1002" s="25">
        <v>0</v>
      </c>
      <c r="V1002" s="25">
        <v>0</v>
      </c>
      <c r="W1002" s="25">
        <v>0</v>
      </c>
      <c r="X1002" s="25">
        <v>1</v>
      </c>
      <c r="Y1002" s="25">
        <v>0</v>
      </c>
      <c r="Z1002" s="25">
        <v>0</v>
      </c>
      <c r="AA1002" s="25">
        <v>0</v>
      </c>
      <c r="AB1002" s="25">
        <v>0</v>
      </c>
      <c r="AC1002" s="25">
        <v>0</v>
      </c>
      <c r="AD1002" s="25">
        <v>0</v>
      </c>
      <c r="AE1002" s="25">
        <v>1</v>
      </c>
      <c r="AF1002" s="25" t="s">
        <v>131</v>
      </c>
    </row>
    <row r="1003" spans="1:32" s="25" customFormat="1" x14ac:dyDescent="0.25">
      <c r="A1003" s="25" t="s">
        <v>186</v>
      </c>
      <c r="B1003" s="25">
        <f t="shared" si="29"/>
        <v>7580</v>
      </c>
      <c r="C1003" s="25" t="s">
        <v>12</v>
      </c>
      <c r="D1003" s="25">
        <v>0</v>
      </c>
      <c r="E1003" s="25">
        <v>0</v>
      </c>
      <c r="F1003" s="25">
        <v>256</v>
      </c>
      <c r="G1003" s="25">
        <v>222</v>
      </c>
      <c r="H1003" s="27">
        <v>0</v>
      </c>
      <c r="I1003" s="27">
        <v>0</v>
      </c>
      <c r="J1003" s="27">
        <v>0</v>
      </c>
      <c r="K1003" s="27">
        <v>0</v>
      </c>
      <c r="L1003" s="27">
        <v>1</v>
      </c>
      <c r="M1003" s="27">
        <v>0</v>
      </c>
      <c r="N1003" s="27">
        <v>0</v>
      </c>
      <c r="O1003" s="27">
        <v>0</v>
      </c>
      <c r="P1003" s="25">
        <v>700</v>
      </c>
      <c r="Q1003" s="25">
        <v>560</v>
      </c>
      <c r="R1003" s="25" t="s">
        <v>87</v>
      </c>
      <c r="S1003" s="25" t="s">
        <v>89</v>
      </c>
      <c r="T1003" s="25">
        <v>0</v>
      </c>
      <c r="U1003" s="25">
        <v>0</v>
      </c>
      <c r="V1003" s="25">
        <v>0</v>
      </c>
      <c r="W1003" s="25">
        <v>0</v>
      </c>
      <c r="X1003" s="25">
        <v>1</v>
      </c>
      <c r="Y1003" s="25">
        <v>0</v>
      </c>
      <c r="Z1003" s="25">
        <v>0</v>
      </c>
      <c r="AA1003" s="25">
        <v>0</v>
      </c>
      <c r="AB1003" s="25">
        <v>0</v>
      </c>
      <c r="AC1003" s="25">
        <v>0</v>
      </c>
      <c r="AD1003" s="25">
        <v>0</v>
      </c>
      <c r="AE1003" s="25">
        <v>1</v>
      </c>
      <c r="AF1003" s="25" t="s">
        <v>131</v>
      </c>
    </row>
    <row r="1004" spans="1:32" s="25" customFormat="1" x14ac:dyDescent="0.25">
      <c r="A1004" s="25" t="s">
        <v>186</v>
      </c>
      <c r="B1004" s="25">
        <f t="shared" si="29"/>
        <v>7590</v>
      </c>
      <c r="C1004" s="25" t="s">
        <v>12</v>
      </c>
      <c r="D1004" s="25">
        <v>0</v>
      </c>
      <c r="E1004" s="25">
        <v>0</v>
      </c>
      <c r="F1004" s="25">
        <v>256</v>
      </c>
      <c r="G1004" s="25">
        <v>222</v>
      </c>
      <c r="H1004" s="27">
        <v>0</v>
      </c>
      <c r="I1004" s="27">
        <v>0</v>
      </c>
      <c r="J1004" s="27">
        <v>0</v>
      </c>
      <c r="K1004" s="27">
        <v>0</v>
      </c>
      <c r="L1004" s="27">
        <v>1</v>
      </c>
      <c r="M1004" s="27">
        <v>0</v>
      </c>
      <c r="N1004" s="27">
        <v>0</v>
      </c>
      <c r="O1004" s="27">
        <v>0</v>
      </c>
      <c r="P1004" s="25">
        <v>700</v>
      </c>
      <c r="Q1004" s="25">
        <v>560</v>
      </c>
      <c r="R1004" s="25" t="s">
        <v>87</v>
      </c>
      <c r="S1004" s="25" t="s">
        <v>89</v>
      </c>
      <c r="T1004" s="25">
        <v>0</v>
      </c>
      <c r="U1004" s="25">
        <v>0</v>
      </c>
      <c r="V1004" s="25">
        <v>0</v>
      </c>
      <c r="W1004" s="25">
        <v>0</v>
      </c>
      <c r="X1004" s="25">
        <v>1</v>
      </c>
      <c r="Y1004" s="25">
        <v>0</v>
      </c>
      <c r="Z1004" s="25">
        <v>0</v>
      </c>
      <c r="AA1004" s="25">
        <v>0</v>
      </c>
      <c r="AB1004" s="25">
        <v>0</v>
      </c>
      <c r="AC1004" s="25">
        <v>0</v>
      </c>
      <c r="AD1004" s="25">
        <v>0</v>
      </c>
      <c r="AE1004" s="25">
        <v>1</v>
      </c>
      <c r="AF1004" s="25" t="s">
        <v>131</v>
      </c>
    </row>
    <row r="1005" spans="1:32" s="25" customFormat="1" x14ac:dyDescent="0.25">
      <c r="A1005" s="25" t="s">
        <v>186</v>
      </c>
      <c r="B1005" s="25">
        <f t="shared" si="29"/>
        <v>7600</v>
      </c>
      <c r="C1005" s="25" t="s">
        <v>12</v>
      </c>
      <c r="D1005" s="25">
        <v>0</v>
      </c>
      <c r="E1005" s="25">
        <v>0</v>
      </c>
      <c r="F1005" s="25">
        <v>256</v>
      </c>
      <c r="G1005" s="25">
        <v>222</v>
      </c>
      <c r="H1005" s="27">
        <v>0</v>
      </c>
      <c r="I1005" s="27">
        <v>0</v>
      </c>
      <c r="J1005" s="27">
        <v>0</v>
      </c>
      <c r="K1005" s="27">
        <v>0</v>
      </c>
      <c r="L1005" s="27">
        <v>1</v>
      </c>
      <c r="M1005" s="27">
        <v>0</v>
      </c>
      <c r="N1005" s="27">
        <v>0</v>
      </c>
      <c r="O1005" s="27">
        <v>0</v>
      </c>
      <c r="P1005" s="25">
        <v>700</v>
      </c>
      <c r="Q1005" s="25">
        <v>560</v>
      </c>
      <c r="R1005" s="25" t="s">
        <v>87</v>
      </c>
      <c r="S1005" s="25" t="s">
        <v>89</v>
      </c>
      <c r="T1005" s="25">
        <v>0</v>
      </c>
      <c r="U1005" s="25">
        <v>0</v>
      </c>
      <c r="V1005" s="25">
        <v>0</v>
      </c>
      <c r="W1005" s="25">
        <v>0</v>
      </c>
      <c r="X1005" s="25">
        <v>1</v>
      </c>
      <c r="Y1005" s="25">
        <v>0</v>
      </c>
      <c r="Z1005" s="25">
        <v>0</v>
      </c>
      <c r="AA1005" s="25">
        <v>0</v>
      </c>
      <c r="AB1005" s="25">
        <v>0</v>
      </c>
      <c r="AC1005" s="25">
        <v>0</v>
      </c>
      <c r="AD1005" s="25">
        <v>0</v>
      </c>
      <c r="AE1005" s="25">
        <v>1</v>
      </c>
      <c r="AF1005" s="25" t="s">
        <v>131</v>
      </c>
    </row>
    <row r="1006" spans="1:32" s="25" customFormat="1" x14ac:dyDescent="0.25">
      <c r="A1006" s="25" t="s">
        <v>186</v>
      </c>
      <c r="B1006" s="25">
        <f t="shared" si="29"/>
        <v>7610</v>
      </c>
      <c r="C1006" s="25" t="s">
        <v>12</v>
      </c>
      <c r="D1006" s="25">
        <v>0</v>
      </c>
      <c r="E1006" s="25">
        <v>0</v>
      </c>
      <c r="F1006" s="25">
        <v>256</v>
      </c>
      <c r="G1006" s="25">
        <v>222</v>
      </c>
      <c r="H1006" s="27">
        <v>0</v>
      </c>
      <c r="I1006" s="27">
        <v>0</v>
      </c>
      <c r="J1006" s="27">
        <v>0</v>
      </c>
      <c r="K1006" s="27">
        <v>0</v>
      </c>
      <c r="L1006" s="27">
        <v>1</v>
      </c>
      <c r="M1006" s="27">
        <v>0</v>
      </c>
      <c r="N1006" s="27">
        <v>0</v>
      </c>
      <c r="O1006" s="27">
        <v>0</v>
      </c>
      <c r="P1006" s="25">
        <v>700</v>
      </c>
      <c r="Q1006" s="25">
        <v>560</v>
      </c>
      <c r="R1006" s="25" t="s">
        <v>87</v>
      </c>
      <c r="S1006" s="25" t="s">
        <v>89</v>
      </c>
      <c r="T1006" s="25">
        <v>0</v>
      </c>
      <c r="U1006" s="25">
        <v>0</v>
      </c>
      <c r="V1006" s="25">
        <v>0</v>
      </c>
      <c r="W1006" s="25">
        <v>0</v>
      </c>
      <c r="X1006" s="25">
        <v>1</v>
      </c>
      <c r="Y1006" s="25">
        <v>0</v>
      </c>
      <c r="Z1006" s="25">
        <v>0</v>
      </c>
      <c r="AA1006" s="25">
        <v>0</v>
      </c>
      <c r="AB1006" s="25">
        <v>0</v>
      </c>
      <c r="AC1006" s="25">
        <v>0</v>
      </c>
      <c r="AD1006" s="25">
        <v>0</v>
      </c>
      <c r="AE1006" s="25">
        <v>1</v>
      </c>
      <c r="AF1006" s="25" t="s">
        <v>131</v>
      </c>
    </row>
    <row r="1007" spans="1:32" s="25" customFormat="1" x14ac:dyDescent="0.25">
      <c r="A1007" s="25" t="s">
        <v>186</v>
      </c>
      <c r="B1007" s="25">
        <f t="shared" si="29"/>
        <v>7620</v>
      </c>
      <c r="C1007" s="25" t="s">
        <v>12</v>
      </c>
      <c r="D1007" s="25">
        <v>0</v>
      </c>
      <c r="E1007" s="25">
        <v>0</v>
      </c>
      <c r="F1007" s="25">
        <v>256</v>
      </c>
      <c r="G1007" s="25">
        <v>222</v>
      </c>
      <c r="H1007" s="27">
        <v>0</v>
      </c>
      <c r="I1007" s="27">
        <v>0</v>
      </c>
      <c r="J1007" s="27">
        <v>0</v>
      </c>
      <c r="K1007" s="27">
        <v>0</v>
      </c>
      <c r="L1007" s="27">
        <v>1</v>
      </c>
      <c r="M1007" s="27">
        <v>0</v>
      </c>
      <c r="N1007" s="27">
        <v>0</v>
      </c>
      <c r="O1007" s="27">
        <v>0</v>
      </c>
      <c r="P1007" s="25">
        <v>700</v>
      </c>
      <c r="Q1007" s="25">
        <v>560</v>
      </c>
      <c r="R1007" s="25" t="s">
        <v>87</v>
      </c>
      <c r="S1007" s="25" t="s">
        <v>89</v>
      </c>
      <c r="T1007" s="25">
        <v>0</v>
      </c>
      <c r="U1007" s="25">
        <v>0</v>
      </c>
      <c r="V1007" s="25">
        <v>0</v>
      </c>
      <c r="W1007" s="25">
        <v>0</v>
      </c>
      <c r="X1007" s="25">
        <v>1</v>
      </c>
      <c r="Y1007" s="25">
        <v>0</v>
      </c>
      <c r="Z1007" s="25">
        <v>0</v>
      </c>
      <c r="AA1007" s="25">
        <v>0</v>
      </c>
      <c r="AB1007" s="25">
        <v>0</v>
      </c>
      <c r="AC1007" s="25">
        <v>0</v>
      </c>
      <c r="AD1007" s="25">
        <v>0</v>
      </c>
      <c r="AE1007" s="25">
        <v>1</v>
      </c>
      <c r="AF1007" s="25" t="s">
        <v>131</v>
      </c>
    </row>
    <row r="1008" spans="1:32" s="25" customFormat="1" x14ac:dyDescent="0.25">
      <c r="A1008" s="25" t="s">
        <v>186</v>
      </c>
      <c r="B1008" s="25">
        <f t="shared" si="29"/>
        <v>7630</v>
      </c>
      <c r="C1008" s="25" t="s">
        <v>12</v>
      </c>
      <c r="D1008" s="25">
        <v>0</v>
      </c>
      <c r="E1008" s="25">
        <v>0</v>
      </c>
      <c r="F1008" s="25">
        <v>256</v>
      </c>
      <c r="G1008" s="25">
        <v>222</v>
      </c>
      <c r="H1008" s="27">
        <v>0</v>
      </c>
      <c r="I1008" s="27">
        <v>0</v>
      </c>
      <c r="J1008" s="27">
        <v>0</v>
      </c>
      <c r="K1008" s="27">
        <v>0</v>
      </c>
      <c r="L1008" s="27">
        <v>1</v>
      </c>
      <c r="M1008" s="27">
        <v>0</v>
      </c>
      <c r="N1008" s="27">
        <v>0</v>
      </c>
      <c r="O1008" s="27">
        <v>0</v>
      </c>
      <c r="P1008" s="25">
        <v>700</v>
      </c>
      <c r="Q1008" s="25">
        <v>560</v>
      </c>
      <c r="R1008" s="25" t="s">
        <v>87</v>
      </c>
      <c r="S1008" s="25" t="s">
        <v>89</v>
      </c>
      <c r="T1008" s="25">
        <v>0</v>
      </c>
      <c r="U1008" s="25">
        <v>0</v>
      </c>
      <c r="V1008" s="25">
        <v>0</v>
      </c>
      <c r="W1008" s="25">
        <v>0</v>
      </c>
      <c r="X1008" s="25">
        <v>1</v>
      </c>
      <c r="Y1008" s="25">
        <v>0</v>
      </c>
      <c r="Z1008" s="25">
        <v>0</v>
      </c>
      <c r="AA1008" s="25">
        <v>0</v>
      </c>
      <c r="AB1008" s="25">
        <v>0</v>
      </c>
      <c r="AC1008" s="25">
        <v>0</v>
      </c>
      <c r="AD1008" s="25">
        <v>0</v>
      </c>
      <c r="AE1008" s="25">
        <v>1</v>
      </c>
      <c r="AF1008" s="25" t="s">
        <v>131</v>
      </c>
    </row>
    <row r="1009" spans="1:32" x14ac:dyDescent="0.25">
      <c r="A1009" t="s">
        <v>186</v>
      </c>
      <c r="B1009" s="25">
        <f t="shared" si="29"/>
        <v>7640</v>
      </c>
      <c r="C1009" t="s">
        <v>12</v>
      </c>
      <c r="D1009">
        <v>0</v>
      </c>
      <c r="E1009">
        <v>0</v>
      </c>
      <c r="F1009">
        <v>256</v>
      </c>
      <c r="G1009">
        <v>222</v>
      </c>
      <c r="H1009" s="27">
        <v>0</v>
      </c>
      <c r="I1009" s="27">
        <v>0</v>
      </c>
      <c r="J1009" s="27">
        <v>0</v>
      </c>
      <c r="K1009" s="27">
        <v>0</v>
      </c>
      <c r="L1009" s="27">
        <v>1</v>
      </c>
      <c r="M1009" s="27">
        <v>0</v>
      </c>
      <c r="N1009" s="27">
        <v>0</v>
      </c>
      <c r="O1009" s="27">
        <v>0</v>
      </c>
      <c r="P1009">
        <v>700</v>
      </c>
      <c r="Q1009">
        <v>560</v>
      </c>
      <c r="R1009" t="s">
        <v>87</v>
      </c>
      <c r="S1009" t="s">
        <v>89</v>
      </c>
      <c r="T1009">
        <v>0</v>
      </c>
      <c r="U1009">
        <v>0</v>
      </c>
      <c r="V1009">
        <v>0</v>
      </c>
      <c r="W1009">
        <v>0</v>
      </c>
      <c r="X1009">
        <v>1</v>
      </c>
      <c r="Y1009">
        <v>0</v>
      </c>
      <c r="Z1009">
        <v>0</v>
      </c>
      <c r="AA1009">
        <v>0</v>
      </c>
      <c r="AB1009">
        <v>0</v>
      </c>
      <c r="AC1009">
        <v>0</v>
      </c>
      <c r="AD1009">
        <v>0</v>
      </c>
      <c r="AE1009">
        <v>1</v>
      </c>
      <c r="AF1009" t="s">
        <v>131</v>
      </c>
    </row>
    <row r="1010" spans="1:32" x14ac:dyDescent="0.25">
      <c r="A1010" t="s">
        <v>187</v>
      </c>
      <c r="B1010" s="25">
        <f t="shared" si="29"/>
        <v>7650</v>
      </c>
      <c r="C1010" t="s">
        <v>12</v>
      </c>
      <c r="D1010" t="s">
        <v>13</v>
      </c>
      <c r="E1010" t="s">
        <v>13</v>
      </c>
      <c r="F1010" t="s">
        <v>13</v>
      </c>
      <c r="G1010" t="s">
        <v>13</v>
      </c>
      <c r="H1010" s="27" t="s">
        <v>13</v>
      </c>
      <c r="I1010" s="27" t="s">
        <v>13</v>
      </c>
      <c r="J1010" s="27" t="s">
        <v>13</v>
      </c>
      <c r="K1010" s="27" t="s">
        <v>13</v>
      </c>
      <c r="L1010" s="27" t="s">
        <v>13</v>
      </c>
      <c r="M1010" s="27" t="s">
        <v>13</v>
      </c>
      <c r="N1010" s="27" t="s">
        <v>13</v>
      </c>
      <c r="O1010" s="27" t="s">
        <v>13</v>
      </c>
      <c r="P1010">
        <v>700</v>
      </c>
      <c r="Q1010">
        <v>560</v>
      </c>
      <c r="R1010" t="s">
        <v>87</v>
      </c>
      <c r="S1010" t="s">
        <v>89</v>
      </c>
      <c r="T1010">
        <v>0</v>
      </c>
      <c r="U1010">
        <v>0</v>
      </c>
      <c r="V1010">
        <v>0</v>
      </c>
      <c r="W1010">
        <v>0</v>
      </c>
      <c r="X1010">
        <v>1</v>
      </c>
      <c r="Y1010">
        <v>0</v>
      </c>
      <c r="Z1010">
        <v>0</v>
      </c>
      <c r="AA1010">
        <v>0</v>
      </c>
      <c r="AB1010">
        <v>0</v>
      </c>
      <c r="AC1010">
        <v>0</v>
      </c>
      <c r="AD1010">
        <v>0</v>
      </c>
      <c r="AE1010">
        <v>1</v>
      </c>
      <c r="AF1010" t="s">
        <v>132</v>
      </c>
    </row>
    <row r="1011" spans="1:32" x14ac:dyDescent="0.25">
      <c r="A1011" t="s">
        <v>187</v>
      </c>
      <c r="B1011" s="25">
        <f t="shared" si="29"/>
        <v>7660</v>
      </c>
      <c r="C1011" t="s">
        <v>12</v>
      </c>
      <c r="D1011">
        <v>0</v>
      </c>
      <c r="E1011">
        <v>0</v>
      </c>
      <c r="F1011">
        <v>256</v>
      </c>
      <c r="G1011">
        <v>222</v>
      </c>
      <c r="H1011" s="27">
        <v>0</v>
      </c>
      <c r="I1011" s="27">
        <v>0</v>
      </c>
      <c r="J1011" s="27">
        <v>0</v>
      </c>
      <c r="K1011" s="27">
        <v>0</v>
      </c>
      <c r="L1011" s="27">
        <v>1</v>
      </c>
      <c r="M1011" s="27">
        <v>0</v>
      </c>
      <c r="N1011" s="27">
        <v>0</v>
      </c>
      <c r="O1011" s="27">
        <v>0</v>
      </c>
      <c r="P1011">
        <v>700</v>
      </c>
      <c r="Q1011">
        <v>560</v>
      </c>
      <c r="R1011" t="s">
        <v>87</v>
      </c>
      <c r="S1011" t="s">
        <v>89</v>
      </c>
      <c r="T1011">
        <v>0</v>
      </c>
      <c r="U1011">
        <v>0</v>
      </c>
      <c r="V1011">
        <v>0</v>
      </c>
      <c r="W1011">
        <v>0</v>
      </c>
      <c r="X1011">
        <v>1</v>
      </c>
      <c r="Y1011">
        <v>0</v>
      </c>
      <c r="Z1011">
        <v>0</v>
      </c>
      <c r="AA1011">
        <v>0</v>
      </c>
      <c r="AB1011">
        <v>0</v>
      </c>
      <c r="AC1011">
        <v>0</v>
      </c>
      <c r="AD1011">
        <v>0</v>
      </c>
      <c r="AE1011">
        <v>1</v>
      </c>
      <c r="AF1011" t="s">
        <v>132</v>
      </c>
    </row>
    <row r="1012" spans="1:32" s="25" customFormat="1" x14ac:dyDescent="0.25">
      <c r="A1012" s="25" t="s">
        <v>187</v>
      </c>
      <c r="B1012" s="25">
        <f t="shared" ref="B1012:B1064" si="30">B1011+10</f>
        <v>7670</v>
      </c>
      <c r="C1012" s="25" t="s">
        <v>12</v>
      </c>
      <c r="D1012" s="25">
        <v>0</v>
      </c>
      <c r="E1012" s="25">
        <v>0</v>
      </c>
      <c r="F1012" s="25">
        <v>256</v>
      </c>
      <c r="G1012" s="25">
        <v>222</v>
      </c>
      <c r="H1012" s="27">
        <v>0</v>
      </c>
      <c r="I1012" s="27">
        <v>0</v>
      </c>
      <c r="J1012" s="27">
        <v>0</v>
      </c>
      <c r="K1012" s="27">
        <v>0</v>
      </c>
      <c r="L1012" s="27">
        <v>1</v>
      </c>
      <c r="M1012" s="27">
        <v>0</v>
      </c>
      <c r="N1012" s="27">
        <v>0</v>
      </c>
      <c r="O1012" s="27">
        <v>0</v>
      </c>
      <c r="P1012" s="25">
        <v>700</v>
      </c>
      <c r="Q1012" s="25">
        <v>560</v>
      </c>
      <c r="R1012" s="25" t="s">
        <v>87</v>
      </c>
      <c r="S1012" s="25" t="s">
        <v>89</v>
      </c>
      <c r="T1012" s="25">
        <v>0</v>
      </c>
      <c r="U1012" s="25">
        <v>0</v>
      </c>
      <c r="V1012" s="25">
        <v>0</v>
      </c>
      <c r="W1012" s="25">
        <v>0</v>
      </c>
      <c r="X1012" s="25">
        <v>1</v>
      </c>
      <c r="Y1012" s="25">
        <v>0</v>
      </c>
      <c r="Z1012" s="25">
        <v>0</v>
      </c>
      <c r="AA1012" s="25">
        <v>0</v>
      </c>
      <c r="AB1012" s="25">
        <v>0</v>
      </c>
      <c r="AC1012" s="25">
        <v>0</v>
      </c>
      <c r="AD1012" s="25">
        <v>0</v>
      </c>
      <c r="AE1012" s="25">
        <v>1</v>
      </c>
      <c r="AF1012" s="25" t="s">
        <v>132</v>
      </c>
    </row>
    <row r="1013" spans="1:32" s="25" customFormat="1" x14ac:dyDescent="0.25">
      <c r="A1013" s="25" t="s">
        <v>187</v>
      </c>
      <c r="B1013" s="25">
        <f t="shared" si="30"/>
        <v>7680</v>
      </c>
      <c r="C1013" s="25" t="s">
        <v>12</v>
      </c>
      <c r="D1013" s="25">
        <v>0</v>
      </c>
      <c r="E1013" s="25">
        <v>0</v>
      </c>
      <c r="F1013" s="25">
        <v>256</v>
      </c>
      <c r="G1013" s="25">
        <v>222</v>
      </c>
      <c r="H1013" s="27">
        <v>0</v>
      </c>
      <c r="I1013" s="27">
        <v>0</v>
      </c>
      <c r="J1013" s="27">
        <v>0</v>
      </c>
      <c r="K1013" s="27">
        <v>0</v>
      </c>
      <c r="L1013" s="27">
        <v>1</v>
      </c>
      <c r="M1013" s="27">
        <v>0</v>
      </c>
      <c r="N1013" s="27">
        <v>0</v>
      </c>
      <c r="O1013" s="27">
        <v>0</v>
      </c>
      <c r="P1013" s="25">
        <v>700</v>
      </c>
      <c r="Q1013" s="25">
        <v>560</v>
      </c>
      <c r="R1013" s="25" t="s">
        <v>87</v>
      </c>
      <c r="S1013" s="25" t="s">
        <v>89</v>
      </c>
      <c r="T1013" s="25">
        <v>0</v>
      </c>
      <c r="U1013" s="25">
        <v>0</v>
      </c>
      <c r="V1013" s="25">
        <v>0</v>
      </c>
      <c r="W1013" s="25">
        <v>0</v>
      </c>
      <c r="X1013" s="25">
        <v>1</v>
      </c>
      <c r="Y1013" s="25">
        <v>0</v>
      </c>
      <c r="Z1013" s="25">
        <v>0</v>
      </c>
      <c r="AA1013" s="25">
        <v>0</v>
      </c>
      <c r="AB1013" s="25">
        <v>0</v>
      </c>
      <c r="AC1013" s="25">
        <v>0</v>
      </c>
      <c r="AD1013" s="25">
        <v>0</v>
      </c>
      <c r="AE1013" s="25">
        <v>1</v>
      </c>
      <c r="AF1013" s="25" t="s">
        <v>132</v>
      </c>
    </row>
    <row r="1014" spans="1:32" s="25" customFormat="1" x14ac:dyDescent="0.25">
      <c r="A1014" s="25" t="s">
        <v>187</v>
      </c>
      <c r="B1014" s="25">
        <f t="shared" si="30"/>
        <v>7690</v>
      </c>
      <c r="C1014" s="25" t="s">
        <v>12</v>
      </c>
      <c r="D1014" s="25">
        <v>0</v>
      </c>
      <c r="E1014" s="25">
        <v>0</v>
      </c>
      <c r="F1014" s="25">
        <v>256</v>
      </c>
      <c r="G1014" s="25">
        <v>222</v>
      </c>
      <c r="H1014" s="27">
        <v>0</v>
      </c>
      <c r="I1014" s="27">
        <v>0</v>
      </c>
      <c r="J1014" s="27">
        <v>0</v>
      </c>
      <c r="K1014" s="27">
        <v>0</v>
      </c>
      <c r="L1014" s="27">
        <v>1</v>
      </c>
      <c r="M1014" s="27">
        <v>0</v>
      </c>
      <c r="N1014" s="27">
        <v>0</v>
      </c>
      <c r="O1014" s="27">
        <v>0</v>
      </c>
      <c r="P1014" s="25">
        <v>700</v>
      </c>
      <c r="Q1014" s="25">
        <v>560</v>
      </c>
      <c r="R1014" s="25" t="s">
        <v>87</v>
      </c>
      <c r="S1014" s="25" t="s">
        <v>89</v>
      </c>
      <c r="T1014" s="25">
        <v>0</v>
      </c>
      <c r="U1014" s="25">
        <v>0</v>
      </c>
      <c r="V1014" s="25">
        <v>0</v>
      </c>
      <c r="W1014" s="25">
        <v>0</v>
      </c>
      <c r="X1014" s="25">
        <v>1</v>
      </c>
      <c r="Y1014" s="25">
        <v>0</v>
      </c>
      <c r="Z1014" s="25">
        <v>0</v>
      </c>
      <c r="AA1014" s="25">
        <v>0</v>
      </c>
      <c r="AB1014" s="25">
        <v>0</v>
      </c>
      <c r="AC1014" s="25">
        <v>0</v>
      </c>
      <c r="AD1014" s="25">
        <v>0</v>
      </c>
      <c r="AE1014" s="25">
        <v>1</v>
      </c>
      <c r="AF1014" s="25" t="s">
        <v>132</v>
      </c>
    </row>
    <row r="1015" spans="1:32" s="25" customFormat="1" x14ac:dyDescent="0.25">
      <c r="A1015" s="25" t="s">
        <v>187</v>
      </c>
      <c r="B1015" s="25">
        <f t="shared" si="30"/>
        <v>7700</v>
      </c>
      <c r="C1015" s="25" t="s">
        <v>12</v>
      </c>
      <c r="D1015" s="25">
        <v>0</v>
      </c>
      <c r="E1015" s="25">
        <v>0</v>
      </c>
      <c r="F1015" s="25">
        <v>256</v>
      </c>
      <c r="G1015" s="25">
        <v>222</v>
      </c>
      <c r="H1015" s="27">
        <v>0</v>
      </c>
      <c r="I1015" s="27">
        <v>0</v>
      </c>
      <c r="J1015" s="27">
        <v>0</v>
      </c>
      <c r="K1015" s="27">
        <v>0</v>
      </c>
      <c r="L1015" s="27">
        <v>1</v>
      </c>
      <c r="M1015" s="27">
        <v>0</v>
      </c>
      <c r="N1015" s="27">
        <v>0</v>
      </c>
      <c r="O1015" s="27">
        <v>0</v>
      </c>
      <c r="P1015" s="25">
        <v>700</v>
      </c>
      <c r="Q1015" s="25">
        <v>560</v>
      </c>
      <c r="R1015" s="25" t="s">
        <v>87</v>
      </c>
      <c r="S1015" s="25" t="s">
        <v>89</v>
      </c>
      <c r="T1015" s="25">
        <v>0</v>
      </c>
      <c r="U1015" s="25">
        <v>0</v>
      </c>
      <c r="V1015" s="25">
        <v>0</v>
      </c>
      <c r="W1015" s="25">
        <v>0</v>
      </c>
      <c r="X1015" s="25">
        <v>1</v>
      </c>
      <c r="Y1015" s="25">
        <v>0</v>
      </c>
      <c r="Z1015" s="25">
        <v>0</v>
      </c>
      <c r="AA1015" s="25">
        <v>0</v>
      </c>
      <c r="AB1015" s="25">
        <v>0</v>
      </c>
      <c r="AC1015" s="25">
        <v>0</v>
      </c>
      <c r="AD1015" s="25">
        <v>0</v>
      </c>
      <c r="AE1015" s="25">
        <v>1</v>
      </c>
      <c r="AF1015" s="25" t="s">
        <v>132</v>
      </c>
    </row>
    <row r="1016" spans="1:32" s="25" customFormat="1" x14ac:dyDescent="0.25">
      <c r="A1016" s="25" t="s">
        <v>187</v>
      </c>
      <c r="B1016" s="25">
        <f t="shared" si="30"/>
        <v>7710</v>
      </c>
      <c r="C1016" s="25" t="s">
        <v>12</v>
      </c>
      <c r="D1016" s="25">
        <v>0</v>
      </c>
      <c r="E1016" s="25">
        <v>0</v>
      </c>
      <c r="F1016" s="25">
        <v>256</v>
      </c>
      <c r="G1016" s="25">
        <v>222</v>
      </c>
      <c r="H1016" s="27">
        <v>0</v>
      </c>
      <c r="I1016" s="27">
        <v>0</v>
      </c>
      <c r="J1016" s="27">
        <v>0</v>
      </c>
      <c r="K1016" s="27">
        <v>0</v>
      </c>
      <c r="L1016" s="27">
        <v>1</v>
      </c>
      <c r="M1016" s="27">
        <v>0</v>
      </c>
      <c r="N1016" s="27">
        <v>0</v>
      </c>
      <c r="O1016" s="27">
        <v>0</v>
      </c>
      <c r="P1016" s="25">
        <v>700</v>
      </c>
      <c r="Q1016" s="25">
        <v>560</v>
      </c>
      <c r="R1016" s="25" t="s">
        <v>87</v>
      </c>
      <c r="S1016" s="25" t="s">
        <v>89</v>
      </c>
      <c r="T1016" s="25">
        <v>0</v>
      </c>
      <c r="U1016" s="25">
        <v>0</v>
      </c>
      <c r="V1016" s="25">
        <v>0</v>
      </c>
      <c r="W1016" s="25">
        <v>0</v>
      </c>
      <c r="X1016" s="25">
        <v>1</v>
      </c>
      <c r="Y1016" s="25">
        <v>0</v>
      </c>
      <c r="Z1016" s="25">
        <v>0</v>
      </c>
      <c r="AA1016" s="25">
        <v>0</v>
      </c>
      <c r="AB1016" s="25">
        <v>0</v>
      </c>
      <c r="AC1016" s="25">
        <v>0</v>
      </c>
      <c r="AD1016" s="25">
        <v>0</v>
      </c>
      <c r="AE1016" s="25">
        <v>1</v>
      </c>
      <c r="AF1016" s="25" t="s">
        <v>132</v>
      </c>
    </row>
    <row r="1017" spans="1:32" s="25" customFormat="1" x14ac:dyDescent="0.25">
      <c r="A1017" s="25" t="s">
        <v>187</v>
      </c>
      <c r="B1017" s="25">
        <f t="shared" si="30"/>
        <v>7720</v>
      </c>
      <c r="C1017" s="25" t="s">
        <v>12</v>
      </c>
      <c r="D1017" s="25">
        <v>0</v>
      </c>
      <c r="E1017" s="25">
        <v>0</v>
      </c>
      <c r="F1017" s="25">
        <v>256</v>
      </c>
      <c r="G1017" s="25">
        <v>222</v>
      </c>
      <c r="H1017" s="27">
        <v>0</v>
      </c>
      <c r="I1017" s="27">
        <v>0</v>
      </c>
      <c r="J1017" s="27">
        <v>0</v>
      </c>
      <c r="K1017" s="27">
        <v>0</v>
      </c>
      <c r="L1017" s="27">
        <v>1</v>
      </c>
      <c r="M1017" s="27">
        <v>0</v>
      </c>
      <c r="N1017" s="27">
        <v>0</v>
      </c>
      <c r="O1017" s="27">
        <v>0</v>
      </c>
      <c r="P1017" s="25">
        <v>700</v>
      </c>
      <c r="Q1017" s="25">
        <v>560</v>
      </c>
      <c r="R1017" s="25" t="s">
        <v>87</v>
      </c>
      <c r="S1017" s="25" t="s">
        <v>89</v>
      </c>
      <c r="T1017" s="25">
        <v>0</v>
      </c>
      <c r="U1017" s="25">
        <v>0</v>
      </c>
      <c r="V1017" s="25">
        <v>0</v>
      </c>
      <c r="W1017" s="25">
        <v>0</v>
      </c>
      <c r="X1017" s="25">
        <v>1</v>
      </c>
      <c r="Y1017" s="25">
        <v>0</v>
      </c>
      <c r="Z1017" s="25">
        <v>0</v>
      </c>
      <c r="AA1017" s="25">
        <v>0</v>
      </c>
      <c r="AB1017" s="25">
        <v>0</v>
      </c>
      <c r="AC1017" s="25">
        <v>0</v>
      </c>
      <c r="AD1017" s="25">
        <v>0</v>
      </c>
      <c r="AE1017" s="25">
        <v>1</v>
      </c>
      <c r="AF1017" s="25" t="s">
        <v>132</v>
      </c>
    </row>
    <row r="1018" spans="1:32" s="25" customFormat="1" x14ac:dyDescent="0.25">
      <c r="A1018" s="25" t="s">
        <v>187</v>
      </c>
      <c r="B1018" s="25">
        <f t="shared" si="30"/>
        <v>7730</v>
      </c>
      <c r="C1018" s="25" t="s">
        <v>12</v>
      </c>
      <c r="D1018" s="25">
        <v>0</v>
      </c>
      <c r="E1018" s="25">
        <v>0</v>
      </c>
      <c r="F1018" s="25">
        <v>256</v>
      </c>
      <c r="G1018" s="25">
        <v>222</v>
      </c>
      <c r="H1018" s="27">
        <v>0</v>
      </c>
      <c r="I1018" s="27">
        <v>0</v>
      </c>
      <c r="J1018" s="27">
        <v>0</v>
      </c>
      <c r="K1018" s="27">
        <v>0</v>
      </c>
      <c r="L1018" s="27">
        <v>1</v>
      </c>
      <c r="M1018" s="27">
        <v>0</v>
      </c>
      <c r="N1018" s="27">
        <v>0</v>
      </c>
      <c r="O1018" s="27">
        <v>0</v>
      </c>
      <c r="P1018" s="25">
        <v>700</v>
      </c>
      <c r="Q1018" s="25">
        <v>560</v>
      </c>
      <c r="R1018" s="25" t="s">
        <v>87</v>
      </c>
      <c r="S1018" s="25" t="s">
        <v>89</v>
      </c>
      <c r="T1018" s="25">
        <v>0</v>
      </c>
      <c r="U1018" s="25">
        <v>0</v>
      </c>
      <c r="V1018" s="25">
        <v>0</v>
      </c>
      <c r="W1018" s="25">
        <v>0</v>
      </c>
      <c r="X1018" s="25">
        <v>1</v>
      </c>
      <c r="Y1018" s="25">
        <v>0</v>
      </c>
      <c r="Z1018" s="25">
        <v>0</v>
      </c>
      <c r="AA1018" s="25">
        <v>0</v>
      </c>
      <c r="AB1018" s="25">
        <v>0</v>
      </c>
      <c r="AC1018" s="25">
        <v>0</v>
      </c>
      <c r="AD1018" s="25">
        <v>0</v>
      </c>
      <c r="AE1018" s="25">
        <v>1</v>
      </c>
      <c r="AF1018" s="25" t="s">
        <v>132</v>
      </c>
    </row>
    <row r="1019" spans="1:32" s="25" customFormat="1" x14ac:dyDescent="0.25">
      <c r="A1019" s="25" t="s">
        <v>187</v>
      </c>
      <c r="B1019" s="25">
        <f t="shared" si="30"/>
        <v>7740</v>
      </c>
      <c r="C1019" s="25" t="s">
        <v>12</v>
      </c>
      <c r="D1019" s="25">
        <v>0</v>
      </c>
      <c r="E1019" s="25">
        <v>0</v>
      </c>
      <c r="F1019" s="25">
        <v>256</v>
      </c>
      <c r="G1019" s="25">
        <v>222</v>
      </c>
      <c r="H1019" s="27">
        <v>0</v>
      </c>
      <c r="I1019" s="27">
        <v>0</v>
      </c>
      <c r="J1019" s="27">
        <v>0</v>
      </c>
      <c r="K1019" s="27">
        <v>0</v>
      </c>
      <c r="L1019" s="27">
        <v>1</v>
      </c>
      <c r="M1019" s="27">
        <v>0</v>
      </c>
      <c r="N1019" s="27">
        <v>0</v>
      </c>
      <c r="O1019" s="27">
        <v>0</v>
      </c>
      <c r="P1019" s="25">
        <v>700</v>
      </c>
      <c r="Q1019" s="25">
        <v>560</v>
      </c>
      <c r="R1019" s="25" t="s">
        <v>87</v>
      </c>
      <c r="S1019" s="25" t="s">
        <v>89</v>
      </c>
      <c r="T1019" s="25">
        <v>0</v>
      </c>
      <c r="U1019" s="25">
        <v>0</v>
      </c>
      <c r="V1019" s="25">
        <v>0</v>
      </c>
      <c r="W1019" s="25">
        <v>0</v>
      </c>
      <c r="X1019" s="25">
        <v>1</v>
      </c>
      <c r="Y1019" s="25">
        <v>0</v>
      </c>
      <c r="Z1019" s="25">
        <v>0</v>
      </c>
      <c r="AA1019" s="25">
        <v>0</v>
      </c>
      <c r="AB1019" s="25">
        <v>0</v>
      </c>
      <c r="AC1019" s="25">
        <v>0</v>
      </c>
      <c r="AD1019" s="25">
        <v>0</v>
      </c>
      <c r="AE1019" s="25">
        <v>1</v>
      </c>
      <c r="AF1019" s="25" t="s">
        <v>132</v>
      </c>
    </row>
    <row r="1020" spans="1:32" s="25" customFormat="1" x14ac:dyDescent="0.25">
      <c r="A1020" s="25" t="s">
        <v>187</v>
      </c>
      <c r="B1020" s="25">
        <f t="shared" si="30"/>
        <v>7750</v>
      </c>
      <c r="C1020" s="25" t="s">
        <v>12</v>
      </c>
      <c r="D1020" s="25">
        <v>0</v>
      </c>
      <c r="E1020" s="25">
        <v>0</v>
      </c>
      <c r="F1020" s="25">
        <v>256</v>
      </c>
      <c r="G1020" s="25">
        <v>222</v>
      </c>
      <c r="H1020" s="27">
        <v>0</v>
      </c>
      <c r="I1020" s="27">
        <v>0</v>
      </c>
      <c r="J1020" s="27">
        <v>0</v>
      </c>
      <c r="K1020" s="27">
        <v>0</v>
      </c>
      <c r="L1020" s="27">
        <v>1</v>
      </c>
      <c r="M1020" s="27">
        <v>0</v>
      </c>
      <c r="N1020" s="27">
        <v>0</v>
      </c>
      <c r="O1020" s="27">
        <v>0</v>
      </c>
      <c r="P1020" s="25">
        <v>700</v>
      </c>
      <c r="Q1020" s="25">
        <v>560</v>
      </c>
      <c r="R1020" s="25" t="s">
        <v>87</v>
      </c>
      <c r="S1020" s="25" t="s">
        <v>89</v>
      </c>
      <c r="T1020" s="25">
        <v>0</v>
      </c>
      <c r="U1020" s="25">
        <v>0</v>
      </c>
      <c r="V1020" s="25">
        <v>0</v>
      </c>
      <c r="W1020" s="25">
        <v>0</v>
      </c>
      <c r="X1020" s="25">
        <v>1</v>
      </c>
      <c r="Y1020" s="25">
        <v>0</v>
      </c>
      <c r="Z1020" s="25">
        <v>0</v>
      </c>
      <c r="AA1020" s="25">
        <v>0</v>
      </c>
      <c r="AB1020" s="25">
        <v>0</v>
      </c>
      <c r="AC1020" s="25">
        <v>0</v>
      </c>
      <c r="AD1020" s="25">
        <v>0</v>
      </c>
      <c r="AE1020" s="25">
        <v>1</v>
      </c>
      <c r="AF1020" s="25" t="s">
        <v>132</v>
      </c>
    </row>
    <row r="1021" spans="1:32" s="25" customFormat="1" x14ac:dyDescent="0.25">
      <c r="A1021" s="25" t="s">
        <v>187</v>
      </c>
      <c r="B1021" s="25">
        <f t="shared" si="30"/>
        <v>7760</v>
      </c>
      <c r="C1021" s="25" t="s">
        <v>12</v>
      </c>
      <c r="D1021" s="25">
        <v>0</v>
      </c>
      <c r="E1021" s="25">
        <v>0</v>
      </c>
      <c r="F1021" s="25">
        <v>256</v>
      </c>
      <c r="G1021" s="25">
        <v>222</v>
      </c>
      <c r="H1021" s="27">
        <v>0</v>
      </c>
      <c r="I1021" s="27">
        <v>0</v>
      </c>
      <c r="J1021" s="27">
        <v>0</v>
      </c>
      <c r="K1021" s="27">
        <v>0</v>
      </c>
      <c r="L1021" s="27">
        <v>1</v>
      </c>
      <c r="M1021" s="27">
        <v>0</v>
      </c>
      <c r="N1021" s="27">
        <v>0</v>
      </c>
      <c r="O1021" s="27">
        <v>0</v>
      </c>
      <c r="P1021" s="25">
        <v>700</v>
      </c>
      <c r="Q1021" s="25">
        <v>560</v>
      </c>
      <c r="R1021" s="25" t="s">
        <v>87</v>
      </c>
      <c r="S1021" s="25" t="s">
        <v>89</v>
      </c>
      <c r="T1021" s="25">
        <v>0</v>
      </c>
      <c r="U1021" s="25">
        <v>0</v>
      </c>
      <c r="V1021" s="25">
        <v>0</v>
      </c>
      <c r="W1021" s="25">
        <v>0</v>
      </c>
      <c r="X1021" s="25">
        <v>1</v>
      </c>
      <c r="Y1021" s="25">
        <v>0</v>
      </c>
      <c r="Z1021" s="25">
        <v>0</v>
      </c>
      <c r="AA1021" s="25">
        <v>0</v>
      </c>
      <c r="AB1021" s="25">
        <v>0</v>
      </c>
      <c r="AC1021" s="25">
        <v>0</v>
      </c>
      <c r="AD1021" s="25">
        <v>0</v>
      </c>
      <c r="AE1021" s="25">
        <v>1</v>
      </c>
      <c r="AF1021" s="25" t="s">
        <v>132</v>
      </c>
    </row>
    <row r="1022" spans="1:32" s="25" customFormat="1" x14ac:dyDescent="0.25">
      <c r="A1022" s="25" t="s">
        <v>187</v>
      </c>
      <c r="B1022" s="25">
        <f t="shared" si="30"/>
        <v>7770</v>
      </c>
      <c r="C1022" s="25" t="s">
        <v>12</v>
      </c>
      <c r="D1022" s="25">
        <v>0</v>
      </c>
      <c r="E1022" s="25">
        <v>0</v>
      </c>
      <c r="F1022" s="25">
        <v>256</v>
      </c>
      <c r="G1022" s="25">
        <v>222</v>
      </c>
      <c r="H1022" s="27">
        <v>0</v>
      </c>
      <c r="I1022" s="27">
        <v>0</v>
      </c>
      <c r="J1022" s="27">
        <v>0</v>
      </c>
      <c r="K1022" s="27">
        <v>0</v>
      </c>
      <c r="L1022" s="27">
        <v>1</v>
      </c>
      <c r="M1022" s="27">
        <v>0</v>
      </c>
      <c r="N1022" s="27">
        <v>0</v>
      </c>
      <c r="O1022" s="27">
        <v>0</v>
      </c>
      <c r="P1022" s="25">
        <v>700</v>
      </c>
      <c r="Q1022" s="25">
        <v>560</v>
      </c>
      <c r="R1022" s="25" t="s">
        <v>87</v>
      </c>
      <c r="S1022" s="25" t="s">
        <v>89</v>
      </c>
      <c r="T1022" s="25">
        <v>0</v>
      </c>
      <c r="U1022" s="25">
        <v>0</v>
      </c>
      <c r="V1022" s="25">
        <v>0</v>
      </c>
      <c r="W1022" s="25">
        <v>0</v>
      </c>
      <c r="X1022" s="25">
        <v>1</v>
      </c>
      <c r="Y1022" s="25">
        <v>0</v>
      </c>
      <c r="Z1022" s="25">
        <v>0</v>
      </c>
      <c r="AA1022" s="25">
        <v>0</v>
      </c>
      <c r="AB1022" s="25">
        <v>0</v>
      </c>
      <c r="AC1022" s="25">
        <v>0</v>
      </c>
      <c r="AD1022" s="25">
        <v>0</v>
      </c>
      <c r="AE1022" s="25">
        <v>1</v>
      </c>
      <c r="AF1022" s="25" t="s">
        <v>132</v>
      </c>
    </row>
    <row r="1023" spans="1:32" s="25" customFormat="1" x14ac:dyDescent="0.25">
      <c r="A1023" s="25" t="s">
        <v>187</v>
      </c>
      <c r="B1023" s="25">
        <f t="shared" si="30"/>
        <v>7780</v>
      </c>
      <c r="C1023" s="25" t="s">
        <v>12</v>
      </c>
      <c r="D1023" s="25">
        <v>0</v>
      </c>
      <c r="E1023" s="25">
        <v>0</v>
      </c>
      <c r="F1023" s="25">
        <v>256</v>
      </c>
      <c r="G1023" s="25">
        <v>222</v>
      </c>
      <c r="H1023" s="27">
        <v>0</v>
      </c>
      <c r="I1023" s="27">
        <v>0</v>
      </c>
      <c r="J1023" s="27">
        <v>0</v>
      </c>
      <c r="K1023" s="27">
        <v>0</v>
      </c>
      <c r="L1023" s="27">
        <v>1</v>
      </c>
      <c r="M1023" s="27">
        <v>0</v>
      </c>
      <c r="N1023" s="27">
        <v>0</v>
      </c>
      <c r="O1023" s="27">
        <v>0</v>
      </c>
      <c r="P1023" s="25">
        <v>700</v>
      </c>
      <c r="Q1023" s="25">
        <v>560</v>
      </c>
      <c r="R1023" s="25" t="s">
        <v>87</v>
      </c>
      <c r="S1023" s="25" t="s">
        <v>89</v>
      </c>
      <c r="T1023" s="25">
        <v>0</v>
      </c>
      <c r="U1023" s="25">
        <v>0</v>
      </c>
      <c r="V1023" s="25">
        <v>0</v>
      </c>
      <c r="W1023" s="25">
        <v>0</v>
      </c>
      <c r="X1023" s="25">
        <v>1</v>
      </c>
      <c r="Y1023" s="25">
        <v>0</v>
      </c>
      <c r="Z1023" s="25">
        <v>0</v>
      </c>
      <c r="AA1023" s="25">
        <v>0</v>
      </c>
      <c r="AB1023" s="25">
        <v>0</v>
      </c>
      <c r="AC1023" s="25">
        <v>0</v>
      </c>
      <c r="AD1023" s="25">
        <v>0</v>
      </c>
      <c r="AE1023" s="25">
        <v>1</v>
      </c>
      <c r="AF1023" s="25" t="s">
        <v>132</v>
      </c>
    </row>
    <row r="1024" spans="1:32" s="25" customFormat="1" x14ac:dyDescent="0.25">
      <c r="A1024" s="25" t="s">
        <v>187</v>
      </c>
      <c r="B1024" s="25">
        <f t="shared" si="30"/>
        <v>7790</v>
      </c>
      <c r="C1024" s="25" t="s">
        <v>12</v>
      </c>
      <c r="D1024" s="25">
        <v>0</v>
      </c>
      <c r="E1024" s="25">
        <v>0</v>
      </c>
      <c r="F1024" s="25">
        <v>256</v>
      </c>
      <c r="G1024" s="25">
        <v>222</v>
      </c>
      <c r="H1024" s="27">
        <v>0</v>
      </c>
      <c r="I1024" s="27">
        <v>0</v>
      </c>
      <c r="J1024" s="27">
        <v>0</v>
      </c>
      <c r="K1024" s="27">
        <v>0</v>
      </c>
      <c r="L1024" s="27">
        <v>1</v>
      </c>
      <c r="M1024" s="27">
        <v>0</v>
      </c>
      <c r="N1024" s="27">
        <v>0</v>
      </c>
      <c r="O1024" s="27">
        <v>0</v>
      </c>
      <c r="P1024" s="25">
        <v>700</v>
      </c>
      <c r="Q1024" s="25">
        <v>560</v>
      </c>
      <c r="R1024" s="25" t="s">
        <v>87</v>
      </c>
      <c r="S1024" s="25" t="s">
        <v>89</v>
      </c>
      <c r="T1024" s="25">
        <v>0</v>
      </c>
      <c r="U1024" s="25">
        <v>0</v>
      </c>
      <c r="V1024" s="25">
        <v>0</v>
      </c>
      <c r="W1024" s="25">
        <v>0</v>
      </c>
      <c r="X1024" s="25">
        <v>1</v>
      </c>
      <c r="Y1024" s="25">
        <v>0</v>
      </c>
      <c r="Z1024" s="25">
        <v>0</v>
      </c>
      <c r="AA1024" s="25">
        <v>0</v>
      </c>
      <c r="AB1024" s="25">
        <v>0</v>
      </c>
      <c r="AC1024" s="25">
        <v>0</v>
      </c>
      <c r="AD1024" s="25">
        <v>0</v>
      </c>
      <c r="AE1024" s="25">
        <v>1</v>
      </c>
      <c r="AF1024" s="25" t="s">
        <v>132</v>
      </c>
    </row>
    <row r="1025" spans="1:32" s="25" customFormat="1" x14ac:dyDescent="0.25">
      <c r="A1025" s="25" t="s">
        <v>187</v>
      </c>
      <c r="B1025" s="25">
        <f t="shared" si="30"/>
        <v>7800</v>
      </c>
      <c r="C1025" s="25" t="s">
        <v>12</v>
      </c>
      <c r="D1025" s="25">
        <v>0</v>
      </c>
      <c r="E1025" s="25">
        <v>0</v>
      </c>
      <c r="F1025" s="25">
        <v>256</v>
      </c>
      <c r="G1025" s="25">
        <v>222</v>
      </c>
      <c r="H1025" s="27">
        <v>0</v>
      </c>
      <c r="I1025" s="27">
        <v>0</v>
      </c>
      <c r="J1025" s="27">
        <v>0</v>
      </c>
      <c r="K1025" s="27">
        <v>0</v>
      </c>
      <c r="L1025" s="27">
        <v>1</v>
      </c>
      <c r="M1025" s="27">
        <v>0</v>
      </c>
      <c r="N1025" s="27">
        <v>0</v>
      </c>
      <c r="O1025" s="27">
        <v>0</v>
      </c>
      <c r="P1025" s="25">
        <v>700</v>
      </c>
      <c r="Q1025" s="25">
        <v>560</v>
      </c>
      <c r="R1025" s="25" t="s">
        <v>87</v>
      </c>
      <c r="S1025" s="25" t="s">
        <v>89</v>
      </c>
      <c r="T1025" s="25">
        <v>0</v>
      </c>
      <c r="U1025" s="25">
        <v>0</v>
      </c>
      <c r="V1025" s="25">
        <v>0</v>
      </c>
      <c r="W1025" s="25">
        <v>0</v>
      </c>
      <c r="X1025" s="25">
        <v>1</v>
      </c>
      <c r="Y1025" s="25">
        <v>0</v>
      </c>
      <c r="Z1025" s="25">
        <v>0</v>
      </c>
      <c r="AA1025" s="25">
        <v>0</v>
      </c>
      <c r="AB1025" s="25">
        <v>0</v>
      </c>
      <c r="AC1025" s="25">
        <v>0</v>
      </c>
      <c r="AD1025" s="25">
        <v>0</v>
      </c>
      <c r="AE1025" s="25">
        <v>1</v>
      </c>
      <c r="AF1025" s="25" t="s">
        <v>132</v>
      </c>
    </row>
    <row r="1026" spans="1:32" s="25" customFormat="1" x14ac:dyDescent="0.25">
      <c r="A1026" s="25" t="s">
        <v>187</v>
      </c>
      <c r="B1026" s="25">
        <f t="shared" si="30"/>
        <v>7810</v>
      </c>
      <c r="C1026" s="25" t="s">
        <v>12</v>
      </c>
      <c r="D1026" s="25">
        <v>0</v>
      </c>
      <c r="E1026" s="25">
        <v>0</v>
      </c>
      <c r="F1026" s="25">
        <v>256</v>
      </c>
      <c r="G1026" s="25">
        <v>222</v>
      </c>
      <c r="H1026" s="27">
        <v>0</v>
      </c>
      <c r="I1026" s="27">
        <v>0</v>
      </c>
      <c r="J1026" s="27">
        <v>0</v>
      </c>
      <c r="K1026" s="27">
        <v>0</v>
      </c>
      <c r="L1026" s="27">
        <v>1</v>
      </c>
      <c r="M1026" s="27">
        <v>0</v>
      </c>
      <c r="N1026" s="27">
        <v>0</v>
      </c>
      <c r="O1026" s="27">
        <v>0</v>
      </c>
      <c r="P1026" s="25">
        <v>700</v>
      </c>
      <c r="Q1026" s="25">
        <v>560</v>
      </c>
      <c r="R1026" s="25" t="s">
        <v>87</v>
      </c>
      <c r="S1026" s="25" t="s">
        <v>89</v>
      </c>
      <c r="T1026" s="25">
        <v>0</v>
      </c>
      <c r="U1026" s="25">
        <v>0</v>
      </c>
      <c r="V1026" s="25">
        <v>0</v>
      </c>
      <c r="W1026" s="25">
        <v>0</v>
      </c>
      <c r="X1026" s="25">
        <v>1</v>
      </c>
      <c r="Y1026" s="25">
        <v>0</v>
      </c>
      <c r="Z1026" s="25">
        <v>0</v>
      </c>
      <c r="AA1026" s="25">
        <v>0</v>
      </c>
      <c r="AB1026" s="25">
        <v>0</v>
      </c>
      <c r="AC1026" s="25">
        <v>0</v>
      </c>
      <c r="AD1026" s="25">
        <v>0</v>
      </c>
      <c r="AE1026" s="25">
        <v>1</v>
      </c>
      <c r="AF1026" s="25" t="s">
        <v>132</v>
      </c>
    </row>
    <row r="1027" spans="1:32" s="25" customFormat="1" x14ac:dyDescent="0.25">
      <c r="A1027" s="25" t="s">
        <v>187</v>
      </c>
      <c r="B1027" s="25">
        <f t="shared" si="30"/>
        <v>7820</v>
      </c>
      <c r="C1027" s="25" t="s">
        <v>12</v>
      </c>
      <c r="D1027" s="25">
        <v>0</v>
      </c>
      <c r="E1027" s="25">
        <v>0</v>
      </c>
      <c r="F1027" s="25">
        <v>256</v>
      </c>
      <c r="G1027" s="25">
        <v>222</v>
      </c>
      <c r="H1027" s="27">
        <v>0</v>
      </c>
      <c r="I1027" s="27">
        <v>0</v>
      </c>
      <c r="J1027" s="27">
        <v>0</v>
      </c>
      <c r="K1027" s="27">
        <v>0</v>
      </c>
      <c r="L1027" s="27">
        <v>1</v>
      </c>
      <c r="M1027" s="27">
        <v>0</v>
      </c>
      <c r="N1027" s="27">
        <v>0</v>
      </c>
      <c r="O1027" s="27">
        <v>0</v>
      </c>
      <c r="P1027" s="25">
        <v>700</v>
      </c>
      <c r="Q1027" s="25">
        <v>560</v>
      </c>
      <c r="R1027" s="25" t="s">
        <v>87</v>
      </c>
      <c r="S1027" s="25" t="s">
        <v>89</v>
      </c>
      <c r="T1027" s="25">
        <v>0</v>
      </c>
      <c r="U1027" s="25">
        <v>0</v>
      </c>
      <c r="V1027" s="25">
        <v>0</v>
      </c>
      <c r="W1027" s="25">
        <v>0</v>
      </c>
      <c r="X1027" s="25">
        <v>1</v>
      </c>
      <c r="Y1027" s="25">
        <v>0</v>
      </c>
      <c r="Z1027" s="25">
        <v>0</v>
      </c>
      <c r="AA1027" s="25">
        <v>0</v>
      </c>
      <c r="AB1027" s="25">
        <v>0</v>
      </c>
      <c r="AC1027" s="25">
        <v>0</v>
      </c>
      <c r="AD1027" s="25">
        <v>0</v>
      </c>
      <c r="AE1027" s="25">
        <v>1</v>
      </c>
      <c r="AF1027" s="25" t="s">
        <v>132</v>
      </c>
    </row>
    <row r="1028" spans="1:32" s="25" customFormat="1" x14ac:dyDescent="0.25">
      <c r="A1028" s="25" t="s">
        <v>187</v>
      </c>
      <c r="B1028" s="25">
        <f t="shared" si="30"/>
        <v>7830</v>
      </c>
      <c r="C1028" s="25" t="s">
        <v>12</v>
      </c>
      <c r="D1028" s="25">
        <v>0</v>
      </c>
      <c r="E1028" s="25">
        <v>0</v>
      </c>
      <c r="F1028" s="25">
        <v>256</v>
      </c>
      <c r="G1028" s="25">
        <v>222</v>
      </c>
      <c r="H1028" s="27">
        <v>0</v>
      </c>
      <c r="I1028" s="27">
        <v>0</v>
      </c>
      <c r="J1028" s="27">
        <v>0</v>
      </c>
      <c r="K1028" s="27">
        <v>0</v>
      </c>
      <c r="L1028" s="27">
        <v>1</v>
      </c>
      <c r="M1028" s="27">
        <v>0</v>
      </c>
      <c r="N1028" s="27">
        <v>0</v>
      </c>
      <c r="O1028" s="27">
        <v>0</v>
      </c>
      <c r="P1028" s="25">
        <v>700</v>
      </c>
      <c r="Q1028" s="25">
        <v>560</v>
      </c>
      <c r="R1028" s="25" t="s">
        <v>87</v>
      </c>
      <c r="S1028" s="25" t="s">
        <v>89</v>
      </c>
      <c r="T1028" s="25">
        <v>0</v>
      </c>
      <c r="U1028" s="25">
        <v>0</v>
      </c>
      <c r="V1028" s="25">
        <v>0</v>
      </c>
      <c r="W1028" s="25">
        <v>0</v>
      </c>
      <c r="X1028" s="25">
        <v>1</v>
      </c>
      <c r="Y1028" s="25">
        <v>0</v>
      </c>
      <c r="Z1028" s="25">
        <v>0</v>
      </c>
      <c r="AA1028" s="25">
        <v>0</v>
      </c>
      <c r="AB1028" s="25">
        <v>0</v>
      </c>
      <c r="AC1028" s="25">
        <v>0</v>
      </c>
      <c r="AD1028" s="25">
        <v>0</v>
      </c>
      <c r="AE1028" s="25">
        <v>1</v>
      </c>
      <c r="AF1028" s="25" t="s">
        <v>132</v>
      </c>
    </row>
    <row r="1029" spans="1:32" s="25" customFormat="1" x14ac:dyDescent="0.25">
      <c r="A1029" s="25" t="s">
        <v>187</v>
      </c>
      <c r="B1029" s="25">
        <f t="shared" si="30"/>
        <v>7840</v>
      </c>
      <c r="C1029" s="25" t="s">
        <v>12</v>
      </c>
      <c r="D1029" s="25">
        <v>0</v>
      </c>
      <c r="E1029" s="25">
        <v>0</v>
      </c>
      <c r="F1029" s="25">
        <v>256</v>
      </c>
      <c r="G1029" s="25">
        <v>222</v>
      </c>
      <c r="H1029" s="27">
        <v>0</v>
      </c>
      <c r="I1029" s="27">
        <v>0</v>
      </c>
      <c r="J1029" s="27">
        <v>0</v>
      </c>
      <c r="K1029" s="27">
        <v>0</v>
      </c>
      <c r="L1029" s="27">
        <v>1</v>
      </c>
      <c r="M1029" s="27">
        <v>0</v>
      </c>
      <c r="N1029" s="27">
        <v>0</v>
      </c>
      <c r="O1029" s="27">
        <v>0</v>
      </c>
      <c r="P1029" s="25">
        <v>700</v>
      </c>
      <c r="Q1029" s="25">
        <v>560</v>
      </c>
      <c r="R1029" s="25" t="s">
        <v>87</v>
      </c>
      <c r="S1029" s="25" t="s">
        <v>89</v>
      </c>
      <c r="T1029" s="25">
        <v>0</v>
      </c>
      <c r="U1029" s="25">
        <v>0</v>
      </c>
      <c r="V1029" s="25">
        <v>0</v>
      </c>
      <c r="W1029" s="25">
        <v>0</v>
      </c>
      <c r="X1029" s="25">
        <v>1</v>
      </c>
      <c r="Y1029" s="25">
        <v>0</v>
      </c>
      <c r="Z1029" s="25">
        <v>0</v>
      </c>
      <c r="AA1029" s="25">
        <v>0</v>
      </c>
      <c r="AB1029" s="25">
        <v>0</v>
      </c>
      <c r="AC1029" s="25">
        <v>0</v>
      </c>
      <c r="AD1029" s="25">
        <v>0</v>
      </c>
      <c r="AE1029" s="25">
        <v>1</v>
      </c>
      <c r="AF1029" s="25" t="s">
        <v>132</v>
      </c>
    </row>
    <row r="1030" spans="1:32" s="25" customFormat="1" x14ac:dyDescent="0.25">
      <c r="A1030" s="25" t="s">
        <v>187</v>
      </c>
      <c r="B1030" s="25">
        <f t="shared" si="30"/>
        <v>7850</v>
      </c>
      <c r="C1030" s="25" t="s">
        <v>12</v>
      </c>
      <c r="D1030" s="25">
        <v>0</v>
      </c>
      <c r="E1030" s="25">
        <v>0</v>
      </c>
      <c r="F1030" s="25">
        <v>256</v>
      </c>
      <c r="G1030" s="25">
        <v>222</v>
      </c>
      <c r="H1030" s="27">
        <v>0</v>
      </c>
      <c r="I1030" s="27">
        <v>0</v>
      </c>
      <c r="J1030" s="27">
        <v>0</v>
      </c>
      <c r="K1030" s="27">
        <v>0</v>
      </c>
      <c r="L1030" s="27">
        <v>1</v>
      </c>
      <c r="M1030" s="27">
        <v>0</v>
      </c>
      <c r="N1030" s="27">
        <v>0</v>
      </c>
      <c r="O1030" s="27">
        <v>0</v>
      </c>
      <c r="P1030" s="25">
        <v>700</v>
      </c>
      <c r="Q1030" s="25">
        <v>560</v>
      </c>
      <c r="R1030" s="25" t="s">
        <v>87</v>
      </c>
      <c r="S1030" s="25" t="s">
        <v>89</v>
      </c>
      <c r="T1030" s="25">
        <v>0</v>
      </c>
      <c r="U1030" s="25">
        <v>0</v>
      </c>
      <c r="V1030" s="25">
        <v>0</v>
      </c>
      <c r="W1030" s="25">
        <v>0</v>
      </c>
      <c r="X1030" s="25">
        <v>1</v>
      </c>
      <c r="Y1030" s="25">
        <v>0</v>
      </c>
      <c r="Z1030" s="25">
        <v>0</v>
      </c>
      <c r="AA1030" s="25">
        <v>0</v>
      </c>
      <c r="AB1030" s="25">
        <v>0</v>
      </c>
      <c r="AC1030" s="25">
        <v>0</v>
      </c>
      <c r="AD1030" s="25">
        <v>0</v>
      </c>
      <c r="AE1030" s="25">
        <v>1</v>
      </c>
      <c r="AF1030" s="25" t="s">
        <v>132</v>
      </c>
    </row>
    <row r="1031" spans="1:32" s="25" customFormat="1" x14ac:dyDescent="0.25">
      <c r="A1031" s="25" t="s">
        <v>187</v>
      </c>
      <c r="B1031" s="25">
        <f t="shared" si="30"/>
        <v>7860</v>
      </c>
      <c r="C1031" s="25" t="s">
        <v>12</v>
      </c>
      <c r="D1031" s="25">
        <v>0</v>
      </c>
      <c r="E1031" s="25">
        <v>0</v>
      </c>
      <c r="F1031" s="25">
        <v>256</v>
      </c>
      <c r="G1031" s="25">
        <v>222</v>
      </c>
      <c r="H1031" s="27">
        <v>0</v>
      </c>
      <c r="I1031" s="27">
        <v>0</v>
      </c>
      <c r="J1031" s="27">
        <v>0</v>
      </c>
      <c r="K1031" s="27">
        <v>0</v>
      </c>
      <c r="L1031" s="27">
        <v>1</v>
      </c>
      <c r="M1031" s="27">
        <v>0</v>
      </c>
      <c r="N1031" s="27">
        <v>0</v>
      </c>
      <c r="O1031" s="27">
        <v>0</v>
      </c>
      <c r="P1031" s="25">
        <v>700</v>
      </c>
      <c r="Q1031" s="25">
        <v>560</v>
      </c>
      <c r="R1031" s="25" t="s">
        <v>87</v>
      </c>
      <c r="S1031" s="25" t="s">
        <v>89</v>
      </c>
      <c r="T1031" s="25">
        <v>0</v>
      </c>
      <c r="U1031" s="25">
        <v>0</v>
      </c>
      <c r="V1031" s="25">
        <v>0</v>
      </c>
      <c r="W1031" s="25">
        <v>0</v>
      </c>
      <c r="X1031" s="25">
        <v>1</v>
      </c>
      <c r="Y1031" s="25">
        <v>0</v>
      </c>
      <c r="Z1031" s="25">
        <v>0</v>
      </c>
      <c r="AA1031" s="25">
        <v>0</v>
      </c>
      <c r="AB1031" s="25">
        <v>0</v>
      </c>
      <c r="AC1031" s="25">
        <v>0</v>
      </c>
      <c r="AD1031" s="25">
        <v>0</v>
      </c>
      <c r="AE1031" s="25">
        <v>1</v>
      </c>
      <c r="AF1031" s="25" t="s">
        <v>132</v>
      </c>
    </row>
    <row r="1032" spans="1:32" s="25" customFormat="1" x14ac:dyDescent="0.25">
      <c r="A1032" s="25" t="s">
        <v>187</v>
      </c>
      <c r="B1032" s="25">
        <f t="shared" si="30"/>
        <v>7870</v>
      </c>
      <c r="C1032" s="25" t="s">
        <v>12</v>
      </c>
      <c r="D1032" s="25">
        <v>0</v>
      </c>
      <c r="E1032" s="25">
        <v>0</v>
      </c>
      <c r="F1032" s="25">
        <v>256</v>
      </c>
      <c r="G1032" s="25">
        <v>222</v>
      </c>
      <c r="H1032" s="27">
        <v>0</v>
      </c>
      <c r="I1032" s="27">
        <v>0</v>
      </c>
      <c r="J1032" s="27">
        <v>0</v>
      </c>
      <c r="K1032" s="27">
        <v>0</v>
      </c>
      <c r="L1032" s="27">
        <v>1</v>
      </c>
      <c r="M1032" s="27">
        <v>0</v>
      </c>
      <c r="N1032" s="27">
        <v>0</v>
      </c>
      <c r="O1032" s="27">
        <v>0</v>
      </c>
      <c r="P1032" s="25">
        <v>700</v>
      </c>
      <c r="Q1032" s="25">
        <v>560</v>
      </c>
      <c r="R1032" s="25" t="s">
        <v>87</v>
      </c>
      <c r="S1032" s="25" t="s">
        <v>89</v>
      </c>
      <c r="T1032" s="25">
        <v>0</v>
      </c>
      <c r="U1032" s="25">
        <v>0</v>
      </c>
      <c r="V1032" s="25">
        <v>0</v>
      </c>
      <c r="W1032" s="25">
        <v>0</v>
      </c>
      <c r="X1032" s="25">
        <v>1</v>
      </c>
      <c r="Y1032" s="25">
        <v>0</v>
      </c>
      <c r="Z1032" s="25">
        <v>0</v>
      </c>
      <c r="AA1032" s="25">
        <v>0</v>
      </c>
      <c r="AB1032" s="25">
        <v>0</v>
      </c>
      <c r="AC1032" s="25">
        <v>0</v>
      </c>
      <c r="AD1032" s="25">
        <v>0</v>
      </c>
      <c r="AE1032" s="25">
        <v>1</v>
      </c>
      <c r="AF1032" s="25" t="s">
        <v>132</v>
      </c>
    </row>
    <row r="1033" spans="1:32" s="25" customFormat="1" x14ac:dyDescent="0.25">
      <c r="A1033" s="25" t="s">
        <v>187</v>
      </c>
      <c r="B1033" s="25">
        <f t="shared" si="30"/>
        <v>7880</v>
      </c>
      <c r="C1033" s="25" t="s">
        <v>12</v>
      </c>
      <c r="D1033" s="25">
        <v>0</v>
      </c>
      <c r="E1033" s="25">
        <v>0</v>
      </c>
      <c r="F1033" s="25">
        <v>256</v>
      </c>
      <c r="G1033" s="25">
        <v>222</v>
      </c>
      <c r="H1033" s="27">
        <v>0</v>
      </c>
      <c r="I1033" s="27">
        <v>0</v>
      </c>
      <c r="J1033" s="27">
        <v>0</v>
      </c>
      <c r="K1033" s="27">
        <v>0</v>
      </c>
      <c r="L1033" s="27">
        <v>1</v>
      </c>
      <c r="M1033" s="27">
        <v>0</v>
      </c>
      <c r="N1033" s="27">
        <v>0</v>
      </c>
      <c r="O1033" s="27">
        <v>0</v>
      </c>
      <c r="P1033" s="25">
        <v>700</v>
      </c>
      <c r="Q1033" s="25">
        <v>560</v>
      </c>
      <c r="R1033" s="25" t="s">
        <v>87</v>
      </c>
      <c r="S1033" s="25" t="s">
        <v>89</v>
      </c>
      <c r="T1033" s="25">
        <v>0</v>
      </c>
      <c r="U1033" s="25">
        <v>0</v>
      </c>
      <c r="V1033" s="25">
        <v>0</v>
      </c>
      <c r="W1033" s="25">
        <v>0</v>
      </c>
      <c r="X1033" s="25">
        <v>1</v>
      </c>
      <c r="Y1033" s="25">
        <v>0</v>
      </c>
      <c r="Z1033" s="25">
        <v>0</v>
      </c>
      <c r="AA1033" s="25">
        <v>0</v>
      </c>
      <c r="AB1033" s="25">
        <v>0</v>
      </c>
      <c r="AC1033" s="25">
        <v>0</v>
      </c>
      <c r="AD1033" s="25">
        <v>0</v>
      </c>
      <c r="AE1033" s="25">
        <v>1</v>
      </c>
      <c r="AF1033" s="25" t="s">
        <v>132</v>
      </c>
    </row>
    <row r="1034" spans="1:32" s="25" customFormat="1" x14ac:dyDescent="0.25">
      <c r="A1034" s="25" t="s">
        <v>187</v>
      </c>
      <c r="B1034" s="25">
        <f t="shared" si="30"/>
        <v>7890</v>
      </c>
      <c r="C1034" s="25" t="s">
        <v>12</v>
      </c>
      <c r="D1034" s="25">
        <v>0</v>
      </c>
      <c r="E1034" s="25">
        <v>0</v>
      </c>
      <c r="F1034" s="25">
        <v>256</v>
      </c>
      <c r="G1034" s="25">
        <v>222</v>
      </c>
      <c r="H1034" s="27">
        <v>0</v>
      </c>
      <c r="I1034" s="27">
        <v>0</v>
      </c>
      <c r="J1034" s="27">
        <v>0</v>
      </c>
      <c r="K1034" s="27">
        <v>0</v>
      </c>
      <c r="L1034" s="27">
        <v>1</v>
      </c>
      <c r="M1034" s="27">
        <v>0</v>
      </c>
      <c r="N1034" s="27">
        <v>0</v>
      </c>
      <c r="O1034" s="27">
        <v>0</v>
      </c>
      <c r="P1034" s="25">
        <v>700</v>
      </c>
      <c r="Q1034" s="25">
        <v>560</v>
      </c>
      <c r="R1034" s="25" t="s">
        <v>87</v>
      </c>
      <c r="S1034" s="25" t="s">
        <v>89</v>
      </c>
      <c r="T1034" s="25">
        <v>0</v>
      </c>
      <c r="U1034" s="25">
        <v>0</v>
      </c>
      <c r="V1034" s="25">
        <v>0</v>
      </c>
      <c r="W1034" s="25">
        <v>0</v>
      </c>
      <c r="X1034" s="25">
        <v>1</v>
      </c>
      <c r="Y1034" s="25">
        <v>0</v>
      </c>
      <c r="Z1034" s="25">
        <v>0</v>
      </c>
      <c r="AA1034" s="25">
        <v>0</v>
      </c>
      <c r="AB1034" s="25">
        <v>0</v>
      </c>
      <c r="AC1034" s="25">
        <v>0</v>
      </c>
      <c r="AD1034" s="25">
        <v>0</v>
      </c>
      <c r="AE1034" s="25">
        <v>1</v>
      </c>
      <c r="AF1034" s="25" t="s">
        <v>132</v>
      </c>
    </row>
    <row r="1035" spans="1:32" s="25" customFormat="1" x14ac:dyDescent="0.25">
      <c r="A1035" s="25" t="s">
        <v>187</v>
      </c>
      <c r="B1035" s="25">
        <f t="shared" si="30"/>
        <v>7900</v>
      </c>
      <c r="C1035" s="25" t="s">
        <v>12</v>
      </c>
      <c r="D1035" s="25">
        <v>0</v>
      </c>
      <c r="E1035" s="25">
        <v>0</v>
      </c>
      <c r="F1035" s="25">
        <v>256</v>
      </c>
      <c r="G1035" s="25">
        <v>222</v>
      </c>
      <c r="H1035" s="27">
        <v>0</v>
      </c>
      <c r="I1035" s="27">
        <v>0</v>
      </c>
      <c r="J1035" s="27">
        <v>0</v>
      </c>
      <c r="K1035" s="27">
        <v>0</v>
      </c>
      <c r="L1035" s="27">
        <v>1</v>
      </c>
      <c r="M1035" s="27">
        <v>0</v>
      </c>
      <c r="N1035" s="27">
        <v>0</v>
      </c>
      <c r="O1035" s="27">
        <v>0</v>
      </c>
      <c r="P1035" s="25">
        <v>700</v>
      </c>
      <c r="Q1035" s="25">
        <v>560</v>
      </c>
      <c r="R1035" s="25" t="s">
        <v>87</v>
      </c>
      <c r="S1035" s="25" t="s">
        <v>89</v>
      </c>
      <c r="T1035" s="25">
        <v>0</v>
      </c>
      <c r="U1035" s="25">
        <v>0</v>
      </c>
      <c r="V1035" s="25">
        <v>0</v>
      </c>
      <c r="W1035" s="25">
        <v>0</v>
      </c>
      <c r="X1035" s="25">
        <v>1</v>
      </c>
      <c r="Y1035" s="25">
        <v>0</v>
      </c>
      <c r="Z1035" s="25">
        <v>0</v>
      </c>
      <c r="AA1035" s="25">
        <v>0</v>
      </c>
      <c r="AB1035" s="25">
        <v>0</v>
      </c>
      <c r="AC1035" s="25">
        <v>0</v>
      </c>
      <c r="AD1035" s="25">
        <v>0</v>
      </c>
      <c r="AE1035" s="25">
        <v>1</v>
      </c>
      <c r="AF1035" s="25" t="s">
        <v>132</v>
      </c>
    </row>
    <row r="1036" spans="1:32" s="25" customFormat="1" x14ac:dyDescent="0.25">
      <c r="A1036" s="25" t="s">
        <v>187</v>
      </c>
      <c r="B1036" s="25">
        <f t="shared" si="30"/>
        <v>7910</v>
      </c>
      <c r="C1036" s="25" t="s">
        <v>12</v>
      </c>
      <c r="D1036" s="25">
        <v>0</v>
      </c>
      <c r="E1036" s="25">
        <v>0</v>
      </c>
      <c r="F1036" s="25">
        <v>256</v>
      </c>
      <c r="G1036" s="25">
        <v>222</v>
      </c>
      <c r="H1036" s="27">
        <v>0</v>
      </c>
      <c r="I1036" s="27">
        <v>0</v>
      </c>
      <c r="J1036" s="27">
        <v>0</v>
      </c>
      <c r="K1036" s="27">
        <v>0</v>
      </c>
      <c r="L1036" s="27">
        <v>1</v>
      </c>
      <c r="M1036" s="27">
        <v>0</v>
      </c>
      <c r="N1036" s="27">
        <v>0</v>
      </c>
      <c r="O1036" s="27">
        <v>0</v>
      </c>
      <c r="P1036" s="25">
        <v>700</v>
      </c>
      <c r="Q1036" s="25">
        <v>560</v>
      </c>
      <c r="R1036" s="25" t="s">
        <v>87</v>
      </c>
      <c r="S1036" s="25" t="s">
        <v>89</v>
      </c>
      <c r="T1036" s="25">
        <v>0</v>
      </c>
      <c r="U1036" s="25">
        <v>0</v>
      </c>
      <c r="V1036" s="25">
        <v>0</v>
      </c>
      <c r="W1036" s="25">
        <v>0</v>
      </c>
      <c r="X1036" s="25">
        <v>1</v>
      </c>
      <c r="Y1036" s="25">
        <v>0</v>
      </c>
      <c r="Z1036" s="25">
        <v>0</v>
      </c>
      <c r="AA1036" s="25">
        <v>0</v>
      </c>
      <c r="AB1036" s="25">
        <v>0</v>
      </c>
      <c r="AC1036" s="25">
        <v>0</v>
      </c>
      <c r="AD1036" s="25">
        <v>0</v>
      </c>
      <c r="AE1036" s="25">
        <v>1</v>
      </c>
      <c r="AF1036" s="25" t="s">
        <v>132</v>
      </c>
    </row>
    <row r="1037" spans="1:32" s="25" customFormat="1" x14ac:dyDescent="0.25">
      <c r="A1037" s="25" t="s">
        <v>187</v>
      </c>
      <c r="B1037" s="25">
        <f t="shared" si="30"/>
        <v>7920</v>
      </c>
      <c r="C1037" s="25" t="s">
        <v>12</v>
      </c>
      <c r="D1037" s="25">
        <v>0</v>
      </c>
      <c r="E1037" s="25">
        <v>0</v>
      </c>
      <c r="F1037" s="25">
        <v>256</v>
      </c>
      <c r="G1037" s="25">
        <v>222</v>
      </c>
      <c r="H1037" s="27">
        <v>0</v>
      </c>
      <c r="I1037" s="27">
        <v>0</v>
      </c>
      <c r="J1037" s="27">
        <v>0</v>
      </c>
      <c r="K1037" s="27">
        <v>0</v>
      </c>
      <c r="L1037" s="27">
        <v>1</v>
      </c>
      <c r="M1037" s="27">
        <v>0</v>
      </c>
      <c r="N1037" s="27">
        <v>0</v>
      </c>
      <c r="O1037" s="27">
        <v>0</v>
      </c>
      <c r="P1037" s="25">
        <v>700</v>
      </c>
      <c r="Q1037" s="25">
        <v>560</v>
      </c>
      <c r="R1037" s="25" t="s">
        <v>87</v>
      </c>
      <c r="S1037" s="25" t="s">
        <v>89</v>
      </c>
      <c r="T1037" s="25">
        <v>0</v>
      </c>
      <c r="U1037" s="25">
        <v>0</v>
      </c>
      <c r="V1037" s="25">
        <v>0</v>
      </c>
      <c r="W1037" s="25">
        <v>0</v>
      </c>
      <c r="X1037" s="25">
        <v>1</v>
      </c>
      <c r="Y1037" s="25">
        <v>0</v>
      </c>
      <c r="Z1037" s="25">
        <v>0</v>
      </c>
      <c r="AA1037" s="25">
        <v>0</v>
      </c>
      <c r="AB1037" s="25">
        <v>0</v>
      </c>
      <c r="AC1037" s="25">
        <v>0</v>
      </c>
      <c r="AD1037" s="25">
        <v>0</v>
      </c>
      <c r="AE1037" s="25">
        <v>1</v>
      </c>
      <c r="AF1037" s="25" t="s">
        <v>132</v>
      </c>
    </row>
    <row r="1038" spans="1:32" s="25" customFormat="1" x14ac:dyDescent="0.25">
      <c r="A1038" s="25" t="s">
        <v>187</v>
      </c>
      <c r="B1038" s="25">
        <f t="shared" si="30"/>
        <v>7930</v>
      </c>
      <c r="C1038" s="25" t="s">
        <v>12</v>
      </c>
      <c r="D1038" s="25">
        <v>0</v>
      </c>
      <c r="E1038" s="25">
        <v>0</v>
      </c>
      <c r="F1038" s="25">
        <v>256</v>
      </c>
      <c r="G1038" s="25">
        <v>222</v>
      </c>
      <c r="H1038" s="27">
        <v>0</v>
      </c>
      <c r="I1038" s="27">
        <v>0</v>
      </c>
      <c r="J1038" s="27">
        <v>0</v>
      </c>
      <c r="K1038" s="27">
        <v>0</v>
      </c>
      <c r="L1038" s="27">
        <v>1</v>
      </c>
      <c r="M1038" s="27">
        <v>0</v>
      </c>
      <c r="N1038" s="27">
        <v>0</v>
      </c>
      <c r="O1038" s="27">
        <v>0</v>
      </c>
      <c r="P1038" s="25">
        <v>700</v>
      </c>
      <c r="Q1038" s="25">
        <v>560</v>
      </c>
      <c r="R1038" s="25" t="s">
        <v>87</v>
      </c>
      <c r="S1038" s="25" t="s">
        <v>89</v>
      </c>
      <c r="T1038" s="25">
        <v>0</v>
      </c>
      <c r="U1038" s="25">
        <v>0</v>
      </c>
      <c r="V1038" s="25">
        <v>0</v>
      </c>
      <c r="W1038" s="25">
        <v>0</v>
      </c>
      <c r="X1038" s="25">
        <v>1</v>
      </c>
      <c r="Y1038" s="25">
        <v>0</v>
      </c>
      <c r="Z1038" s="25">
        <v>0</v>
      </c>
      <c r="AA1038" s="25">
        <v>0</v>
      </c>
      <c r="AB1038" s="25">
        <v>0</v>
      </c>
      <c r="AC1038" s="25">
        <v>0</v>
      </c>
      <c r="AD1038" s="25">
        <v>0</v>
      </c>
      <c r="AE1038" s="25">
        <v>1</v>
      </c>
      <c r="AF1038" s="25" t="s">
        <v>132</v>
      </c>
    </row>
    <row r="1039" spans="1:32" s="25" customFormat="1" x14ac:dyDescent="0.25">
      <c r="A1039" s="25" t="s">
        <v>187</v>
      </c>
      <c r="B1039" s="25">
        <f t="shared" si="30"/>
        <v>7940</v>
      </c>
      <c r="C1039" s="25" t="s">
        <v>12</v>
      </c>
      <c r="D1039" s="25">
        <v>0</v>
      </c>
      <c r="E1039" s="25">
        <v>0</v>
      </c>
      <c r="F1039" s="25">
        <v>256</v>
      </c>
      <c r="G1039" s="25">
        <v>222</v>
      </c>
      <c r="H1039" s="27">
        <v>0</v>
      </c>
      <c r="I1039" s="27">
        <v>0</v>
      </c>
      <c r="J1039" s="27">
        <v>0</v>
      </c>
      <c r="K1039" s="27">
        <v>0</v>
      </c>
      <c r="L1039" s="27">
        <v>1</v>
      </c>
      <c r="M1039" s="27">
        <v>0</v>
      </c>
      <c r="N1039" s="27">
        <v>0</v>
      </c>
      <c r="O1039" s="27">
        <v>0</v>
      </c>
      <c r="P1039" s="25">
        <v>700</v>
      </c>
      <c r="Q1039" s="25">
        <v>560</v>
      </c>
      <c r="R1039" s="25" t="s">
        <v>87</v>
      </c>
      <c r="S1039" s="25" t="s">
        <v>89</v>
      </c>
      <c r="T1039" s="25">
        <v>0</v>
      </c>
      <c r="U1039" s="25">
        <v>0</v>
      </c>
      <c r="V1039" s="25">
        <v>0</v>
      </c>
      <c r="W1039" s="25">
        <v>0</v>
      </c>
      <c r="X1039" s="25">
        <v>1</v>
      </c>
      <c r="Y1039" s="25">
        <v>0</v>
      </c>
      <c r="Z1039" s="25">
        <v>0</v>
      </c>
      <c r="AA1039" s="25">
        <v>0</v>
      </c>
      <c r="AB1039" s="25">
        <v>0</v>
      </c>
      <c r="AC1039" s="25">
        <v>0</v>
      </c>
      <c r="AD1039" s="25">
        <v>0</v>
      </c>
      <c r="AE1039" s="25">
        <v>1</v>
      </c>
      <c r="AF1039" s="25" t="s">
        <v>132</v>
      </c>
    </row>
    <row r="1040" spans="1:32" s="25" customFormat="1" x14ac:dyDescent="0.25">
      <c r="A1040" s="25" t="s">
        <v>187</v>
      </c>
      <c r="B1040" s="25">
        <f t="shared" si="30"/>
        <v>7950</v>
      </c>
      <c r="C1040" s="25" t="s">
        <v>12</v>
      </c>
      <c r="D1040" s="25">
        <v>0</v>
      </c>
      <c r="E1040" s="25">
        <v>0</v>
      </c>
      <c r="F1040" s="25">
        <v>256</v>
      </c>
      <c r="G1040" s="25">
        <v>222</v>
      </c>
      <c r="H1040" s="27">
        <v>0</v>
      </c>
      <c r="I1040" s="27">
        <v>0</v>
      </c>
      <c r="J1040" s="27">
        <v>0</v>
      </c>
      <c r="K1040" s="27">
        <v>0</v>
      </c>
      <c r="L1040" s="27">
        <v>1</v>
      </c>
      <c r="M1040" s="27">
        <v>0</v>
      </c>
      <c r="N1040" s="27">
        <v>0</v>
      </c>
      <c r="O1040" s="27">
        <v>0</v>
      </c>
      <c r="P1040" s="25">
        <v>700</v>
      </c>
      <c r="Q1040" s="25">
        <v>560</v>
      </c>
      <c r="R1040" s="25" t="s">
        <v>87</v>
      </c>
      <c r="S1040" s="25" t="s">
        <v>89</v>
      </c>
      <c r="T1040" s="25">
        <v>0</v>
      </c>
      <c r="U1040" s="25">
        <v>0</v>
      </c>
      <c r="V1040" s="25">
        <v>0</v>
      </c>
      <c r="W1040" s="25">
        <v>0</v>
      </c>
      <c r="X1040" s="25">
        <v>1</v>
      </c>
      <c r="Y1040" s="25">
        <v>0</v>
      </c>
      <c r="Z1040" s="25">
        <v>0</v>
      </c>
      <c r="AA1040" s="25">
        <v>0</v>
      </c>
      <c r="AB1040" s="25">
        <v>0</v>
      </c>
      <c r="AC1040" s="25">
        <v>0</v>
      </c>
      <c r="AD1040" s="25">
        <v>0</v>
      </c>
      <c r="AE1040" s="25">
        <v>1</v>
      </c>
      <c r="AF1040" s="25" t="s">
        <v>132</v>
      </c>
    </row>
    <row r="1041" spans="1:32" s="25" customFormat="1" x14ac:dyDescent="0.25">
      <c r="A1041" s="25" t="s">
        <v>187</v>
      </c>
      <c r="B1041" s="25">
        <f t="shared" si="30"/>
        <v>7960</v>
      </c>
      <c r="C1041" s="25" t="s">
        <v>12</v>
      </c>
      <c r="D1041" s="25">
        <v>0</v>
      </c>
      <c r="E1041" s="25">
        <v>0</v>
      </c>
      <c r="F1041" s="25">
        <v>256</v>
      </c>
      <c r="G1041" s="25">
        <v>222</v>
      </c>
      <c r="H1041" s="27">
        <v>0</v>
      </c>
      <c r="I1041" s="27">
        <v>0</v>
      </c>
      <c r="J1041" s="27">
        <v>0</v>
      </c>
      <c r="K1041" s="27">
        <v>0</v>
      </c>
      <c r="L1041" s="27">
        <v>1</v>
      </c>
      <c r="M1041" s="27">
        <v>0</v>
      </c>
      <c r="N1041" s="27">
        <v>0</v>
      </c>
      <c r="O1041" s="27">
        <v>0</v>
      </c>
      <c r="P1041" s="25">
        <v>700</v>
      </c>
      <c r="Q1041" s="25">
        <v>560</v>
      </c>
      <c r="R1041" s="25" t="s">
        <v>87</v>
      </c>
      <c r="S1041" s="25" t="s">
        <v>89</v>
      </c>
      <c r="T1041" s="25">
        <v>0</v>
      </c>
      <c r="U1041" s="25">
        <v>0</v>
      </c>
      <c r="V1041" s="25">
        <v>0</v>
      </c>
      <c r="W1041" s="25">
        <v>0</v>
      </c>
      <c r="X1041" s="25">
        <v>1</v>
      </c>
      <c r="Y1041" s="25">
        <v>0</v>
      </c>
      <c r="Z1041" s="25">
        <v>0</v>
      </c>
      <c r="AA1041" s="25">
        <v>0</v>
      </c>
      <c r="AB1041" s="25">
        <v>0</v>
      </c>
      <c r="AC1041" s="25">
        <v>0</v>
      </c>
      <c r="AD1041" s="25">
        <v>0</v>
      </c>
      <c r="AE1041" s="25">
        <v>1</v>
      </c>
      <c r="AF1041" s="25" t="s">
        <v>132</v>
      </c>
    </row>
    <row r="1042" spans="1:32" s="25" customFormat="1" x14ac:dyDescent="0.25">
      <c r="A1042" s="25" t="s">
        <v>187</v>
      </c>
      <c r="B1042" s="25">
        <f t="shared" si="30"/>
        <v>7970</v>
      </c>
      <c r="C1042" s="25" t="s">
        <v>12</v>
      </c>
      <c r="D1042" s="25">
        <v>0</v>
      </c>
      <c r="E1042" s="25">
        <v>0</v>
      </c>
      <c r="F1042" s="25">
        <v>256</v>
      </c>
      <c r="G1042" s="25">
        <v>222</v>
      </c>
      <c r="H1042" s="27">
        <v>0</v>
      </c>
      <c r="I1042" s="27">
        <v>0</v>
      </c>
      <c r="J1042" s="27">
        <v>0</v>
      </c>
      <c r="K1042" s="27">
        <v>0</v>
      </c>
      <c r="L1042" s="27">
        <v>1</v>
      </c>
      <c r="M1042" s="27">
        <v>0</v>
      </c>
      <c r="N1042" s="27">
        <v>0</v>
      </c>
      <c r="O1042" s="27">
        <v>0</v>
      </c>
      <c r="P1042" s="25">
        <v>700</v>
      </c>
      <c r="Q1042" s="25">
        <v>560</v>
      </c>
      <c r="R1042" s="25" t="s">
        <v>87</v>
      </c>
      <c r="S1042" s="25" t="s">
        <v>89</v>
      </c>
      <c r="T1042" s="25">
        <v>0</v>
      </c>
      <c r="U1042" s="25">
        <v>0</v>
      </c>
      <c r="V1042" s="25">
        <v>0</v>
      </c>
      <c r="W1042" s="25">
        <v>0</v>
      </c>
      <c r="X1042" s="25">
        <v>1</v>
      </c>
      <c r="Y1042" s="25">
        <v>0</v>
      </c>
      <c r="Z1042" s="25">
        <v>0</v>
      </c>
      <c r="AA1042" s="25">
        <v>0</v>
      </c>
      <c r="AB1042" s="25">
        <v>0</v>
      </c>
      <c r="AC1042" s="25">
        <v>0</v>
      </c>
      <c r="AD1042" s="25">
        <v>0</v>
      </c>
      <c r="AE1042" s="25">
        <v>1</v>
      </c>
      <c r="AF1042" s="25" t="s">
        <v>132</v>
      </c>
    </row>
    <row r="1043" spans="1:32" s="25" customFormat="1" x14ac:dyDescent="0.25">
      <c r="A1043" s="25" t="s">
        <v>187</v>
      </c>
      <c r="B1043" s="25">
        <f t="shared" si="30"/>
        <v>7980</v>
      </c>
      <c r="C1043" s="25" t="s">
        <v>12</v>
      </c>
      <c r="D1043" s="25">
        <v>0</v>
      </c>
      <c r="E1043" s="25">
        <v>0</v>
      </c>
      <c r="F1043" s="25">
        <v>256</v>
      </c>
      <c r="G1043" s="25">
        <v>222</v>
      </c>
      <c r="H1043" s="27">
        <v>0</v>
      </c>
      <c r="I1043" s="27">
        <v>0</v>
      </c>
      <c r="J1043" s="27">
        <v>0</v>
      </c>
      <c r="K1043" s="27">
        <v>0</v>
      </c>
      <c r="L1043" s="27">
        <v>1</v>
      </c>
      <c r="M1043" s="27">
        <v>0</v>
      </c>
      <c r="N1043" s="27">
        <v>0</v>
      </c>
      <c r="O1043" s="27">
        <v>0</v>
      </c>
      <c r="P1043" s="25">
        <v>700</v>
      </c>
      <c r="Q1043" s="25">
        <v>560</v>
      </c>
      <c r="R1043" s="25" t="s">
        <v>87</v>
      </c>
      <c r="S1043" s="25" t="s">
        <v>89</v>
      </c>
      <c r="T1043" s="25">
        <v>0</v>
      </c>
      <c r="U1043" s="25">
        <v>0</v>
      </c>
      <c r="V1043" s="25">
        <v>0</v>
      </c>
      <c r="W1043" s="25">
        <v>0</v>
      </c>
      <c r="X1043" s="25">
        <v>1</v>
      </c>
      <c r="Y1043" s="25">
        <v>0</v>
      </c>
      <c r="Z1043" s="25">
        <v>0</v>
      </c>
      <c r="AA1043" s="25">
        <v>0</v>
      </c>
      <c r="AB1043" s="25">
        <v>0</v>
      </c>
      <c r="AC1043" s="25">
        <v>0</v>
      </c>
      <c r="AD1043" s="25">
        <v>0</v>
      </c>
      <c r="AE1043" s="25">
        <v>1</v>
      </c>
      <c r="AF1043" s="25" t="s">
        <v>132</v>
      </c>
    </row>
    <row r="1044" spans="1:32" s="25" customFormat="1" x14ac:dyDescent="0.25">
      <c r="A1044" s="25" t="s">
        <v>187</v>
      </c>
      <c r="B1044" s="25">
        <f t="shared" si="30"/>
        <v>7990</v>
      </c>
      <c r="C1044" s="25" t="s">
        <v>12</v>
      </c>
      <c r="D1044" s="25">
        <v>0</v>
      </c>
      <c r="E1044" s="25">
        <v>0</v>
      </c>
      <c r="F1044" s="25">
        <v>256</v>
      </c>
      <c r="G1044" s="25">
        <v>222</v>
      </c>
      <c r="H1044" s="27">
        <v>0</v>
      </c>
      <c r="I1044" s="27">
        <v>0</v>
      </c>
      <c r="J1044" s="27">
        <v>0</v>
      </c>
      <c r="K1044" s="27">
        <v>0</v>
      </c>
      <c r="L1044" s="27">
        <v>1</v>
      </c>
      <c r="M1044" s="27">
        <v>0</v>
      </c>
      <c r="N1044" s="27">
        <v>0</v>
      </c>
      <c r="O1044" s="27">
        <v>0</v>
      </c>
      <c r="P1044" s="25">
        <v>700</v>
      </c>
      <c r="Q1044" s="25">
        <v>560</v>
      </c>
      <c r="R1044" s="25" t="s">
        <v>87</v>
      </c>
      <c r="S1044" s="25" t="s">
        <v>89</v>
      </c>
      <c r="T1044" s="25">
        <v>0</v>
      </c>
      <c r="U1044" s="25">
        <v>0</v>
      </c>
      <c r="V1044" s="25">
        <v>0</v>
      </c>
      <c r="W1044" s="25">
        <v>0</v>
      </c>
      <c r="X1044" s="25">
        <v>1</v>
      </c>
      <c r="Y1044" s="25">
        <v>0</v>
      </c>
      <c r="Z1044" s="25">
        <v>0</v>
      </c>
      <c r="AA1044" s="25">
        <v>0</v>
      </c>
      <c r="AB1044" s="25">
        <v>0</v>
      </c>
      <c r="AC1044" s="25">
        <v>0</v>
      </c>
      <c r="AD1044" s="25">
        <v>0</v>
      </c>
      <c r="AE1044" s="25">
        <v>1</v>
      </c>
      <c r="AF1044" s="25" t="s">
        <v>132</v>
      </c>
    </row>
    <row r="1045" spans="1:32" s="25" customFormat="1" x14ac:dyDescent="0.25">
      <c r="A1045" s="25" t="s">
        <v>187</v>
      </c>
      <c r="B1045" s="25">
        <f t="shared" si="30"/>
        <v>8000</v>
      </c>
      <c r="C1045" s="25" t="s">
        <v>12</v>
      </c>
      <c r="D1045" s="25">
        <v>0</v>
      </c>
      <c r="E1045" s="25">
        <v>0</v>
      </c>
      <c r="F1045" s="25">
        <v>256</v>
      </c>
      <c r="G1045" s="25">
        <v>222</v>
      </c>
      <c r="H1045" s="27">
        <v>0</v>
      </c>
      <c r="I1045" s="27">
        <v>0</v>
      </c>
      <c r="J1045" s="27">
        <v>0</v>
      </c>
      <c r="K1045" s="27">
        <v>0</v>
      </c>
      <c r="L1045" s="27">
        <v>1</v>
      </c>
      <c r="M1045" s="27">
        <v>0</v>
      </c>
      <c r="N1045" s="27">
        <v>0</v>
      </c>
      <c r="O1045" s="27">
        <v>0</v>
      </c>
      <c r="P1045" s="25">
        <v>700</v>
      </c>
      <c r="Q1045" s="25">
        <v>560</v>
      </c>
      <c r="R1045" s="25" t="s">
        <v>87</v>
      </c>
      <c r="S1045" s="25" t="s">
        <v>89</v>
      </c>
      <c r="T1045" s="25">
        <v>0</v>
      </c>
      <c r="U1045" s="25">
        <v>0</v>
      </c>
      <c r="V1045" s="25">
        <v>0</v>
      </c>
      <c r="W1045" s="25">
        <v>0</v>
      </c>
      <c r="X1045" s="25">
        <v>1</v>
      </c>
      <c r="Y1045" s="25">
        <v>0</v>
      </c>
      <c r="Z1045" s="25">
        <v>0</v>
      </c>
      <c r="AA1045" s="25">
        <v>0</v>
      </c>
      <c r="AB1045" s="25">
        <v>0</v>
      </c>
      <c r="AC1045" s="25">
        <v>0</v>
      </c>
      <c r="AD1045" s="25">
        <v>0</v>
      </c>
      <c r="AE1045" s="25">
        <v>1</v>
      </c>
      <c r="AF1045" s="25" t="s">
        <v>132</v>
      </c>
    </row>
    <row r="1046" spans="1:32" s="25" customFormat="1" x14ac:dyDescent="0.25">
      <c r="A1046" s="25" t="s">
        <v>187</v>
      </c>
      <c r="B1046" s="25">
        <f t="shared" si="30"/>
        <v>8010</v>
      </c>
      <c r="C1046" s="25" t="s">
        <v>12</v>
      </c>
      <c r="D1046" s="25">
        <v>0</v>
      </c>
      <c r="E1046" s="25">
        <v>0</v>
      </c>
      <c r="F1046" s="25">
        <v>256</v>
      </c>
      <c r="G1046" s="25">
        <v>222</v>
      </c>
      <c r="H1046" s="27">
        <v>0</v>
      </c>
      <c r="I1046" s="27">
        <v>0</v>
      </c>
      <c r="J1046" s="27">
        <v>0</v>
      </c>
      <c r="K1046" s="27">
        <v>0</v>
      </c>
      <c r="L1046" s="27">
        <v>1</v>
      </c>
      <c r="M1046" s="27">
        <v>0</v>
      </c>
      <c r="N1046" s="27">
        <v>0</v>
      </c>
      <c r="O1046" s="27">
        <v>0</v>
      </c>
      <c r="P1046" s="25">
        <v>700</v>
      </c>
      <c r="Q1046" s="25">
        <v>560</v>
      </c>
      <c r="R1046" s="25" t="s">
        <v>87</v>
      </c>
      <c r="S1046" s="25" t="s">
        <v>89</v>
      </c>
      <c r="T1046" s="25">
        <v>0</v>
      </c>
      <c r="U1046" s="25">
        <v>0</v>
      </c>
      <c r="V1046" s="25">
        <v>0</v>
      </c>
      <c r="W1046" s="25">
        <v>0</v>
      </c>
      <c r="X1046" s="25">
        <v>1</v>
      </c>
      <c r="Y1046" s="25">
        <v>0</v>
      </c>
      <c r="Z1046" s="25">
        <v>0</v>
      </c>
      <c r="AA1046" s="25">
        <v>0</v>
      </c>
      <c r="AB1046" s="25">
        <v>0</v>
      </c>
      <c r="AC1046" s="25">
        <v>0</v>
      </c>
      <c r="AD1046" s="25">
        <v>0</v>
      </c>
      <c r="AE1046" s="25">
        <v>1</v>
      </c>
      <c r="AF1046" s="25" t="s">
        <v>132</v>
      </c>
    </row>
    <row r="1047" spans="1:32" s="25" customFormat="1" x14ac:dyDescent="0.25">
      <c r="A1047" s="25" t="s">
        <v>187</v>
      </c>
      <c r="B1047" s="25">
        <f t="shared" si="30"/>
        <v>8020</v>
      </c>
      <c r="C1047" s="25" t="s">
        <v>12</v>
      </c>
      <c r="D1047" s="25">
        <v>0</v>
      </c>
      <c r="E1047" s="25">
        <v>0</v>
      </c>
      <c r="F1047" s="25">
        <v>256</v>
      </c>
      <c r="G1047" s="25">
        <v>222</v>
      </c>
      <c r="H1047" s="27">
        <v>0</v>
      </c>
      <c r="I1047" s="27">
        <v>0</v>
      </c>
      <c r="J1047" s="27">
        <v>0</v>
      </c>
      <c r="K1047" s="27">
        <v>0</v>
      </c>
      <c r="L1047" s="27">
        <v>1</v>
      </c>
      <c r="M1047" s="27">
        <v>0</v>
      </c>
      <c r="N1047" s="27">
        <v>0</v>
      </c>
      <c r="O1047" s="27">
        <v>0</v>
      </c>
      <c r="P1047" s="25">
        <v>700</v>
      </c>
      <c r="Q1047" s="25">
        <v>560</v>
      </c>
      <c r="R1047" s="25" t="s">
        <v>87</v>
      </c>
      <c r="S1047" s="25" t="s">
        <v>89</v>
      </c>
      <c r="T1047" s="25">
        <v>0</v>
      </c>
      <c r="U1047" s="25">
        <v>0</v>
      </c>
      <c r="V1047" s="25">
        <v>0</v>
      </c>
      <c r="W1047" s="25">
        <v>0</v>
      </c>
      <c r="X1047" s="25">
        <v>1</v>
      </c>
      <c r="Y1047" s="25">
        <v>0</v>
      </c>
      <c r="Z1047" s="25">
        <v>0</v>
      </c>
      <c r="AA1047" s="25">
        <v>0</v>
      </c>
      <c r="AB1047" s="25">
        <v>0</v>
      </c>
      <c r="AC1047" s="25">
        <v>0</v>
      </c>
      <c r="AD1047" s="25">
        <v>0</v>
      </c>
      <c r="AE1047" s="25">
        <v>1</v>
      </c>
      <c r="AF1047" s="25" t="s">
        <v>132</v>
      </c>
    </row>
    <row r="1048" spans="1:32" s="25" customFormat="1" x14ac:dyDescent="0.25">
      <c r="A1048" s="25" t="s">
        <v>187</v>
      </c>
      <c r="B1048" s="25">
        <f t="shared" si="30"/>
        <v>8030</v>
      </c>
      <c r="C1048" s="25" t="s">
        <v>12</v>
      </c>
      <c r="D1048" s="25">
        <v>0</v>
      </c>
      <c r="E1048" s="25">
        <v>0</v>
      </c>
      <c r="F1048" s="25">
        <v>256</v>
      </c>
      <c r="G1048" s="25">
        <v>222</v>
      </c>
      <c r="H1048" s="27">
        <v>0</v>
      </c>
      <c r="I1048" s="27">
        <v>0</v>
      </c>
      <c r="J1048" s="27">
        <v>0</v>
      </c>
      <c r="K1048" s="27">
        <v>0</v>
      </c>
      <c r="L1048" s="27">
        <v>1</v>
      </c>
      <c r="M1048" s="27">
        <v>0</v>
      </c>
      <c r="N1048" s="27">
        <v>0</v>
      </c>
      <c r="O1048" s="27">
        <v>0</v>
      </c>
      <c r="P1048" s="25">
        <v>700</v>
      </c>
      <c r="Q1048" s="25">
        <v>560</v>
      </c>
      <c r="R1048" s="25" t="s">
        <v>87</v>
      </c>
      <c r="S1048" s="25" t="s">
        <v>89</v>
      </c>
      <c r="T1048" s="25">
        <v>0</v>
      </c>
      <c r="U1048" s="25">
        <v>0</v>
      </c>
      <c r="V1048" s="25">
        <v>0</v>
      </c>
      <c r="W1048" s="25">
        <v>0</v>
      </c>
      <c r="X1048" s="25">
        <v>1</v>
      </c>
      <c r="Y1048" s="25">
        <v>0</v>
      </c>
      <c r="Z1048" s="25">
        <v>0</v>
      </c>
      <c r="AA1048" s="25">
        <v>0</v>
      </c>
      <c r="AB1048" s="25">
        <v>0</v>
      </c>
      <c r="AC1048" s="25">
        <v>0</v>
      </c>
      <c r="AD1048" s="25">
        <v>0</v>
      </c>
      <c r="AE1048" s="25">
        <v>1</v>
      </c>
      <c r="AF1048" s="25" t="s">
        <v>132</v>
      </c>
    </row>
    <row r="1049" spans="1:32" s="25" customFormat="1" x14ac:dyDescent="0.25">
      <c r="A1049" s="25" t="s">
        <v>187</v>
      </c>
      <c r="B1049" s="25">
        <f t="shared" si="30"/>
        <v>8040</v>
      </c>
      <c r="C1049" s="25" t="s">
        <v>12</v>
      </c>
      <c r="D1049" s="25">
        <v>0</v>
      </c>
      <c r="E1049" s="25">
        <v>0</v>
      </c>
      <c r="F1049" s="25">
        <v>256</v>
      </c>
      <c r="G1049" s="25">
        <v>222</v>
      </c>
      <c r="H1049" s="27">
        <v>0</v>
      </c>
      <c r="I1049" s="27">
        <v>0</v>
      </c>
      <c r="J1049" s="27">
        <v>0</v>
      </c>
      <c r="K1049" s="27">
        <v>0</v>
      </c>
      <c r="L1049" s="27">
        <v>1</v>
      </c>
      <c r="M1049" s="27">
        <v>0</v>
      </c>
      <c r="N1049" s="27">
        <v>0</v>
      </c>
      <c r="O1049" s="27">
        <v>0</v>
      </c>
      <c r="P1049" s="25">
        <v>700</v>
      </c>
      <c r="Q1049" s="25">
        <v>560</v>
      </c>
      <c r="R1049" s="25" t="s">
        <v>87</v>
      </c>
      <c r="S1049" s="25" t="s">
        <v>89</v>
      </c>
      <c r="T1049" s="25">
        <v>0</v>
      </c>
      <c r="U1049" s="25">
        <v>0</v>
      </c>
      <c r="V1049" s="25">
        <v>0</v>
      </c>
      <c r="W1049" s="25">
        <v>0</v>
      </c>
      <c r="X1049" s="25">
        <v>1</v>
      </c>
      <c r="Y1049" s="25">
        <v>0</v>
      </c>
      <c r="Z1049" s="25">
        <v>0</v>
      </c>
      <c r="AA1049" s="25">
        <v>0</v>
      </c>
      <c r="AB1049" s="25">
        <v>0</v>
      </c>
      <c r="AC1049" s="25">
        <v>0</v>
      </c>
      <c r="AD1049" s="25">
        <v>0</v>
      </c>
      <c r="AE1049" s="25">
        <v>1</v>
      </c>
      <c r="AF1049" s="25" t="s">
        <v>132</v>
      </c>
    </row>
    <row r="1050" spans="1:32" s="25" customFormat="1" x14ac:dyDescent="0.25">
      <c r="A1050" s="25" t="s">
        <v>187</v>
      </c>
      <c r="B1050" s="25">
        <f t="shared" si="30"/>
        <v>8050</v>
      </c>
      <c r="C1050" s="25" t="s">
        <v>12</v>
      </c>
      <c r="D1050" s="25">
        <v>0</v>
      </c>
      <c r="E1050" s="25">
        <v>0</v>
      </c>
      <c r="F1050" s="25">
        <v>256</v>
      </c>
      <c r="G1050" s="25">
        <v>222</v>
      </c>
      <c r="H1050" s="27">
        <v>0</v>
      </c>
      <c r="I1050" s="27">
        <v>0</v>
      </c>
      <c r="J1050" s="27">
        <v>0</v>
      </c>
      <c r="K1050" s="27">
        <v>0</v>
      </c>
      <c r="L1050" s="27">
        <v>1</v>
      </c>
      <c r="M1050" s="27">
        <v>0</v>
      </c>
      <c r="N1050" s="27">
        <v>0</v>
      </c>
      <c r="O1050" s="27">
        <v>0</v>
      </c>
      <c r="P1050" s="25">
        <v>700</v>
      </c>
      <c r="Q1050" s="25">
        <v>560</v>
      </c>
      <c r="R1050" s="25" t="s">
        <v>87</v>
      </c>
      <c r="S1050" s="25" t="s">
        <v>89</v>
      </c>
      <c r="T1050" s="25">
        <v>0</v>
      </c>
      <c r="U1050" s="25">
        <v>0</v>
      </c>
      <c r="V1050" s="25">
        <v>0</v>
      </c>
      <c r="W1050" s="25">
        <v>0</v>
      </c>
      <c r="X1050" s="25">
        <v>1</v>
      </c>
      <c r="Y1050" s="25">
        <v>0</v>
      </c>
      <c r="Z1050" s="25">
        <v>0</v>
      </c>
      <c r="AA1050" s="25">
        <v>0</v>
      </c>
      <c r="AB1050" s="25">
        <v>0</v>
      </c>
      <c r="AC1050" s="25">
        <v>0</v>
      </c>
      <c r="AD1050" s="25">
        <v>0</v>
      </c>
      <c r="AE1050" s="25">
        <v>1</v>
      </c>
      <c r="AF1050" s="25" t="s">
        <v>132</v>
      </c>
    </row>
    <row r="1051" spans="1:32" s="25" customFormat="1" x14ac:dyDescent="0.25">
      <c r="A1051" s="25" t="s">
        <v>187</v>
      </c>
      <c r="B1051" s="25">
        <f t="shared" si="30"/>
        <v>8060</v>
      </c>
      <c r="C1051" s="25" t="s">
        <v>12</v>
      </c>
      <c r="D1051" s="25">
        <v>0</v>
      </c>
      <c r="E1051" s="25">
        <v>0</v>
      </c>
      <c r="F1051" s="25">
        <v>256</v>
      </c>
      <c r="G1051" s="25">
        <v>222</v>
      </c>
      <c r="H1051" s="27">
        <v>0</v>
      </c>
      <c r="I1051" s="27">
        <v>0</v>
      </c>
      <c r="J1051" s="27">
        <v>0</v>
      </c>
      <c r="K1051" s="27">
        <v>0</v>
      </c>
      <c r="L1051" s="27">
        <v>1</v>
      </c>
      <c r="M1051" s="27">
        <v>0</v>
      </c>
      <c r="N1051" s="27">
        <v>0</v>
      </c>
      <c r="O1051" s="27">
        <v>0</v>
      </c>
      <c r="P1051" s="25">
        <v>700</v>
      </c>
      <c r="Q1051" s="25">
        <v>560</v>
      </c>
      <c r="R1051" s="25" t="s">
        <v>87</v>
      </c>
      <c r="S1051" s="25" t="s">
        <v>89</v>
      </c>
      <c r="T1051" s="25">
        <v>0</v>
      </c>
      <c r="U1051" s="25">
        <v>0</v>
      </c>
      <c r="V1051" s="25">
        <v>0</v>
      </c>
      <c r="W1051" s="25">
        <v>0</v>
      </c>
      <c r="X1051" s="25">
        <v>1</v>
      </c>
      <c r="Y1051" s="25">
        <v>0</v>
      </c>
      <c r="Z1051" s="25">
        <v>0</v>
      </c>
      <c r="AA1051" s="25">
        <v>0</v>
      </c>
      <c r="AB1051" s="25">
        <v>0</v>
      </c>
      <c r="AC1051" s="25">
        <v>0</v>
      </c>
      <c r="AD1051" s="25">
        <v>0</v>
      </c>
      <c r="AE1051" s="25">
        <v>1</v>
      </c>
      <c r="AF1051" s="25" t="s">
        <v>132</v>
      </c>
    </row>
    <row r="1052" spans="1:32" s="25" customFormat="1" x14ac:dyDescent="0.25">
      <c r="A1052" s="25" t="s">
        <v>187</v>
      </c>
      <c r="B1052" s="25">
        <f t="shared" si="30"/>
        <v>8070</v>
      </c>
      <c r="C1052" s="25" t="s">
        <v>12</v>
      </c>
      <c r="D1052" s="25">
        <v>0</v>
      </c>
      <c r="E1052" s="25">
        <v>0</v>
      </c>
      <c r="F1052" s="25">
        <v>256</v>
      </c>
      <c r="G1052" s="25">
        <v>222</v>
      </c>
      <c r="H1052" s="27">
        <v>0</v>
      </c>
      <c r="I1052" s="27">
        <v>0</v>
      </c>
      <c r="J1052" s="27">
        <v>0</v>
      </c>
      <c r="K1052" s="27">
        <v>0</v>
      </c>
      <c r="L1052" s="27">
        <v>1</v>
      </c>
      <c r="M1052" s="27">
        <v>0</v>
      </c>
      <c r="N1052" s="27">
        <v>0</v>
      </c>
      <c r="O1052" s="27">
        <v>0</v>
      </c>
      <c r="P1052" s="25">
        <v>700</v>
      </c>
      <c r="Q1052" s="25">
        <v>560</v>
      </c>
      <c r="R1052" s="25" t="s">
        <v>87</v>
      </c>
      <c r="S1052" s="25" t="s">
        <v>89</v>
      </c>
      <c r="T1052" s="25">
        <v>0</v>
      </c>
      <c r="U1052" s="25">
        <v>0</v>
      </c>
      <c r="V1052" s="25">
        <v>0</v>
      </c>
      <c r="W1052" s="25">
        <v>0</v>
      </c>
      <c r="X1052" s="25">
        <v>1</v>
      </c>
      <c r="Y1052" s="25">
        <v>0</v>
      </c>
      <c r="Z1052" s="25">
        <v>0</v>
      </c>
      <c r="AA1052" s="25">
        <v>0</v>
      </c>
      <c r="AB1052" s="25">
        <v>0</v>
      </c>
      <c r="AC1052" s="25">
        <v>0</v>
      </c>
      <c r="AD1052" s="25">
        <v>0</v>
      </c>
      <c r="AE1052" s="25">
        <v>1</v>
      </c>
      <c r="AF1052" s="25" t="s">
        <v>132</v>
      </c>
    </row>
    <row r="1053" spans="1:32" s="25" customFormat="1" x14ac:dyDescent="0.25">
      <c r="A1053" s="25" t="s">
        <v>187</v>
      </c>
      <c r="B1053" s="25">
        <f t="shared" si="30"/>
        <v>8080</v>
      </c>
      <c r="C1053" s="25" t="s">
        <v>12</v>
      </c>
      <c r="D1053" s="25">
        <v>0</v>
      </c>
      <c r="E1053" s="25">
        <v>0</v>
      </c>
      <c r="F1053" s="25">
        <v>256</v>
      </c>
      <c r="G1053" s="25">
        <v>222</v>
      </c>
      <c r="H1053" s="27">
        <v>0</v>
      </c>
      <c r="I1053" s="27">
        <v>0</v>
      </c>
      <c r="J1053" s="27">
        <v>0</v>
      </c>
      <c r="K1053" s="27">
        <v>0</v>
      </c>
      <c r="L1053" s="27">
        <v>1</v>
      </c>
      <c r="M1053" s="27">
        <v>0</v>
      </c>
      <c r="N1053" s="27">
        <v>0</v>
      </c>
      <c r="O1053" s="27">
        <v>0</v>
      </c>
      <c r="P1053" s="25">
        <v>700</v>
      </c>
      <c r="Q1053" s="25">
        <v>560</v>
      </c>
      <c r="R1053" s="25" t="s">
        <v>87</v>
      </c>
      <c r="S1053" s="25" t="s">
        <v>89</v>
      </c>
      <c r="T1053" s="25">
        <v>0</v>
      </c>
      <c r="U1053" s="25">
        <v>0</v>
      </c>
      <c r="V1053" s="25">
        <v>0</v>
      </c>
      <c r="W1053" s="25">
        <v>0</v>
      </c>
      <c r="X1053" s="25">
        <v>1</v>
      </c>
      <c r="Y1053" s="25">
        <v>0</v>
      </c>
      <c r="Z1053" s="25">
        <v>0</v>
      </c>
      <c r="AA1053" s="25">
        <v>0</v>
      </c>
      <c r="AB1053" s="25">
        <v>0</v>
      </c>
      <c r="AC1053" s="25">
        <v>0</v>
      </c>
      <c r="AD1053" s="25">
        <v>0</v>
      </c>
      <c r="AE1053" s="25">
        <v>1</v>
      </c>
      <c r="AF1053" s="25" t="s">
        <v>132</v>
      </c>
    </row>
    <row r="1054" spans="1:32" s="25" customFormat="1" x14ac:dyDescent="0.25">
      <c r="A1054" s="25" t="s">
        <v>187</v>
      </c>
      <c r="B1054" s="25">
        <f t="shared" si="30"/>
        <v>8090</v>
      </c>
      <c r="C1054" s="25" t="s">
        <v>12</v>
      </c>
      <c r="D1054" s="25">
        <v>0</v>
      </c>
      <c r="E1054" s="25">
        <v>0</v>
      </c>
      <c r="F1054" s="25">
        <v>256</v>
      </c>
      <c r="G1054" s="25">
        <v>222</v>
      </c>
      <c r="H1054" s="27">
        <v>0</v>
      </c>
      <c r="I1054" s="27">
        <v>0</v>
      </c>
      <c r="J1054" s="27">
        <v>0</v>
      </c>
      <c r="K1054" s="27">
        <v>0</v>
      </c>
      <c r="L1054" s="27">
        <v>1</v>
      </c>
      <c r="M1054" s="27">
        <v>0</v>
      </c>
      <c r="N1054" s="27">
        <v>0</v>
      </c>
      <c r="O1054" s="27">
        <v>0</v>
      </c>
      <c r="P1054" s="25">
        <v>700</v>
      </c>
      <c r="Q1054" s="25">
        <v>560</v>
      </c>
      <c r="R1054" s="25" t="s">
        <v>87</v>
      </c>
      <c r="S1054" s="25" t="s">
        <v>89</v>
      </c>
      <c r="T1054" s="25">
        <v>0</v>
      </c>
      <c r="U1054" s="25">
        <v>0</v>
      </c>
      <c r="V1054" s="25">
        <v>0</v>
      </c>
      <c r="W1054" s="25">
        <v>0</v>
      </c>
      <c r="X1054" s="25">
        <v>1</v>
      </c>
      <c r="Y1054" s="25">
        <v>0</v>
      </c>
      <c r="Z1054" s="25">
        <v>0</v>
      </c>
      <c r="AA1054" s="25">
        <v>0</v>
      </c>
      <c r="AB1054" s="25">
        <v>0</v>
      </c>
      <c r="AC1054" s="25">
        <v>0</v>
      </c>
      <c r="AD1054" s="25">
        <v>0</v>
      </c>
      <c r="AE1054" s="25">
        <v>1</v>
      </c>
      <c r="AF1054" s="25" t="s">
        <v>132</v>
      </c>
    </row>
    <row r="1055" spans="1:32" s="25" customFormat="1" x14ac:dyDescent="0.25">
      <c r="A1055" s="25" t="s">
        <v>187</v>
      </c>
      <c r="B1055" s="25">
        <f t="shared" si="30"/>
        <v>8100</v>
      </c>
      <c r="C1055" s="25" t="s">
        <v>12</v>
      </c>
      <c r="D1055" s="25">
        <v>0</v>
      </c>
      <c r="E1055" s="25">
        <v>0</v>
      </c>
      <c r="F1055" s="25">
        <v>256</v>
      </c>
      <c r="G1055" s="25">
        <v>222</v>
      </c>
      <c r="H1055" s="27">
        <v>0</v>
      </c>
      <c r="I1055" s="27">
        <v>0</v>
      </c>
      <c r="J1055" s="27">
        <v>0</v>
      </c>
      <c r="K1055" s="27">
        <v>0</v>
      </c>
      <c r="L1055" s="27">
        <v>1</v>
      </c>
      <c r="M1055" s="27">
        <v>0</v>
      </c>
      <c r="N1055" s="27">
        <v>0</v>
      </c>
      <c r="O1055" s="27">
        <v>0</v>
      </c>
      <c r="P1055" s="25">
        <v>700</v>
      </c>
      <c r="Q1055" s="25">
        <v>560</v>
      </c>
      <c r="R1055" s="25" t="s">
        <v>87</v>
      </c>
      <c r="S1055" s="25" t="s">
        <v>89</v>
      </c>
      <c r="T1055" s="25">
        <v>0</v>
      </c>
      <c r="U1055" s="25">
        <v>0</v>
      </c>
      <c r="V1055" s="25">
        <v>0</v>
      </c>
      <c r="W1055" s="25">
        <v>0</v>
      </c>
      <c r="X1055" s="25">
        <v>1</v>
      </c>
      <c r="Y1055" s="25">
        <v>0</v>
      </c>
      <c r="Z1055" s="25">
        <v>0</v>
      </c>
      <c r="AA1055" s="25">
        <v>0</v>
      </c>
      <c r="AB1055" s="25">
        <v>0</v>
      </c>
      <c r="AC1055" s="25">
        <v>0</v>
      </c>
      <c r="AD1055" s="25">
        <v>0</v>
      </c>
      <c r="AE1055" s="25">
        <v>1</v>
      </c>
      <c r="AF1055" s="25" t="s">
        <v>132</v>
      </c>
    </row>
    <row r="1056" spans="1:32" s="25" customFormat="1" x14ac:dyDescent="0.25">
      <c r="A1056" s="25" t="s">
        <v>187</v>
      </c>
      <c r="B1056" s="25">
        <f t="shared" si="30"/>
        <v>8110</v>
      </c>
      <c r="C1056" s="25" t="s">
        <v>12</v>
      </c>
      <c r="D1056" s="25">
        <v>0</v>
      </c>
      <c r="E1056" s="25">
        <v>0</v>
      </c>
      <c r="F1056" s="25">
        <v>256</v>
      </c>
      <c r="G1056" s="25">
        <v>222</v>
      </c>
      <c r="H1056" s="27">
        <v>0</v>
      </c>
      <c r="I1056" s="27">
        <v>0</v>
      </c>
      <c r="J1056" s="27">
        <v>0</v>
      </c>
      <c r="K1056" s="27">
        <v>0</v>
      </c>
      <c r="L1056" s="27">
        <v>1</v>
      </c>
      <c r="M1056" s="27">
        <v>0</v>
      </c>
      <c r="N1056" s="27">
        <v>0</v>
      </c>
      <c r="O1056" s="27">
        <v>0</v>
      </c>
      <c r="P1056" s="25">
        <v>700</v>
      </c>
      <c r="Q1056" s="25">
        <v>560</v>
      </c>
      <c r="R1056" s="25" t="s">
        <v>87</v>
      </c>
      <c r="S1056" s="25" t="s">
        <v>89</v>
      </c>
      <c r="T1056" s="25">
        <v>0</v>
      </c>
      <c r="U1056" s="25">
        <v>0</v>
      </c>
      <c r="V1056" s="25">
        <v>0</v>
      </c>
      <c r="W1056" s="25">
        <v>0</v>
      </c>
      <c r="X1056" s="25">
        <v>1</v>
      </c>
      <c r="Y1056" s="25">
        <v>0</v>
      </c>
      <c r="Z1056" s="25">
        <v>0</v>
      </c>
      <c r="AA1056" s="25">
        <v>0</v>
      </c>
      <c r="AB1056" s="25">
        <v>0</v>
      </c>
      <c r="AC1056" s="25">
        <v>0</v>
      </c>
      <c r="AD1056" s="25">
        <v>0</v>
      </c>
      <c r="AE1056" s="25">
        <v>1</v>
      </c>
      <c r="AF1056" s="25" t="s">
        <v>132</v>
      </c>
    </row>
    <row r="1057" spans="1:32" s="25" customFormat="1" x14ac:dyDescent="0.25">
      <c r="A1057" s="25" t="s">
        <v>187</v>
      </c>
      <c r="B1057" s="25">
        <f t="shared" si="30"/>
        <v>8120</v>
      </c>
      <c r="C1057" s="25" t="s">
        <v>12</v>
      </c>
      <c r="D1057" s="25">
        <v>0</v>
      </c>
      <c r="E1057" s="25">
        <v>0</v>
      </c>
      <c r="F1057" s="25">
        <v>256</v>
      </c>
      <c r="G1057" s="25">
        <v>222</v>
      </c>
      <c r="H1057" s="27">
        <v>0</v>
      </c>
      <c r="I1057" s="27">
        <v>0</v>
      </c>
      <c r="J1057" s="27">
        <v>0</v>
      </c>
      <c r="K1057" s="27">
        <v>0</v>
      </c>
      <c r="L1057" s="27">
        <v>1</v>
      </c>
      <c r="M1057" s="27">
        <v>0</v>
      </c>
      <c r="N1057" s="27">
        <v>0</v>
      </c>
      <c r="O1057" s="27">
        <v>0</v>
      </c>
      <c r="P1057" s="25">
        <v>700</v>
      </c>
      <c r="Q1057" s="25">
        <v>560</v>
      </c>
      <c r="R1057" s="25" t="s">
        <v>87</v>
      </c>
      <c r="S1057" s="25" t="s">
        <v>89</v>
      </c>
      <c r="T1057" s="25">
        <v>0</v>
      </c>
      <c r="U1057" s="25">
        <v>0</v>
      </c>
      <c r="V1057" s="25">
        <v>0</v>
      </c>
      <c r="W1057" s="25">
        <v>0</v>
      </c>
      <c r="X1057" s="25">
        <v>1</v>
      </c>
      <c r="Y1057" s="25">
        <v>0</v>
      </c>
      <c r="Z1057" s="25">
        <v>0</v>
      </c>
      <c r="AA1057" s="25">
        <v>0</v>
      </c>
      <c r="AB1057" s="25">
        <v>0</v>
      </c>
      <c r="AC1057" s="25">
        <v>0</v>
      </c>
      <c r="AD1057" s="25">
        <v>0</v>
      </c>
      <c r="AE1057" s="25">
        <v>1</v>
      </c>
      <c r="AF1057" s="25" t="s">
        <v>132</v>
      </c>
    </row>
    <row r="1058" spans="1:32" s="25" customFormat="1" x14ac:dyDescent="0.25">
      <c r="A1058" s="25" t="s">
        <v>187</v>
      </c>
      <c r="B1058" s="25">
        <f t="shared" si="30"/>
        <v>8130</v>
      </c>
      <c r="C1058" s="25" t="s">
        <v>12</v>
      </c>
      <c r="D1058" s="25">
        <v>0</v>
      </c>
      <c r="E1058" s="25">
        <v>0</v>
      </c>
      <c r="F1058" s="25">
        <v>256</v>
      </c>
      <c r="G1058" s="25">
        <v>222</v>
      </c>
      <c r="H1058" s="27">
        <v>0</v>
      </c>
      <c r="I1058" s="27">
        <v>0</v>
      </c>
      <c r="J1058" s="27">
        <v>0</v>
      </c>
      <c r="K1058" s="27">
        <v>0</v>
      </c>
      <c r="L1058" s="27">
        <v>1</v>
      </c>
      <c r="M1058" s="27">
        <v>0</v>
      </c>
      <c r="N1058" s="27">
        <v>0</v>
      </c>
      <c r="O1058" s="27">
        <v>0</v>
      </c>
      <c r="P1058" s="25">
        <v>700</v>
      </c>
      <c r="Q1058" s="25">
        <v>560</v>
      </c>
      <c r="R1058" s="25" t="s">
        <v>87</v>
      </c>
      <c r="S1058" s="25" t="s">
        <v>89</v>
      </c>
      <c r="T1058" s="25">
        <v>0</v>
      </c>
      <c r="U1058" s="25">
        <v>0</v>
      </c>
      <c r="V1058" s="25">
        <v>0</v>
      </c>
      <c r="W1058" s="25">
        <v>0</v>
      </c>
      <c r="X1058" s="25">
        <v>1</v>
      </c>
      <c r="Y1058" s="25">
        <v>0</v>
      </c>
      <c r="Z1058" s="25">
        <v>0</v>
      </c>
      <c r="AA1058" s="25">
        <v>0</v>
      </c>
      <c r="AB1058" s="25">
        <v>0</v>
      </c>
      <c r="AC1058" s="25">
        <v>0</v>
      </c>
      <c r="AD1058" s="25">
        <v>0</v>
      </c>
      <c r="AE1058" s="25">
        <v>1</v>
      </c>
      <c r="AF1058" s="25" t="s">
        <v>132</v>
      </c>
    </row>
    <row r="1059" spans="1:32" s="25" customFormat="1" x14ac:dyDescent="0.25">
      <c r="A1059" s="25" t="s">
        <v>187</v>
      </c>
      <c r="B1059" s="25">
        <f t="shared" si="30"/>
        <v>8140</v>
      </c>
      <c r="C1059" s="25" t="s">
        <v>12</v>
      </c>
      <c r="D1059" s="25">
        <v>0</v>
      </c>
      <c r="E1059" s="25">
        <v>0</v>
      </c>
      <c r="F1059" s="25">
        <v>256</v>
      </c>
      <c r="G1059" s="25">
        <v>222</v>
      </c>
      <c r="H1059" s="27">
        <v>0</v>
      </c>
      <c r="I1059" s="27">
        <v>0</v>
      </c>
      <c r="J1059" s="27">
        <v>0</v>
      </c>
      <c r="K1059" s="27">
        <v>0</v>
      </c>
      <c r="L1059" s="27">
        <v>1</v>
      </c>
      <c r="M1059" s="27">
        <v>0</v>
      </c>
      <c r="N1059" s="27">
        <v>0</v>
      </c>
      <c r="O1059" s="27">
        <v>0</v>
      </c>
      <c r="P1059" s="25">
        <v>700</v>
      </c>
      <c r="Q1059" s="25">
        <v>560</v>
      </c>
      <c r="R1059" s="25" t="s">
        <v>87</v>
      </c>
      <c r="S1059" s="25" t="s">
        <v>89</v>
      </c>
      <c r="T1059" s="25">
        <v>0</v>
      </c>
      <c r="U1059" s="25">
        <v>0</v>
      </c>
      <c r="V1059" s="25">
        <v>0</v>
      </c>
      <c r="W1059" s="25">
        <v>0</v>
      </c>
      <c r="X1059" s="25">
        <v>1</v>
      </c>
      <c r="Y1059" s="25">
        <v>0</v>
      </c>
      <c r="Z1059" s="25">
        <v>0</v>
      </c>
      <c r="AA1059" s="25">
        <v>0</v>
      </c>
      <c r="AB1059" s="25">
        <v>0</v>
      </c>
      <c r="AC1059" s="25">
        <v>0</v>
      </c>
      <c r="AD1059" s="25">
        <v>0</v>
      </c>
      <c r="AE1059" s="25">
        <v>1</v>
      </c>
      <c r="AF1059" s="25" t="s">
        <v>132</v>
      </c>
    </row>
    <row r="1060" spans="1:32" x14ac:dyDescent="0.25">
      <c r="A1060" t="s">
        <v>187</v>
      </c>
      <c r="B1060" s="25">
        <f t="shared" si="30"/>
        <v>8150</v>
      </c>
      <c r="C1060" t="s">
        <v>12</v>
      </c>
      <c r="D1060">
        <v>0</v>
      </c>
      <c r="E1060">
        <v>0</v>
      </c>
      <c r="F1060">
        <v>256</v>
      </c>
      <c r="G1060">
        <v>222</v>
      </c>
      <c r="H1060" s="27">
        <v>0</v>
      </c>
      <c r="I1060" s="27">
        <v>0</v>
      </c>
      <c r="J1060" s="27">
        <v>0</v>
      </c>
      <c r="K1060" s="27">
        <v>0</v>
      </c>
      <c r="L1060" s="27">
        <v>1</v>
      </c>
      <c r="M1060" s="27">
        <v>0</v>
      </c>
      <c r="N1060" s="27">
        <v>0</v>
      </c>
      <c r="O1060" s="27">
        <v>0</v>
      </c>
      <c r="P1060">
        <v>700</v>
      </c>
      <c r="Q1060">
        <v>560</v>
      </c>
      <c r="R1060" t="s">
        <v>87</v>
      </c>
      <c r="S1060" t="s">
        <v>89</v>
      </c>
      <c r="T1060">
        <v>0</v>
      </c>
      <c r="U1060">
        <v>0</v>
      </c>
      <c r="V1060">
        <v>0</v>
      </c>
      <c r="W1060">
        <v>0</v>
      </c>
      <c r="X1060">
        <v>1</v>
      </c>
      <c r="Y1060">
        <v>0</v>
      </c>
      <c r="Z1060">
        <v>0</v>
      </c>
      <c r="AA1060">
        <v>0</v>
      </c>
      <c r="AB1060">
        <v>0</v>
      </c>
      <c r="AC1060">
        <v>0</v>
      </c>
      <c r="AD1060">
        <v>0</v>
      </c>
      <c r="AE1060">
        <v>1</v>
      </c>
      <c r="AF1060" t="s">
        <v>132</v>
      </c>
    </row>
    <row r="1061" spans="1:32" x14ac:dyDescent="0.25">
      <c r="A1061" t="s">
        <v>187</v>
      </c>
      <c r="B1061" s="25">
        <f t="shared" si="30"/>
        <v>8160</v>
      </c>
      <c r="C1061" t="s">
        <v>12</v>
      </c>
      <c r="D1061" t="s">
        <v>13</v>
      </c>
      <c r="E1061" t="s">
        <v>13</v>
      </c>
      <c r="F1061" t="s">
        <v>13</v>
      </c>
      <c r="G1061" t="s">
        <v>13</v>
      </c>
      <c r="H1061" s="27" t="s">
        <v>13</v>
      </c>
      <c r="I1061" s="27" t="s">
        <v>13</v>
      </c>
      <c r="J1061" s="27" t="s">
        <v>13</v>
      </c>
      <c r="K1061" s="27" t="s">
        <v>13</v>
      </c>
      <c r="L1061" s="27" t="s">
        <v>13</v>
      </c>
      <c r="M1061" s="27" t="s">
        <v>13</v>
      </c>
      <c r="N1061" s="27" t="s">
        <v>13</v>
      </c>
      <c r="O1061" s="27" t="s">
        <v>13</v>
      </c>
      <c r="P1061">
        <v>700</v>
      </c>
      <c r="Q1061">
        <v>560</v>
      </c>
      <c r="R1061" t="s">
        <v>87</v>
      </c>
      <c r="S1061" t="s">
        <v>89</v>
      </c>
      <c r="T1061">
        <v>0</v>
      </c>
      <c r="U1061">
        <v>0</v>
      </c>
      <c r="V1061">
        <v>0</v>
      </c>
      <c r="W1061">
        <v>0</v>
      </c>
      <c r="X1061">
        <v>1</v>
      </c>
      <c r="Y1061">
        <v>0</v>
      </c>
      <c r="Z1061">
        <v>0</v>
      </c>
      <c r="AA1061">
        <v>0</v>
      </c>
      <c r="AB1061">
        <v>0</v>
      </c>
      <c r="AC1061">
        <v>0</v>
      </c>
      <c r="AD1061">
        <v>0</v>
      </c>
      <c r="AE1061">
        <v>1</v>
      </c>
      <c r="AF1061" t="s">
        <v>128</v>
      </c>
    </row>
    <row r="1062" spans="1:32" x14ac:dyDescent="0.25">
      <c r="A1062" t="s">
        <v>187</v>
      </c>
      <c r="B1062" s="25">
        <f t="shared" si="30"/>
        <v>8170</v>
      </c>
      <c r="C1062" t="s">
        <v>12</v>
      </c>
      <c r="D1062" t="s">
        <v>13</v>
      </c>
      <c r="E1062" t="s">
        <v>13</v>
      </c>
      <c r="F1062" t="s">
        <v>13</v>
      </c>
      <c r="G1062" t="s">
        <v>13</v>
      </c>
      <c r="H1062" s="27" t="s">
        <v>13</v>
      </c>
      <c r="I1062" s="27" t="s">
        <v>13</v>
      </c>
      <c r="J1062" s="27" t="s">
        <v>13</v>
      </c>
      <c r="K1062" s="27" t="s">
        <v>13</v>
      </c>
      <c r="L1062" s="27" t="s">
        <v>13</v>
      </c>
      <c r="M1062" s="27" t="s">
        <v>13</v>
      </c>
      <c r="N1062" s="27" t="s">
        <v>13</v>
      </c>
      <c r="O1062" s="27" t="s">
        <v>13</v>
      </c>
      <c r="P1062">
        <v>700</v>
      </c>
      <c r="Q1062">
        <v>560</v>
      </c>
      <c r="R1062" t="s">
        <v>87</v>
      </c>
      <c r="S1062" t="s">
        <v>89</v>
      </c>
      <c r="T1062">
        <v>0</v>
      </c>
      <c r="U1062">
        <v>0</v>
      </c>
      <c r="V1062">
        <v>0</v>
      </c>
      <c r="W1062">
        <v>0</v>
      </c>
      <c r="X1062">
        <v>1</v>
      </c>
      <c r="Y1062">
        <v>0</v>
      </c>
      <c r="Z1062">
        <v>0</v>
      </c>
      <c r="AA1062">
        <v>0</v>
      </c>
      <c r="AB1062">
        <v>0</v>
      </c>
      <c r="AC1062">
        <v>0</v>
      </c>
      <c r="AD1062">
        <v>0</v>
      </c>
      <c r="AE1062">
        <v>1</v>
      </c>
      <c r="AF1062" t="s">
        <v>129</v>
      </c>
    </row>
    <row r="1063" spans="1:32" x14ac:dyDescent="0.25">
      <c r="A1063" t="s">
        <v>187</v>
      </c>
      <c r="B1063" s="25">
        <f t="shared" si="30"/>
        <v>8180</v>
      </c>
      <c r="C1063" t="s">
        <v>12</v>
      </c>
      <c r="D1063" t="s">
        <v>13</v>
      </c>
      <c r="E1063" t="s">
        <v>13</v>
      </c>
      <c r="F1063" t="s">
        <v>13</v>
      </c>
      <c r="G1063" t="s">
        <v>13</v>
      </c>
      <c r="H1063" s="27" t="s">
        <v>13</v>
      </c>
      <c r="I1063" s="27" t="s">
        <v>13</v>
      </c>
      <c r="J1063" s="27" t="s">
        <v>13</v>
      </c>
      <c r="K1063" s="27" t="s">
        <v>13</v>
      </c>
      <c r="L1063" s="27" t="s">
        <v>13</v>
      </c>
      <c r="M1063" s="27" t="s">
        <v>13</v>
      </c>
      <c r="N1063" s="27" t="s">
        <v>13</v>
      </c>
      <c r="O1063" s="27" t="s">
        <v>13</v>
      </c>
      <c r="P1063">
        <v>700</v>
      </c>
      <c r="Q1063">
        <v>560</v>
      </c>
      <c r="R1063" t="s">
        <v>87</v>
      </c>
      <c r="S1063" t="s">
        <v>89</v>
      </c>
      <c r="T1063">
        <v>0</v>
      </c>
      <c r="U1063">
        <v>0</v>
      </c>
      <c r="V1063">
        <v>0</v>
      </c>
      <c r="W1063">
        <v>0</v>
      </c>
      <c r="X1063">
        <v>1</v>
      </c>
      <c r="Y1063">
        <v>0</v>
      </c>
      <c r="Z1063">
        <v>0</v>
      </c>
      <c r="AA1063">
        <v>0</v>
      </c>
      <c r="AB1063">
        <v>0</v>
      </c>
      <c r="AC1063">
        <v>0</v>
      </c>
      <c r="AD1063">
        <v>0</v>
      </c>
      <c r="AE1063">
        <v>1</v>
      </c>
      <c r="AF1063" t="s">
        <v>130</v>
      </c>
    </row>
    <row r="1064" spans="1:32" x14ac:dyDescent="0.25">
      <c r="A1064" t="s">
        <v>187</v>
      </c>
      <c r="B1064" s="25">
        <f t="shared" si="30"/>
        <v>8190</v>
      </c>
      <c r="C1064" t="s">
        <v>12</v>
      </c>
      <c r="D1064">
        <v>0</v>
      </c>
      <c r="E1064">
        <v>0</v>
      </c>
      <c r="F1064">
        <v>256</v>
      </c>
      <c r="G1064">
        <v>222</v>
      </c>
      <c r="H1064" s="27">
        <v>0</v>
      </c>
      <c r="I1064" s="27">
        <v>0</v>
      </c>
      <c r="J1064" s="27">
        <v>0</v>
      </c>
      <c r="K1064" s="27">
        <v>0</v>
      </c>
      <c r="L1064" s="27">
        <v>1</v>
      </c>
      <c r="M1064" s="27">
        <v>0</v>
      </c>
      <c r="N1064" s="27">
        <v>0</v>
      </c>
      <c r="O1064" s="27">
        <v>0</v>
      </c>
      <c r="P1064">
        <v>700</v>
      </c>
      <c r="Q1064">
        <v>560</v>
      </c>
      <c r="R1064" t="s">
        <v>87</v>
      </c>
      <c r="S1064" t="s">
        <v>89</v>
      </c>
      <c r="T1064">
        <v>0</v>
      </c>
      <c r="U1064">
        <v>0</v>
      </c>
      <c r="V1064">
        <v>0</v>
      </c>
      <c r="W1064">
        <v>0</v>
      </c>
      <c r="X1064">
        <v>1</v>
      </c>
      <c r="Y1064">
        <v>0</v>
      </c>
      <c r="Z1064">
        <v>0</v>
      </c>
      <c r="AA1064">
        <v>0</v>
      </c>
      <c r="AB1064">
        <v>0</v>
      </c>
      <c r="AC1064">
        <v>0</v>
      </c>
      <c r="AD1064">
        <v>0</v>
      </c>
      <c r="AE1064">
        <v>1</v>
      </c>
      <c r="AF1064" t="s">
        <v>131</v>
      </c>
    </row>
    <row r="1065" spans="1:32" s="25" customFormat="1" x14ac:dyDescent="0.25">
      <c r="A1065" s="25" t="s">
        <v>187</v>
      </c>
      <c r="B1065" s="25">
        <f t="shared" ref="B1065:B1115" si="31">B1064+10</f>
        <v>8200</v>
      </c>
      <c r="C1065" s="25" t="s">
        <v>12</v>
      </c>
      <c r="D1065" s="25">
        <v>0</v>
      </c>
      <c r="E1065" s="25">
        <v>0</v>
      </c>
      <c r="F1065" s="25">
        <v>256</v>
      </c>
      <c r="G1065" s="25">
        <v>222</v>
      </c>
      <c r="H1065" s="27">
        <v>0</v>
      </c>
      <c r="I1065" s="27">
        <v>0</v>
      </c>
      <c r="J1065" s="27">
        <v>0</v>
      </c>
      <c r="K1065" s="27">
        <v>0</v>
      </c>
      <c r="L1065" s="27">
        <v>1</v>
      </c>
      <c r="M1065" s="27">
        <v>0</v>
      </c>
      <c r="N1065" s="27">
        <v>0</v>
      </c>
      <c r="O1065" s="27">
        <v>0</v>
      </c>
      <c r="P1065" s="25">
        <v>700</v>
      </c>
      <c r="Q1065" s="25">
        <v>560</v>
      </c>
      <c r="R1065" s="25" t="s">
        <v>87</v>
      </c>
      <c r="S1065" s="25" t="s">
        <v>89</v>
      </c>
      <c r="T1065" s="25">
        <v>0</v>
      </c>
      <c r="U1065" s="25">
        <v>0</v>
      </c>
      <c r="V1065" s="25">
        <v>0</v>
      </c>
      <c r="W1065" s="25">
        <v>0</v>
      </c>
      <c r="X1065" s="25">
        <v>1</v>
      </c>
      <c r="Y1065" s="25">
        <v>0</v>
      </c>
      <c r="Z1065" s="25">
        <v>0</v>
      </c>
      <c r="AA1065" s="25">
        <v>0</v>
      </c>
      <c r="AB1065" s="25">
        <v>0</v>
      </c>
      <c r="AC1065" s="25">
        <v>0</v>
      </c>
      <c r="AD1065" s="25">
        <v>0</v>
      </c>
      <c r="AE1065" s="25">
        <v>1</v>
      </c>
      <c r="AF1065" s="25" t="s">
        <v>131</v>
      </c>
    </row>
    <row r="1066" spans="1:32" s="25" customFormat="1" x14ac:dyDescent="0.25">
      <c r="A1066" s="25" t="s">
        <v>187</v>
      </c>
      <c r="B1066" s="25">
        <f t="shared" si="31"/>
        <v>8210</v>
      </c>
      <c r="C1066" s="25" t="s">
        <v>12</v>
      </c>
      <c r="D1066" s="25">
        <v>0</v>
      </c>
      <c r="E1066" s="25">
        <v>0</v>
      </c>
      <c r="F1066" s="25">
        <v>256</v>
      </c>
      <c r="G1066" s="25">
        <v>222</v>
      </c>
      <c r="H1066" s="27">
        <v>0</v>
      </c>
      <c r="I1066" s="27">
        <v>0</v>
      </c>
      <c r="J1066" s="27">
        <v>0</v>
      </c>
      <c r="K1066" s="27">
        <v>0</v>
      </c>
      <c r="L1066" s="27">
        <v>1</v>
      </c>
      <c r="M1066" s="27">
        <v>0</v>
      </c>
      <c r="N1066" s="27">
        <v>0</v>
      </c>
      <c r="O1066" s="27">
        <v>0</v>
      </c>
      <c r="P1066" s="25">
        <v>700</v>
      </c>
      <c r="Q1066" s="25">
        <v>560</v>
      </c>
      <c r="R1066" s="25" t="s">
        <v>87</v>
      </c>
      <c r="S1066" s="25" t="s">
        <v>89</v>
      </c>
      <c r="T1066" s="25">
        <v>0</v>
      </c>
      <c r="U1066" s="25">
        <v>0</v>
      </c>
      <c r="V1066" s="25">
        <v>0</v>
      </c>
      <c r="W1066" s="25">
        <v>0</v>
      </c>
      <c r="X1066" s="25">
        <v>1</v>
      </c>
      <c r="Y1066" s="25">
        <v>0</v>
      </c>
      <c r="Z1066" s="25">
        <v>0</v>
      </c>
      <c r="AA1066" s="25">
        <v>0</v>
      </c>
      <c r="AB1066" s="25">
        <v>0</v>
      </c>
      <c r="AC1066" s="25">
        <v>0</v>
      </c>
      <c r="AD1066" s="25">
        <v>0</v>
      </c>
      <c r="AE1066" s="25">
        <v>1</v>
      </c>
      <c r="AF1066" s="25" t="s">
        <v>131</v>
      </c>
    </row>
    <row r="1067" spans="1:32" s="25" customFormat="1" x14ac:dyDescent="0.25">
      <c r="A1067" s="25" t="s">
        <v>187</v>
      </c>
      <c r="B1067" s="25">
        <f t="shared" si="31"/>
        <v>8220</v>
      </c>
      <c r="C1067" s="25" t="s">
        <v>12</v>
      </c>
      <c r="D1067" s="25">
        <v>0</v>
      </c>
      <c r="E1067" s="25">
        <v>0</v>
      </c>
      <c r="F1067" s="25">
        <v>256</v>
      </c>
      <c r="G1067" s="25">
        <v>222</v>
      </c>
      <c r="H1067" s="27">
        <v>0</v>
      </c>
      <c r="I1067" s="27">
        <v>0</v>
      </c>
      <c r="J1067" s="27">
        <v>0</v>
      </c>
      <c r="K1067" s="27">
        <v>0</v>
      </c>
      <c r="L1067" s="27">
        <v>1</v>
      </c>
      <c r="M1067" s="27">
        <v>0</v>
      </c>
      <c r="N1067" s="27">
        <v>0</v>
      </c>
      <c r="O1067" s="27">
        <v>0</v>
      </c>
      <c r="P1067" s="25">
        <v>700</v>
      </c>
      <c r="Q1067" s="25">
        <v>560</v>
      </c>
      <c r="R1067" s="25" t="s">
        <v>87</v>
      </c>
      <c r="S1067" s="25" t="s">
        <v>89</v>
      </c>
      <c r="T1067" s="25">
        <v>0</v>
      </c>
      <c r="U1067" s="25">
        <v>0</v>
      </c>
      <c r="V1067" s="25">
        <v>0</v>
      </c>
      <c r="W1067" s="25">
        <v>0</v>
      </c>
      <c r="X1067" s="25">
        <v>1</v>
      </c>
      <c r="Y1067" s="25">
        <v>0</v>
      </c>
      <c r="Z1067" s="25">
        <v>0</v>
      </c>
      <c r="AA1067" s="25">
        <v>0</v>
      </c>
      <c r="AB1067" s="25">
        <v>0</v>
      </c>
      <c r="AC1067" s="25">
        <v>0</v>
      </c>
      <c r="AD1067" s="25">
        <v>0</v>
      </c>
      <c r="AE1067" s="25">
        <v>1</v>
      </c>
      <c r="AF1067" s="25" t="s">
        <v>131</v>
      </c>
    </row>
    <row r="1068" spans="1:32" s="25" customFormat="1" x14ac:dyDescent="0.25">
      <c r="A1068" s="25" t="s">
        <v>187</v>
      </c>
      <c r="B1068" s="25">
        <f t="shared" si="31"/>
        <v>8230</v>
      </c>
      <c r="C1068" s="25" t="s">
        <v>12</v>
      </c>
      <c r="D1068" s="25">
        <v>0</v>
      </c>
      <c r="E1068" s="25">
        <v>0</v>
      </c>
      <c r="F1068" s="25">
        <v>256</v>
      </c>
      <c r="G1068" s="25">
        <v>222</v>
      </c>
      <c r="H1068" s="27">
        <v>0</v>
      </c>
      <c r="I1068" s="27">
        <v>0</v>
      </c>
      <c r="J1068" s="27">
        <v>0</v>
      </c>
      <c r="K1068" s="27">
        <v>0</v>
      </c>
      <c r="L1068" s="27">
        <v>1</v>
      </c>
      <c r="M1068" s="27">
        <v>0</v>
      </c>
      <c r="N1068" s="27">
        <v>0</v>
      </c>
      <c r="O1068" s="27">
        <v>0</v>
      </c>
      <c r="P1068" s="25">
        <v>700</v>
      </c>
      <c r="Q1068" s="25">
        <v>560</v>
      </c>
      <c r="R1068" s="25" t="s">
        <v>87</v>
      </c>
      <c r="S1068" s="25" t="s">
        <v>89</v>
      </c>
      <c r="T1068" s="25">
        <v>0</v>
      </c>
      <c r="U1068" s="25">
        <v>0</v>
      </c>
      <c r="V1068" s="25">
        <v>0</v>
      </c>
      <c r="W1068" s="25">
        <v>0</v>
      </c>
      <c r="X1068" s="25">
        <v>1</v>
      </c>
      <c r="Y1068" s="25">
        <v>0</v>
      </c>
      <c r="Z1068" s="25">
        <v>0</v>
      </c>
      <c r="AA1068" s="25">
        <v>0</v>
      </c>
      <c r="AB1068" s="25">
        <v>0</v>
      </c>
      <c r="AC1068" s="25">
        <v>0</v>
      </c>
      <c r="AD1068" s="25">
        <v>0</v>
      </c>
      <c r="AE1068" s="25">
        <v>1</v>
      </c>
      <c r="AF1068" s="25" t="s">
        <v>131</v>
      </c>
    </row>
    <row r="1069" spans="1:32" s="25" customFormat="1" x14ac:dyDescent="0.25">
      <c r="A1069" s="25" t="s">
        <v>187</v>
      </c>
      <c r="B1069" s="25">
        <f t="shared" si="31"/>
        <v>8240</v>
      </c>
      <c r="C1069" s="25" t="s">
        <v>12</v>
      </c>
      <c r="D1069" s="25">
        <v>0</v>
      </c>
      <c r="E1069" s="25">
        <v>0</v>
      </c>
      <c r="F1069" s="25">
        <v>256</v>
      </c>
      <c r="G1069" s="25">
        <v>222</v>
      </c>
      <c r="H1069" s="27">
        <v>0</v>
      </c>
      <c r="I1069" s="27">
        <v>0</v>
      </c>
      <c r="J1069" s="27">
        <v>0</v>
      </c>
      <c r="K1069" s="27">
        <v>0</v>
      </c>
      <c r="L1069" s="27">
        <v>1</v>
      </c>
      <c r="M1069" s="27">
        <v>0</v>
      </c>
      <c r="N1069" s="27">
        <v>0</v>
      </c>
      <c r="O1069" s="27">
        <v>0</v>
      </c>
      <c r="P1069" s="25">
        <v>700</v>
      </c>
      <c r="Q1069" s="25">
        <v>560</v>
      </c>
      <c r="R1069" s="25" t="s">
        <v>87</v>
      </c>
      <c r="S1069" s="25" t="s">
        <v>89</v>
      </c>
      <c r="T1069" s="25">
        <v>0</v>
      </c>
      <c r="U1069" s="25">
        <v>0</v>
      </c>
      <c r="V1069" s="25">
        <v>0</v>
      </c>
      <c r="W1069" s="25">
        <v>0</v>
      </c>
      <c r="X1069" s="25">
        <v>1</v>
      </c>
      <c r="Y1069" s="25">
        <v>0</v>
      </c>
      <c r="Z1069" s="25">
        <v>0</v>
      </c>
      <c r="AA1069" s="25">
        <v>0</v>
      </c>
      <c r="AB1069" s="25">
        <v>0</v>
      </c>
      <c r="AC1069" s="25">
        <v>0</v>
      </c>
      <c r="AD1069" s="25">
        <v>0</v>
      </c>
      <c r="AE1069" s="25">
        <v>1</v>
      </c>
      <c r="AF1069" s="25" t="s">
        <v>131</v>
      </c>
    </row>
    <row r="1070" spans="1:32" s="25" customFormat="1" x14ac:dyDescent="0.25">
      <c r="A1070" s="25" t="s">
        <v>187</v>
      </c>
      <c r="B1070" s="25">
        <f t="shared" si="31"/>
        <v>8250</v>
      </c>
      <c r="C1070" s="25" t="s">
        <v>12</v>
      </c>
      <c r="D1070" s="25">
        <v>0</v>
      </c>
      <c r="E1070" s="25">
        <v>0</v>
      </c>
      <c r="F1070" s="25">
        <v>256</v>
      </c>
      <c r="G1070" s="25">
        <v>222</v>
      </c>
      <c r="H1070" s="27">
        <v>0</v>
      </c>
      <c r="I1070" s="27">
        <v>0</v>
      </c>
      <c r="J1070" s="27">
        <v>0</v>
      </c>
      <c r="K1070" s="27">
        <v>0</v>
      </c>
      <c r="L1070" s="27">
        <v>1</v>
      </c>
      <c r="M1070" s="27">
        <v>0</v>
      </c>
      <c r="N1070" s="27">
        <v>0</v>
      </c>
      <c r="O1070" s="27">
        <v>0</v>
      </c>
      <c r="P1070" s="25">
        <v>700</v>
      </c>
      <c r="Q1070" s="25">
        <v>560</v>
      </c>
      <c r="R1070" s="25" t="s">
        <v>87</v>
      </c>
      <c r="S1070" s="25" t="s">
        <v>89</v>
      </c>
      <c r="T1070" s="25">
        <v>0</v>
      </c>
      <c r="U1070" s="25">
        <v>0</v>
      </c>
      <c r="V1070" s="25">
        <v>0</v>
      </c>
      <c r="W1070" s="25">
        <v>0</v>
      </c>
      <c r="X1070" s="25">
        <v>1</v>
      </c>
      <c r="Y1070" s="25">
        <v>0</v>
      </c>
      <c r="Z1070" s="25">
        <v>0</v>
      </c>
      <c r="AA1070" s="25">
        <v>0</v>
      </c>
      <c r="AB1070" s="25">
        <v>0</v>
      </c>
      <c r="AC1070" s="25">
        <v>0</v>
      </c>
      <c r="AD1070" s="25">
        <v>0</v>
      </c>
      <c r="AE1070" s="25">
        <v>1</v>
      </c>
      <c r="AF1070" s="25" t="s">
        <v>131</v>
      </c>
    </row>
    <row r="1071" spans="1:32" s="25" customFormat="1" x14ac:dyDescent="0.25">
      <c r="A1071" s="25" t="s">
        <v>187</v>
      </c>
      <c r="B1071" s="25">
        <f t="shared" si="31"/>
        <v>8260</v>
      </c>
      <c r="C1071" s="25" t="s">
        <v>12</v>
      </c>
      <c r="D1071" s="25">
        <v>0</v>
      </c>
      <c r="E1071" s="25">
        <v>0</v>
      </c>
      <c r="F1071" s="25">
        <v>256</v>
      </c>
      <c r="G1071" s="25">
        <v>222</v>
      </c>
      <c r="H1071" s="27">
        <v>0</v>
      </c>
      <c r="I1071" s="27">
        <v>0</v>
      </c>
      <c r="J1071" s="27">
        <v>0</v>
      </c>
      <c r="K1071" s="27">
        <v>0</v>
      </c>
      <c r="L1071" s="27">
        <v>1</v>
      </c>
      <c r="M1071" s="27">
        <v>0</v>
      </c>
      <c r="N1071" s="27">
        <v>0</v>
      </c>
      <c r="O1071" s="27">
        <v>0</v>
      </c>
      <c r="P1071" s="25">
        <v>700</v>
      </c>
      <c r="Q1071" s="25">
        <v>560</v>
      </c>
      <c r="R1071" s="25" t="s">
        <v>87</v>
      </c>
      <c r="S1071" s="25" t="s">
        <v>89</v>
      </c>
      <c r="T1071" s="25">
        <v>0</v>
      </c>
      <c r="U1071" s="25">
        <v>0</v>
      </c>
      <c r="V1071" s="25">
        <v>0</v>
      </c>
      <c r="W1071" s="25">
        <v>0</v>
      </c>
      <c r="X1071" s="25">
        <v>1</v>
      </c>
      <c r="Y1071" s="25">
        <v>0</v>
      </c>
      <c r="Z1071" s="25">
        <v>0</v>
      </c>
      <c r="AA1071" s="25">
        <v>0</v>
      </c>
      <c r="AB1071" s="25">
        <v>0</v>
      </c>
      <c r="AC1071" s="25">
        <v>0</v>
      </c>
      <c r="AD1071" s="25">
        <v>0</v>
      </c>
      <c r="AE1071" s="25">
        <v>1</v>
      </c>
      <c r="AF1071" s="25" t="s">
        <v>131</v>
      </c>
    </row>
    <row r="1072" spans="1:32" s="25" customFormat="1" x14ac:dyDescent="0.25">
      <c r="A1072" s="25" t="s">
        <v>187</v>
      </c>
      <c r="B1072" s="25">
        <f t="shared" si="31"/>
        <v>8270</v>
      </c>
      <c r="C1072" s="25" t="s">
        <v>12</v>
      </c>
      <c r="D1072" s="25">
        <v>0</v>
      </c>
      <c r="E1072" s="25">
        <v>0</v>
      </c>
      <c r="F1072" s="25">
        <v>256</v>
      </c>
      <c r="G1072" s="25">
        <v>222</v>
      </c>
      <c r="H1072" s="27">
        <v>0</v>
      </c>
      <c r="I1072" s="27">
        <v>0</v>
      </c>
      <c r="J1072" s="27">
        <v>0</v>
      </c>
      <c r="K1072" s="27">
        <v>0</v>
      </c>
      <c r="L1072" s="27">
        <v>1</v>
      </c>
      <c r="M1072" s="27">
        <v>0</v>
      </c>
      <c r="N1072" s="27">
        <v>0</v>
      </c>
      <c r="O1072" s="27">
        <v>0</v>
      </c>
      <c r="P1072" s="25">
        <v>700</v>
      </c>
      <c r="Q1072" s="25">
        <v>560</v>
      </c>
      <c r="R1072" s="25" t="s">
        <v>87</v>
      </c>
      <c r="S1072" s="25" t="s">
        <v>89</v>
      </c>
      <c r="T1072" s="25">
        <v>0</v>
      </c>
      <c r="U1072" s="25">
        <v>0</v>
      </c>
      <c r="V1072" s="25">
        <v>0</v>
      </c>
      <c r="W1072" s="25">
        <v>0</v>
      </c>
      <c r="X1072" s="25">
        <v>1</v>
      </c>
      <c r="Y1072" s="25">
        <v>0</v>
      </c>
      <c r="Z1072" s="25">
        <v>0</v>
      </c>
      <c r="AA1072" s="25">
        <v>0</v>
      </c>
      <c r="AB1072" s="25">
        <v>0</v>
      </c>
      <c r="AC1072" s="25">
        <v>0</v>
      </c>
      <c r="AD1072" s="25">
        <v>0</v>
      </c>
      <c r="AE1072" s="25">
        <v>1</v>
      </c>
      <c r="AF1072" s="25" t="s">
        <v>131</v>
      </c>
    </row>
    <row r="1073" spans="1:32" s="25" customFormat="1" x14ac:dyDescent="0.25">
      <c r="A1073" s="25" t="s">
        <v>187</v>
      </c>
      <c r="B1073" s="25">
        <f t="shared" si="31"/>
        <v>8280</v>
      </c>
      <c r="C1073" s="25" t="s">
        <v>12</v>
      </c>
      <c r="D1073" s="25">
        <v>0</v>
      </c>
      <c r="E1073" s="25">
        <v>0</v>
      </c>
      <c r="F1073" s="25">
        <v>256</v>
      </c>
      <c r="G1073" s="25">
        <v>222</v>
      </c>
      <c r="H1073" s="27">
        <v>0</v>
      </c>
      <c r="I1073" s="27">
        <v>0</v>
      </c>
      <c r="J1073" s="27">
        <v>0</v>
      </c>
      <c r="K1073" s="27">
        <v>0</v>
      </c>
      <c r="L1073" s="27">
        <v>1</v>
      </c>
      <c r="M1073" s="27">
        <v>0</v>
      </c>
      <c r="N1073" s="27">
        <v>0</v>
      </c>
      <c r="O1073" s="27">
        <v>0</v>
      </c>
      <c r="P1073" s="25">
        <v>700</v>
      </c>
      <c r="Q1073" s="25">
        <v>560</v>
      </c>
      <c r="R1073" s="25" t="s">
        <v>87</v>
      </c>
      <c r="S1073" s="25" t="s">
        <v>89</v>
      </c>
      <c r="T1073" s="25">
        <v>0</v>
      </c>
      <c r="U1073" s="25">
        <v>0</v>
      </c>
      <c r="V1073" s="25">
        <v>0</v>
      </c>
      <c r="W1073" s="25">
        <v>0</v>
      </c>
      <c r="X1073" s="25">
        <v>1</v>
      </c>
      <c r="Y1073" s="25">
        <v>0</v>
      </c>
      <c r="Z1073" s="25">
        <v>0</v>
      </c>
      <c r="AA1073" s="25">
        <v>0</v>
      </c>
      <c r="AB1073" s="25">
        <v>0</v>
      </c>
      <c r="AC1073" s="25">
        <v>0</v>
      </c>
      <c r="AD1073" s="25">
        <v>0</v>
      </c>
      <c r="AE1073" s="25">
        <v>1</v>
      </c>
      <c r="AF1073" s="25" t="s">
        <v>131</v>
      </c>
    </row>
    <row r="1074" spans="1:32" s="25" customFormat="1" x14ac:dyDescent="0.25">
      <c r="A1074" s="25" t="s">
        <v>187</v>
      </c>
      <c r="B1074" s="25">
        <f t="shared" si="31"/>
        <v>8290</v>
      </c>
      <c r="C1074" s="25" t="s">
        <v>12</v>
      </c>
      <c r="D1074" s="25">
        <v>0</v>
      </c>
      <c r="E1074" s="25">
        <v>0</v>
      </c>
      <c r="F1074" s="25">
        <v>256</v>
      </c>
      <c r="G1074" s="25">
        <v>222</v>
      </c>
      <c r="H1074" s="27">
        <v>0</v>
      </c>
      <c r="I1074" s="27">
        <v>0</v>
      </c>
      <c r="J1074" s="27">
        <v>0</v>
      </c>
      <c r="K1074" s="27">
        <v>0</v>
      </c>
      <c r="L1074" s="27">
        <v>1</v>
      </c>
      <c r="M1074" s="27">
        <v>0</v>
      </c>
      <c r="N1074" s="27">
        <v>0</v>
      </c>
      <c r="O1074" s="27">
        <v>0</v>
      </c>
      <c r="P1074" s="25">
        <v>700</v>
      </c>
      <c r="Q1074" s="25">
        <v>560</v>
      </c>
      <c r="R1074" s="25" t="s">
        <v>87</v>
      </c>
      <c r="S1074" s="25" t="s">
        <v>89</v>
      </c>
      <c r="T1074" s="25">
        <v>0</v>
      </c>
      <c r="U1074" s="25">
        <v>0</v>
      </c>
      <c r="V1074" s="25">
        <v>0</v>
      </c>
      <c r="W1074" s="25">
        <v>0</v>
      </c>
      <c r="X1074" s="25">
        <v>1</v>
      </c>
      <c r="Y1074" s="25">
        <v>0</v>
      </c>
      <c r="Z1074" s="25">
        <v>0</v>
      </c>
      <c r="AA1074" s="25">
        <v>0</v>
      </c>
      <c r="AB1074" s="25">
        <v>0</v>
      </c>
      <c r="AC1074" s="25">
        <v>0</v>
      </c>
      <c r="AD1074" s="25">
        <v>0</v>
      </c>
      <c r="AE1074" s="25">
        <v>1</v>
      </c>
      <c r="AF1074" s="25" t="s">
        <v>131</v>
      </c>
    </row>
    <row r="1075" spans="1:32" s="25" customFormat="1" x14ac:dyDescent="0.25">
      <c r="A1075" s="25" t="s">
        <v>187</v>
      </c>
      <c r="B1075" s="25">
        <f t="shared" si="31"/>
        <v>8300</v>
      </c>
      <c r="C1075" s="25" t="s">
        <v>12</v>
      </c>
      <c r="D1075" s="25">
        <v>0</v>
      </c>
      <c r="E1075" s="25">
        <v>0</v>
      </c>
      <c r="F1075" s="25">
        <v>256</v>
      </c>
      <c r="G1075" s="25">
        <v>222</v>
      </c>
      <c r="H1075" s="27">
        <v>0</v>
      </c>
      <c r="I1075" s="27">
        <v>0</v>
      </c>
      <c r="J1075" s="27">
        <v>0</v>
      </c>
      <c r="K1075" s="27">
        <v>0</v>
      </c>
      <c r="L1075" s="27">
        <v>1</v>
      </c>
      <c r="M1075" s="27">
        <v>0</v>
      </c>
      <c r="N1075" s="27">
        <v>0</v>
      </c>
      <c r="O1075" s="27">
        <v>0</v>
      </c>
      <c r="P1075" s="25">
        <v>700</v>
      </c>
      <c r="Q1075" s="25">
        <v>560</v>
      </c>
      <c r="R1075" s="25" t="s">
        <v>87</v>
      </c>
      <c r="S1075" s="25" t="s">
        <v>89</v>
      </c>
      <c r="T1075" s="25">
        <v>0</v>
      </c>
      <c r="U1075" s="25">
        <v>0</v>
      </c>
      <c r="V1075" s="25">
        <v>0</v>
      </c>
      <c r="W1075" s="25">
        <v>0</v>
      </c>
      <c r="X1075" s="25">
        <v>1</v>
      </c>
      <c r="Y1075" s="25">
        <v>0</v>
      </c>
      <c r="Z1075" s="25">
        <v>0</v>
      </c>
      <c r="AA1075" s="25">
        <v>0</v>
      </c>
      <c r="AB1075" s="25">
        <v>0</v>
      </c>
      <c r="AC1075" s="25">
        <v>0</v>
      </c>
      <c r="AD1075" s="25">
        <v>0</v>
      </c>
      <c r="AE1075" s="25">
        <v>1</v>
      </c>
      <c r="AF1075" s="25" t="s">
        <v>131</v>
      </c>
    </row>
    <row r="1076" spans="1:32" s="25" customFormat="1" x14ac:dyDescent="0.25">
      <c r="A1076" s="25" t="s">
        <v>187</v>
      </c>
      <c r="B1076" s="25">
        <f t="shared" si="31"/>
        <v>8310</v>
      </c>
      <c r="C1076" s="25" t="s">
        <v>12</v>
      </c>
      <c r="D1076" s="25">
        <v>0</v>
      </c>
      <c r="E1076" s="25">
        <v>0</v>
      </c>
      <c r="F1076" s="25">
        <v>256</v>
      </c>
      <c r="G1076" s="25">
        <v>222</v>
      </c>
      <c r="H1076" s="27">
        <v>0</v>
      </c>
      <c r="I1076" s="27">
        <v>0</v>
      </c>
      <c r="J1076" s="27">
        <v>0</v>
      </c>
      <c r="K1076" s="27">
        <v>0</v>
      </c>
      <c r="L1076" s="27">
        <v>1</v>
      </c>
      <c r="M1076" s="27">
        <v>0</v>
      </c>
      <c r="N1076" s="27">
        <v>0</v>
      </c>
      <c r="O1076" s="27">
        <v>0</v>
      </c>
      <c r="P1076" s="25">
        <v>700</v>
      </c>
      <c r="Q1076" s="25">
        <v>560</v>
      </c>
      <c r="R1076" s="25" t="s">
        <v>87</v>
      </c>
      <c r="S1076" s="25" t="s">
        <v>89</v>
      </c>
      <c r="T1076" s="25">
        <v>0</v>
      </c>
      <c r="U1076" s="25">
        <v>0</v>
      </c>
      <c r="V1076" s="25">
        <v>0</v>
      </c>
      <c r="W1076" s="25">
        <v>0</v>
      </c>
      <c r="X1076" s="25">
        <v>1</v>
      </c>
      <c r="Y1076" s="25">
        <v>0</v>
      </c>
      <c r="Z1076" s="25">
        <v>0</v>
      </c>
      <c r="AA1076" s="25">
        <v>0</v>
      </c>
      <c r="AB1076" s="25">
        <v>0</v>
      </c>
      <c r="AC1076" s="25">
        <v>0</v>
      </c>
      <c r="AD1076" s="25">
        <v>0</v>
      </c>
      <c r="AE1076" s="25">
        <v>1</v>
      </c>
      <c r="AF1076" s="25" t="s">
        <v>131</v>
      </c>
    </row>
    <row r="1077" spans="1:32" s="25" customFormat="1" x14ac:dyDescent="0.25">
      <c r="A1077" s="25" t="s">
        <v>187</v>
      </c>
      <c r="B1077" s="25">
        <f t="shared" si="31"/>
        <v>8320</v>
      </c>
      <c r="C1077" s="25" t="s">
        <v>12</v>
      </c>
      <c r="D1077" s="25">
        <v>0</v>
      </c>
      <c r="E1077" s="25">
        <v>0</v>
      </c>
      <c r="F1077" s="25">
        <v>256</v>
      </c>
      <c r="G1077" s="25">
        <v>222</v>
      </c>
      <c r="H1077" s="27">
        <v>0</v>
      </c>
      <c r="I1077" s="27">
        <v>0</v>
      </c>
      <c r="J1077" s="27">
        <v>0</v>
      </c>
      <c r="K1077" s="27">
        <v>0</v>
      </c>
      <c r="L1077" s="27">
        <v>1</v>
      </c>
      <c r="M1077" s="27">
        <v>0</v>
      </c>
      <c r="N1077" s="27">
        <v>0</v>
      </c>
      <c r="O1077" s="27">
        <v>0</v>
      </c>
      <c r="P1077" s="25">
        <v>700</v>
      </c>
      <c r="Q1077" s="25">
        <v>560</v>
      </c>
      <c r="R1077" s="25" t="s">
        <v>87</v>
      </c>
      <c r="S1077" s="25" t="s">
        <v>89</v>
      </c>
      <c r="T1077" s="25">
        <v>0</v>
      </c>
      <c r="U1077" s="25">
        <v>0</v>
      </c>
      <c r="V1077" s="25">
        <v>0</v>
      </c>
      <c r="W1077" s="25">
        <v>0</v>
      </c>
      <c r="X1077" s="25">
        <v>1</v>
      </c>
      <c r="Y1077" s="25">
        <v>0</v>
      </c>
      <c r="Z1077" s="25">
        <v>0</v>
      </c>
      <c r="AA1077" s="25">
        <v>0</v>
      </c>
      <c r="AB1077" s="25">
        <v>0</v>
      </c>
      <c r="AC1077" s="25">
        <v>0</v>
      </c>
      <c r="AD1077" s="25">
        <v>0</v>
      </c>
      <c r="AE1077" s="25">
        <v>1</v>
      </c>
      <c r="AF1077" s="25" t="s">
        <v>131</v>
      </c>
    </row>
    <row r="1078" spans="1:32" s="25" customFormat="1" x14ac:dyDescent="0.25">
      <c r="A1078" s="25" t="s">
        <v>187</v>
      </c>
      <c r="B1078" s="25">
        <f t="shared" si="31"/>
        <v>8330</v>
      </c>
      <c r="C1078" s="25" t="s">
        <v>12</v>
      </c>
      <c r="D1078" s="25">
        <v>0</v>
      </c>
      <c r="E1078" s="25">
        <v>0</v>
      </c>
      <c r="F1078" s="25">
        <v>256</v>
      </c>
      <c r="G1078" s="25">
        <v>222</v>
      </c>
      <c r="H1078" s="27">
        <v>0</v>
      </c>
      <c r="I1078" s="27">
        <v>0</v>
      </c>
      <c r="J1078" s="27">
        <v>0</v>
      </c>
      <c r="K1078" s="27">
        <v>0</v>
      </c>
      <c r="L1078" s="27">
        <v>1</v>
      </c>
      <c r="M1078" s="27">
        <v>0</v>
      </c>
      <c r="N1078" s="27">
        <v>0</v>
      </c>
      <c r="O1078" s="27">
        <v>0</v>
      </c>
      <c r="P1078" s="25">
        <v>700</v>
      </c>
      <c r="Q1078" s="25">
        <v>560</v>
      </c>
      <c r="R1078" s="25" t="s">
        <v>87</v>
      </c>
      <c r="S1078" s="25" t="s">
        <v>89</v>
      </c>
      <c r="T1078" s="25">
        <v>0</v>
      </c>
      <c r="U1078" s="25">
        <v>0</v>
      </c>
      <c r="V1078" s="25">
        <v>0</v>
      </c>
      <c r="W1078" s="25">
        <v>0</v>
      </c>
      <c r="X1078" s="25">
        <v>1</v>
      </c>
      <c r="Y1078" s="25">
        <v>0</v>
      </c>
      <c r="Z1078" s="25">
        <v>0</v>
      </c>
      <c r="AA1078" s="25">
        <v>0</v>
      </c>
      <c r="AB1078" s="25">
        <v>0</v>
      </c>
      <c r="AC1078" s="25">
        <v>0</v>
      </c>
      <c r="AD1078" s="25">
        <v>0</v>
      </c>
      <c r="AE1078" s="25">
        <v>1</v>
      </c>
      <c r="AF1078" s="25" t="s">
        <v>131</v>
      </c>
    </row>
    <row r="1079" spans="1:32" s="25" customFormat="1" x14ac:dyDescent="0.25">
      <c r="A1079" s="25" t="s">
        <v>187</v>
      </c>
      <c r="B1079" s="25">
        <f t="shared" si="31"/>
        <v>8340</v>
      </c>
      <c r="C1079" s="25" t="s">
        <v>12</v>
      </c>
      <c r="D1079" s="25">
        <v>0</v>
      </c>
      <c r="E1079" s="25">
        <v>0</v>
      </c>
      <c r="F1079" s="25">
        <v>256</v>
      </c>
      <c r="G1079" s="25">
        <v>222</v>
      </c>
      <c r="H1079" s="27">
        <v>0</v>
      </c>
      <c r="I1079" s="27">
        <v>0</v>
      </c>
      <c r="J1079" s="27">
        <v>0</v>
      </c>
      <c r="K1079" s="27">
        <v>0</v>
      </c>
      <c r="L1079" s="27">
        <v>1</v>
      </c>
      <c r="M1079" s="27">
        <v>0</v>
      </c>
      <c r="N1079" s="27">
        <v>0</v>
      </c>
      <c r="O1079" s="27">
        <v>0</v>
      </c>
      <c r="P1079" s="25">
        <v>700</v>
      </c>
      <c r="Q1079" s="25">
        <v>560</v>
      </c>
      <c r="R1079" s="25" t="s">
        <v>87</v>
      </c>
      <c r="S1079" s="25" t="s">
        <v>89</v>
      </c>
      <c r="T1079" s="25">
        <v>0</v>
      </c>
      <c r="U1079" s="25">
        <v>0</v>
      </c>
      <c r="V1079" s="25">
        <v>0</v>
      </c>
      <c r="W1079" s="25">
        <v>0</v>
      </c>
      <c r="X1079" s="25">
        <v>1</v>
      </c>
      <c r="Y1079" s="25">
        <v>0</v>
      </c>
      <c r="Z1079" s="25">
        <v>0</v>
      </c>
      <c r="AA1079" s="25">
        <v>0</v>
      </c>
      <c r="AB1079" s="25">
        <v>0</v>
      </c>
      <c r="AC1079" s="25">
        <v>0</v>
      </c>
      <c r="AD1079" s="25">
        <v>0</v>
      </c>
      <c r="AE1079" s="25">
        <v>1</v>
      </c>
      <c r="AF1079" s="25" t="s">
        <v>131</v>
      </c>
    </row>
    <row r="1080" spans="1:32" s="25" customFormat="1" x14ac:dyDescent="0.25">
      <c r="A1080" s="25" t="s">
        <v>187</v>
      </c>
      <c r="B1080" s="25">
        <f t="shared" si="31"/>
        <v>8350</v>
      </c>
      <c r="C1080" s="25" t="s">
        <v>12</v>
      </c>
      <c r="D1080" s="25">
        <v>0</v>
      </c>
      <c r="E1080" s="25">
        <v>0</v>
      </c>
      <c r="F1080" s="25">
        <v>256</v>
      </c>
      <c r="G1080" s="25">
        <v>222</v>
      </c>
      <c r="H1080" s="27">
        <v>0</v>
      </c>
      <c r="I1080" s="27">
        <v>0</v>
      </c>
      <c r="J1080" s="27">
        <v>0</v>
      </c>
      <c r="K1080" s="27">
        <v>0</v>
      </c>
      <c r="L1080" s="27">
        <v>1</v>
      </c>
      <c r="M1080" s="27">
        <v>0</v>
      </c>
      <c r="N1080" s="27">
        <v>0</v>
      </c>
      <c r="O1080" s="27">
        <v>0</v>
      </c>
      <c r="P1080" s="25">
        <v>700</v>
      </c>
      <c r="Q1080" s="25">
        <v>560</v>
      </c>
      <c r="R1080" s="25" t="s">
        <v>87</v>
      </c>
      <c r="S1080" s="25" t="s">
        <v>89</v>
      </c>
      <c r="T1080" s="25">
        <v>0</v>
      </c>
      <c r="U1080" s="25">
        <v>0</v>
      </c>
      <c r="V1080" s="25">
        <v>0</v>
      </c>
      <c r="W1080" s="25">
        <v>0</v>
      </c>
      <c r="X1080" s="25">
        <v>1</v>
      </c>
      <c r="Y1080" s="25">
        <v>0</v>
      </c>
      <c r="Z1080" s="25">
        <v>0</v>
      </c>
      <c r="AA1080" s="25">
        <v>0</v>
      </c>
      <c r="AB1080" s="25">
        <v>0</v>
      </c>
      <c r="AC1080" s="25">
        <v>0</v>
      </c>
      <c r="AD1080" s="25">
        <v>0</v>
      </c>
      <c r="AE1080" s="25">
        <v>1</v>
      </c>
      <c r="AF1080" s="25" t="s">
        <v>131</v>
      </c>
    </row>
    <row r="1081" spans="1:32" s="25" customFormat="1" x14ac:dyDescent="0.25">
      <c r="A1081" s="25" t="s">
        <v>187</v>
      </c>
      <c r="B1081" s="25">
        <f t="shared" si="31"/>
        <v>8360</v>
      </c>
      <c r="C1081" s="25" t="s">
        <v>12</v>
      </c>
      <c r="D1081" s="25">
        <v>0</v>
      </c>
      <c r="E1081" s="25">
        <v>0</v>
      </c>
      <c r="F1081" s="25">
        <v>256</v>
      </c>
      <c r="G1081" s="25">
        <v>222</v>
      </c>
      <c r="H1081" s="27">
        <v>0</v>
      </c>
      <c r="I1081" s="27">
        <v>0</v>
      </c>
      <c r="J1081" s="27">
        <v>0</v>
      </c>
      <c r="K1081" s="27">
        <v>0</v>
      </c>
      <c r="L1081" s="27">
        <v>1</v>
      </c>
      <c r="M1081" s="27">
        <v>0</v>
      </c>
      <c r="N1081" s="27">
        <v>0</v>
      </c>
      <c r="O1081" s="27">
        <v>0</v>
      </c>
      <c r="P1081" s="25">
        <v>700</v>
      </c>
      <c r="Q1081" s="25">
        <v>560</v>
      </c>
      <c r="R1081" s="25" t="s">
        <v>87</v>
      </c>
      <c r="S1081" s="25" t="s">
        <v>89</v>
      </c>
      <c r="T1081" s="25">
        <v>0</v>
      </c>
      <c r="U1081" s="25">
        <v>0</v>
      </c>
      <c r="V1081" s="25">
        <v>0</v>
      </c>
      <c r="W1081" s="25">
        <v>0</v>
      </c>
      <c r="X1081" s="25">
        <v>1</v>
      </c>
      <c r="Y1081" s="25">
        <v>0</v>
      </c>
      <c r="Z1081" s="25">
        <v>0</v>
      </c>
      <c r="AA1081" s="25">
        <v>0</v>
      </c>
      <c r="AB1081" s="25">
        <v>0</v>
      </c>
      <c r="AC1081" s="25">
        <v>0</v>
      </c>
      <c r="AD1081" s="25">
        <v>0</v>
      </c>
      <c r="AE1081" s="25">
        <v>1</v>
      </c>
      <c r="AF1081" s="25" t="s">
        <v>131</v>
      </c>
    </row>
    <row r="1082" spans="1:32" s="25" customFormat="1" x14ac:dyDescent="0.25">
      <c r="A1082" s="25" t="s">
        <v>187</v>
      </c>
      <c r="B1082" s="25">
        <f t="shared" si="31"/>
        <v>8370</v>
      </c>
      <c r="C1082" s="25" t="s">
        <v>12</v>
      </c>
      <c r="D1082" s="25">
        <v>0</v>
      </c>
      <c r="E1082" s="25">
        <v>0</v>
      </c>
      <c r="F1082" s="25">
        <v>256</v>
      </c>
      <c r="G1082" s="25">
        <v>222</v>
      </c>
      <c r="H1082" s="27">
        <v>0</v>
      </c>
      <c r="I1082" s="27">
        <v>0</v>
      </c>
      <c r="J1082" s="27">
        <v>0</v>
      </c>
      <c r="K1082" s="27">
        <v>0</v>
      </c>
      <c r="L1082" s="27">
        <v>1</v>
      </c>
      <c r="M1082" s="27">
        <v>0</v>
      </c>
      <c r="N1082" s="27">
        <v>0</v>
      </c>
      <c r="O1082" s="27">
        <v>0</v>
      </c>
      <c r="P1082" s="25">
        <v>700</v>
      </c>
      <c r="Q1082" s="25">
        <v>560</v>
      </c>
      <c r="R1082" s="25" t="s">
        <v>87</v>
      </c>
      <c r="S1082" s="25" t="s">
        <v>89</v>
      </c>
      <c r="T1082" s="25">
        <v>0</v>
      </c>
      <c r="U1082" s="25">
        <v>0</v>
      </c>
      <c r="V1082" s="25">
        <v>0</v>
      </c>
      <c r="W1082" s="25">
        <v>0</v>
      </c>
      <c r="X1082" s="25">
        <v>1</v>
      </c>
      <c r="Y1082" s="25">
        <v>0</v>
      </c>
      <c r="Z1082" s="25">
        <v>0</v>
      </c>
      <c r="AA1082" s="25">
        <v>0</v>
      </c>
      <c r="AB1082" s="25">
        <v>0</v>
      </c>
      <c r="AC1082" s="25">
        <v>0</v>
      </c>
      <c r="AD1082" s="25">
        <v>0</v>
      </c>
      <c r="AE1082" s="25">
        <v>1</v>
      </c>
      <c r="AF1082" s="25" t="s">
        <v>131</v>
      </c>
    </row>
    <row r="1083" spans="1:32" s="25" customFormat="1" x14ac:dyDescent="0.25">
      <c r="A1083" s="25" t="s">
        <v>187</v>
      </c>
      <c r="B1083" s="25">
        <f t="shared" si="31"/>
        <v>8380</v>
      </c>
      <c r="C1083" s="25" t="s">
        <v>12</v>
      </c>
      <c r="D1083" s="25">
        <v>0</v>
      </c>
      <c r="E1083" s="25">
        <v>0</v>
      </c>
      <c r="F1083" s="25">
        <v>256</v>
      </c>
      <c r="G1083" s="25">
        <v>222</v>
      </c>
      <c r="H1083" s="27">
        <v>0</v>
      </c>
      <c r="I1083" s="27">
        <v>0</v>
      </c>
      <c r="J1083" s="27">
        <v>0</v>
      </c>
      <c r="K1083" s="27">
        <v>0</v>
      </c>
      <c r="L1083" s="27">
        <v>1</v>
      </c>
      <c r="M1083" s="27">
        <v>0</v>
      </c>
      <c r="N1083" s="27">
        <v>0</v>
      </c>
      <c r="O1083" s="27">
        <v>0</v>
      </c>
      <c r="P1083" s="25">
        <v>700</v>
      </c>
      <c r="Q1083" s="25">
        <v>560</v>
      </c>
      <c r="R1083" s="25" t="s">
        <v>87</v>
      </c>
      <c r="S1083" s="25" t="s">
        <v>89</v>
      </c>
      <c r="T1083" s="25">
        <v>0</v>
      </c>
      <c r="U1083" s="25">
        <v>0</v>
      </c>
      <c r="V1083" s="25">
        <v>0</v>
      </c>
      <c r="W1083" s="25">
        <v>0</v>
      </c>
      <c r="X1083" s="25">
        <v>1</v>
      </c>
      <c r="Y1083" s="25">
        <v>0</v>
      </c>
      <c r="Z1083" s="25">
        <v>0</v>
      </c>
      <c r="AA1083" s="25">
        <v>0</v>
      </c>
      <c r="AB1083" s="25">
        <v>0</v>
      </c>
      <c r="AC1083" s="25">
        <v>0</v>
      </c>
      <c r="AD1083" s="25">
        <v>0</v>
      </c>
      <c r="AE1083" s="25">
        <v>1</v>
      </c>
      <c r="AF1083" s="25" t="s">
        <v>131</v>
      </c>
    </row>
    <row r="1084" spans="1:32" s="25" customFormat="1" x14ac:dyDescent="0.25">
      <c r="A1084" s="25" t="s">
        <v>187</v>
      </c>
      <c r="B1084" s="25">
        <f t="shared" si="31"/>
        <v>8390</v>
      </c>
      <c r="C1084" s="25" t="s">
        <v>12</v>
      </c>
      <c r="D1084" s="25">
        <v>0</v>
      </c>
      <c r="E1084" s="25">
        <v>0</v>
      </c>
      <c r="F1084" s="25">
        <v>256</v>
      </c>
      <c r="G1084" s="25">
        <v>222</v>
      </c>
      <c r="H1084" s="27">
        <v>0</v>
      </c>
      <c r="I1084" s="27">
        <v>0</v>
      </c>
      <c r="J1084" s="27">
        <v>0</v>
      </c>
      <c r="K1084" s="27">
        <v>0</v>
      </c>
      <c r="L1084" s="27">
        <v>1</v>
      </c>
      <c r="M1084" s="27">
        <v>0</v>
      </c>
      <c r="N1084" s="27">
        <v>0</v>
      </c>
      <c r="O1084" s="27">
        <v>0</v>
      </c>
      <c r="P1084" s="25">
        <v>700</v>
      </c>
      <c r="Q1084" s="25">
        <v>560</v>
      </c>
      <c r="R1084" s="25" t="s">
        <v>87</v>
      </c>
      <c r="S1084" s="25" t="s">
        <v>89</v>
      </c>
      <c r="T1084" s="25">
        <v>0</v>
      </c>
      <c r="U1084" s="25">
        <v>0</v>
      </c>
      <c r="V1084" s="25">
        <v>0</v>
      </c>
      <c r="W1084" s="25">
        <v>0</v>
      </c>
      <c r="X1084" s="25">
        <v>1</v>
      </c>
      <c r="Y1084" s="25">
        <v>0</v>
      </c>
      <c r="Z1084" s="25">
        <v>0</v>
      </c>
      <c r="AA1084" s="25">
        <v>0</v>
      </c>
      <c r="AB1084" s="25">
        <v>0</v>
      </c>
      <c r="AC1084" s="25">
        <v>0</v>
      </c>
      <c r="AD1084" s="25">
        <v>0</v>
      </c>
      <c r="AE1084" s="25">
        <v>1</v>
      </c>
      <c r="AF1084" s="25" t="s">
        <v>131</v>
      </c>
    </row>
    <row r="1085" spans="1:32" s="25" customFormat="1" x14ac:dyDescent="0.25">
      <c r="A1085" s="25" t="s">
        <v>187</v>
      </c>
      <c r="B1085" s="25">
        <f t="shared" si="31"/>
        <v>8400</v>
      </c>
      <c r="C1085" s="25" t="s">
        <v>12</v>
      </c>
      <c r="D1085" s="25">
        <v>0</v>
      </c>
      <c r="E1085" s="25">
        <v>0</v>
      </c>
      <c r="F1085" s="25">
        <v>256</v>
      </c>
      <c r="G1085" s="25">
        <v>222</v>
      </c>
      <c r="H1085" s="27">
        <v>0</v>
      </c>
      <c r="I1085" s="27">
        <v>0</v>
      </c>
      <c r="J1085" s="27">
        <v>0</v>
      </c>
      <c r="K1085" s="27">
        <v>0</v>
      </c>
      <c r="L1085" s="27">
        <v>1</v>
      </c>
      <c r="M1085" s="27">
        <v>0</v>
      </c>
      <c r="N1085" s="27">
        <v>0</v>
      </c>
      <c r="O1085" s="27">
        <v>0</v>
      </c>
      <c r="P1085" s="25">
        <v>700</v>
      </c>
      <c r="Q1085" s="25">
        <v>560</v>
      </c>
      <c r="R1085" s="25" t="s">
        <v>87</v>
      </c>
      <c r="S1085" s="25" t="s">
        <v>89</v>
      </c>
      <c r="T1085" s="25">
        <v>0</v>
      </c>
      <c r="U1085" s="25">
        <v>0</v>
      </c>
      <c r="V1085" s="25">
        <v>0</v>
      </c>
      <c r="W1085" s="25">
        <v>0</v>
      </c>
      <c r="X1085" s="25">
        <v>1</v>
      </c>
      <c r="Y1085" s="25">
        <v>0</v>
      </c>
      <c r="Z1085" s="25">
        <v>0</v>
      </c>
      <c r="AA1085" s="25">
        <v>0</v>
      </c>
      <c r="AB1085" s="25">
        <v>0</v>
      </c>
      <c r="AC1085" s="25">
        <v>0</v>
      </c>
      <c r="AD1085" s="25">
        <v>0</v>
      </c>
      <c r="AE1085" s="25">
        <v>1</v>
      </c>
      <c r="AF1085" s="25" t="s">
        <v>131</v>
      </c>
    </row>
    <row r="1086" spans="1:32" s="25" customFormat="1" x14ac:dyDescent="0.25">
      <c r="A1086" s="25" t="s">
        <v>187</v>
      </c>
      <c r="B1086" s="25">
        <f t="shared" si="31"/>
        <v>8410</v>
      </c>
      <c r="C1086" s="25" t="s">
        <v>12</v>
      </c>
      <c r="D1086" s="25">
        <v>0</v>
      </c>
      <c r="E1086" s="25">
        <v>0</v>
      </c>
      <c r="F1086" s="25">
        <v>256</v>
      </c>
      <c r="G1086" s="25">
        <v>222</v>
      </c>
      <c r="H1086" s="27">
        <v>0</v>
      </c>
      <c r="I1086" s="27">
        <v>0</v>
      </c>
      <c r="J1086" s="27">
        <v>0</v>
      </c>
      <c r="K1086" s="27">
        <v>0</v>
      </c>
      <c r="L1086" s="27">
        <v>1</v>
      </c>
      <c r="M1086" s="27">
        <v>0</v>
      </c>
      <c r="N1086" s="27">
        <v>0</v>
      </c>
      <c r="O1086" s="27">
        <v>0</v>
      </c>
      <c r="P1086" s="25">
        <v>700</v>
      </c>
      <c r="Q1086" s="25">
        <v>560</v>
      </c>
      <c r="R1086" s="25" t="s">
        <v>87</v>
      </c>
      <c r="S1086" s="25" t="s">
        <v>89</v>
      </c>
      <c r="T1086" s="25">
        <v>0</v>
      </c>
      <c r="U1086" s="25">
        <v>0</v>
      </c>
      <c r="V1086" s="25">
        <v>0</v>
      </c>
      <c r="W1086" s="25">
        <v>0</v>
      </c>
      <c r="X1086" s="25">
        <v>1</v>
      </c>
      <c r="Y1086" s="25">
        <v>0</v>
      </c>
      <c r="Z1086" s="25">
        <v>0</v>
      </c>
      <c r="AA1086" s="25">
        <v>0</v>
      </c>
      <c r="AB1086" s="25">
        <v>0</v>
      </c>
      <c r="AC1086" s="25">
        <v>0</v>
      </c>
      <c r="AD1086" s="25">
        <v>0</v>
      </c>
      <c r="AE1086" s="25">
        <v>1</v>
      </c>
      <c r="AF1086" s="25" t="s">
        <v>131</v>
      </c>
    </row>
    <row r="1087" spans="1:32" s="25" customFormat="1" x14ac:dyDescent="0.25">
      <c r="A1087" s="25" t="s">
        <v>187</v>
      </c>
      <c r="B1087" s="25">
        <f t="shared" si="31"/>
        <v>8420</v>
      </c>
      <c r="C1087" s="25" t="s">
        <v>12</v>
      </c>
      <c r="D1087" s="25">
        <v>0</v>
      </c>
      <c r="E1087" s="25">
        <v>0</v>
      </c>
      <c r="F1087" s="25">
        <v>256</v>
      </c>
      <c r="G1087" s="25">
        <v>222</v>
      </c>
      <c r="H1087" s="27">
        <v>0</v>
      </c>
      <c r="I1087" s="27">
        <v>0</v>
      </c>
      <c r="J1087" s="27">
        <v>0</v>
      </c>
      <c r="K1087" s="27">
        <v>0</v>
      </c>
      <c r="L1087" s="27">
        <v>1</v>
      </c>
      <c r="M1087" s="27">
        <v>0</v>
      </c>
      <c r="N1087" s="27">
        <v>0</v>
      </c>
      <c r="O1087" s="27">
        <v>0</v>
      </c>
      <c r="P1087" s="25">
        <v>700</v>
      </c>
      <c r="Q1087" s="25">
        <v>560</v>
      </c>
      <c r="R1087" s="25" t="s">
        <v>87</v>
      </c>
      <c r="S1087" s="25" t="s">
        <v>89</v>
      </c>
      <c r="T1087" s="25">
        <v>0</v>
      </c>
      <c r="U1087" s="25">
        <v>0</v>
      </c>
      <c r="V1087" s="25">
        <v>0</v>
      </c>
      <c r="W1087" s="25">
        <v>0</v>
      </c>
      <c r="X1087" s="25">
        <v>1</v>
      </c>
      <c r="Y1087" s="25">
        <v>0</v>
      </c>
      <c r="Z1087" s="25">
        <v>0</v>
      </c>
      <c r="AA1087" s="25">
        <v>0</v>
      </c>
      <c r="AB1087" s="25">
        <v>0</v>
      </c>
      <c r="AC1087" s="25">
        <v>0</v>
      </c>
      <c r="AD1087" s="25">
        <v>0</v>
      </c>
      <c r="AE1087" s="25">
        <v>1</v>
      </c>
      <c r="AF1087" s="25" t="s">
        <v>131</v>
      </c>
    </row>
    <row r="1088" spans="1:32" s="25" customFormat="1" x14ac:dyDescent="0.25">
      <c r="A1088" s="25" t="s">
        <v>187</v>
      </c>
      <c r="B1088" s="25">
        <f t="shared" si="31"/>
        <v>8430</v>
      </c>
      <c r="C1088" s="25" t="s">
        <v>12</v>
      </c>
      <c r="D1088" s="25">
        <v>0</v>
      </c>
      <c r="E1088" s="25">
        <v>0</v>
      </c>
      <c r="F1088" s="25">
        <v>256</v>
      </c>
      <c r="G1088" s="25">
        <v>222</v>
      </c>
      <c r="H1088" s="27">
        <v>0</v>
      </c>
      <c r="I1088" s="27">
        <v>0</v>
      </c>
      <c r="J1088" s="27">
        <v>0</v>
      </c>
      <c r="K1088" s="27">
        <v>0</v>
      </c>
      <c r="L1088" s="27">
        <v>1</v>
      </c>
      <c r="M1088" s="27">
        <v>0</v>
      </c>
      <c r="N1088" s="27">
        <v>0</v>
      </c>
      <c r="O1088" s="27">
        <v>0</v>
      </c>
      <c r="P1088" s="25">
        <v>700</v>
      </c>
      <c r="Q1088" s="25">
        <v>560</v>
      </c>
      <c r="R1088" s="25" t="s">
        <v>87</v>
      </c>
      <c r="S1088" s="25" t="s">
        <v>89</v>
      </c>
      <c r="T1088" s="25">
        <v>0</v>
      </c>
      <c r="U1088" s="25">
        <v>0</v>
      </c>
      <c r="V1088" s="25">
        <v>0</v>
      </c>
      <c r="W1088" s="25">
        <v>0</v>
      </c>
      <c r="X1088" s="25">
        <v>1</v>
      </c>
      <c r="Y1088" s="25">
        <v>0</v>
      </c>
      <c r="Z1088" s="25">
        <v>0</v>
      </c>
      <c r="AA1088" s="25">
        <v>0</v>
      </c>
      <c r="AB1088" s="25">
        <v>0</v>
      </c>
      <c r="AC1088" s="25">
        <v>0</v>
      </c>
      <c r="AD1088" s="25">
        <v>0</v>
      </c>
      <c r="AE1088" s="25">
        <v>1</v>
      </c>
      <c r="AF1088" s="25" t="s">
        <v>131</v>
      </c>
    </row>
    <row r="1089" spans="1:32" s="25" customFormat="1" x14ac:dyDescent="0.25">
      <c r="A1089" s="25" t="s">
        <v>187</v>
      </c>
      <c r="B1089" s="25">
        <f t="shared" si="31"/>
        <v>8440</v>
      </c>
      <c r="C1089" s="25" t="s">
        <v>12</v>
      </c>
      <c r="D1089" s="25">
        <v>0</v>
      </c>
      <c r="E1089" s="25">
        <v>0</v>
      </c>
      <c r="F1089" s="25">
        <v>256</v>
      </c>
      <c r="G1089" s="25">
        <v>222</v>
      </c>
      <c r="H1089" s="27">
        <v>0</v>
      </c>
      <c r="I1089" s="27">
        <v>0</v>
      </c>
      <c r="J1089" s="27">
        <v>0</v>
      </c>
      <c r="K1089" s="27">
        <v>0</v>
      </c>
      <c r="L1089" s="27">
        <v>1</v>
      </c>
      <c r="M1089" s="27">
        <v>0</v>
      </c>
      <c r="N1089" s="27">
        <v>0</v>
      </c>
      <c r="O1089" s="27">
        <v>0</v>
      </c>
      <c r="P1089" s="25">
        <v>700</v>
      </c>
      <c r="Q1089" s="25">
        <v>560</v>
      </c>
      <c r="R1089" s="25" t="s">
        <v>87</v>
      </c>
      <c r="S1089" s="25" t="s">
        <v>89</v>
      </c>
      <c r="T1089" s="25">
        <v>0</v>
      </c>
      <c r="U1089" s="25">
        <v>0</v>
      </c>
      <c r="V1089" s="25">
        <v>0</v>
      </c>
      <c r="W1089" s="25">
        <v>0</v>
      </c>
      <c r="X1089" s="25">
        <v>1</v>
      </c>
      <c r="Y1089" s="25">
        <v>0</v>
      </c>
      <c r="Z1089" s="25">
        <v>0</v>
      </c>
      <c r="AA1089" s="25">
        <v>0</v>
      </c>
      <c r="AB1089" s="25">
        <v>0</v>
      </c>
      <c r="AC1089" s="25">
        <v>0</v>
      </c>
      <c r="AD1089" s="25">
        <v>0</v>
      </c>
      <c r="AE1089" s="25">
        <v>1</v>
      </c>
      <c r="AF1089" s="25" t="s">
        <v>131</v>
      </c>
    </row>
    <row r="1090" spans="1:32" s="25" customFormat="1" x14ac:dyDescent="0.25">
      <c r="A1090" s="25" t="s">
        <v>187</v>
      </c>
      <c r="B1090" s="25">
        <f t="shared" si="31"/>
        <v>8450</v>
      </c>
      <c r="C1090" s="25" t="s">
        <v>12</v>
      </c>
      <c r="D1090" s="25">
        <v>0</v>
      </c>
      <c r="E1090" s="25">
        <v>0</v>
      </c>
      <c r="F1090" s="25">
        <v>256</v>
      </c>
      <c r="G1090" s="25">
        <v>222</v>
      </c>
      <c r="H1090" s="27">
        <v>0</v>
      </c>
      <c r="I1090" s="27">
        <v>0</v>
      </c>
      <c r="J1090" s="27">
        <v>0</v>
      </c>
      <c r="K1090" s="27">
        <v>0</v>
      </c>
      <c r="L1090" s="27">
        <v>1</v>
      </c>
      <c r="M1090" s="27">
        <v>0</v>
      </c>
      <c r="N1090" s="27">
        <v>0</v>
      </c>
      <c r="O1090" s="27">
        <v>0</v>
      </c>
      <c r="P1090" s="25">
        <v>700</v>
      </c>
      <c r="Q1090" s="25">
        <v>560</v>
      </c>
      <c r="R1090" s="25" t="s">
        <v>87</v>
      </c>
      <c r="S1090" s="25" t="s">
        <v>89</v>
      </c>
      <c r="T1090" s="25">
        <v>0</v>
      </c>
      <c r="U1090" s="25">
        <v>0</v>
      </c>
      <c r="V1090" s="25">
        <v>0</v>
      </c>
      <c r="W1090" s="25">
        <v>0</v>
      </c>
      <c r="X1090" s="25">
        <v>1</v>
      </c>
      <c r="Y1090" s="25">
        <v>0</v>
      </c>
      <c r="Z1090" s="25">
        <v>0</v>
      </c>
      <c r="AA1090" s="25">
        <v>0</v>
      </c>
      <c r="AB1090" s="25">
        <v>0</v>
      </c>
      <c r="AC1090" s="25">
        <v>0</v>
      </c>
      <c r="AD1090" s="25">
        <v>0</v>
      </c>
      <c r="AE1090" s="25">
        <v>1</v>
      </c>
      <c r="AF1090" s="25" t="s">
        <v>131</v>
      </c>
    </row>
    <row r="1091" spans="1:32" s="25" customFormat="1" x14ac:dyDescent="0.25">
      <c r="A1091" s="25" t="s">
        <v>187</v>
      </c>
      <c r="B1091" s="25">
        <f t="shared" si="31"/>
        <v>8460</v>
      </c>
      <c r="C1091" s="25" t="s">
        <v>12</v>
      </c>
      <c r="D1091" s="25">
        <v>0</v>
      </c>
      <c r="E1091" s="25">
        <v>0</v>
      </c>
      <c r="F1091" s="25">
        <v>256</v>
      </c>
      <c r="G1091" s="25">
        <v>222</v>
      </c>
      <c r="H1091" s="27">
        <v>0</v>
      </c>
      <c r="I1091" s="27">
        <v>0</v>
      </c>
      <c r="J1091" s="27">
        <v>0</v>
      </c>
      <c r="K1091" s="27">
        <v>0</v>
      </c>
      <c r="L1091" s="27">
        <v>1</v>
      </c>
      <c r="M1091" s="27">
        <v>0</v>
      </c>
      <c r="N1091" s="27">
        <v>0</v>
      </c>
      <c r="O1091" s="27">
        <v>0</v>
      </c>
      <c r="P1091" s="25">
        <v>700</v>
      </c>
      <c r="Q1091" s="25">
        <v>560</v>
      </c>
      <c r="R1091" s="25" t="s">
        <v>87</v>
      </c>
      <c r="S1091" s="25" t="s">
        <v>89</v>
      </c>
      <c r="T1091" s="25">
        <v>0</v>
      </c>
      <c r="U1091" s="25">
        <v>0</v>
      </c>
      <c r="V1091" s="25">
        <v>0</v>
      </c>
      <c r="W1091" s="25">
        <v>0</v>
      </c>
      <c r="X1091" s="25">
        <v>1</v>
      </c>
      <c r="Y1091" s="25">
        <v>0</v>
      </c>
      <c r="Z1091" s="25">
        <v>0</v>
      </c>
      <c r="AA1091" s="25">
        <v>0</v>
      </c>
      <c r="AB1091" s="25">
        <v>0</v>
      </c>
      <c r="AC1091" s="25">
        <v>0</v>
      </c>
      <c r="AD1091" s="25">
        <v>0</v>
      </c>
      <c r="AE1091" s="25">
        <v>1</v>
      </c>
      <c r="AF1091" s="25" t="s">
        <v>131</v>
      </c>
    </row>
    <row r="1092" spans="1:32" s="25" customFormat="1" x14ac:dyDescent="0.25">
      <c r="A1092" s="25" t="s">
        <v>187</v>
      </c>
      <c r="B1092" s="25">
        <f t="shared" si="31"/>
        <v>8470</v>
      </c>
      <c r="C1092" s="25" t="s">
        <v>12</v>
      </c>
      <c r="D1092" s="25">
        <v>0</v>
      </c>
      <c r="E1092" s="25">
        <v>0</v>
      </c>
      <c r="F1092" s="25">
        <v>256</v>
      </c>
      <c r="G1092" s="25">
        <v>222</v>
      </c>
      <c r="H1092" s="27">
        <v>0</v>
      </c>
      <c r="I1092" s="27">
        <v>0</v>
      </c>
      <c r="J1092" s="27">
        <v>0</v>
      </c>
      <c r="K1092" s="27">
        <v>0</v>
      </c>
      <c r="L1092" s="27">
        <v>1</v>
      </c>
      <c r="M1092" s="27">
        <v>0</v>
      </c>
      <c r="N1092" s="27">
        <v>0</v>
      </c>
      <c r="O1092" s="27">
        <v>0</v>
      </c>
      <c r="P1092" s="25">
        <v>700</v>
      </c>
      <c r="Q1092" s="25">
        <v>560</v>
      </c>
      <c r="R1092" s="25" t="s">
        <v>87</v>
      </c>
      <c r="S1092" s="25" t="s">
        <v>89</v>
      </c>
      <c r="T1092" s="25">
        <v>0</v>
      </c>
      <c r="U1092" s="25">
        <v>0</v>
      </c>
      <c r="V1092" s="25">
        <v>0</v>
      </c>
      <c r="W1092" s="25">
        <v>0</v>
      </c>
      <c r="X1092" s="25">
        <v>1</v>
      </c>
      <c r="Y1092" s="25">
        <v>0</v>
      </c>
      <c r="Z1092" s="25">
        <v>0</v>
      </c>
      <c r="AA1092" s="25">
        <v>0</v>
      </c>
      <c r="AB1092" s="25">
        <v>0</v>
      </c>
      <c r="AC1092" s="25">
        <v>0</v>
      </c>
      <c r="AD1092" s="25">
        <v>0</v>
      </c>
      <c r="AE1092" s="25">
        <v>1</v>
      </c>
      <c r="AF1092" s="25" t="s">
        <v>131</v>
      </c>
    </row>
    <row r="1093" spans="1:32" s="25" customFormat="1" x14ac:dyDescent="0.25">
      <c r="A1093" s="25" t="s">
        <v>187</v>
      </c>
      <c r="B1093" s="25">
        <f t="shared" si="31"/>
        <v>8480</v>
      </c>
      <c r="C1093" s="25" t="s">
        <v>12</v>
      </c>
      <c r="D1093" s="25">
        <v>0</v>
      </c>
      <c r="E1093" s="25">
        <v>0</v>
      </c>
      <c r="F1093" s="25">
        <v>256</v>
      </c>
      <c r="G1093" s="25">
        <v>222</v>
      </c>
      <c r="H1093" s="27">
        <v>0</v>
      </c>
      <c r="I1093" s="27">
        <v>0</v>
      </c>
      <c r="J1093" s="27">
        <v>0</v>
      </c>
      <c r="K1093" s="27">
        <v>0</v>
      </c>
      <c r="L1093" s="27">
        <v>1</v>
      </c>
      <c r="M1093" s="27">
        <v>0</v>
      </c>
      <c r="N1093" s="27">
        <v>0</v>
      </c>
      <c r="O1093" s="27">
        <v>0</v>
      </c>
      <c r="P1093" s="25">
        <v>700</v>
      </c>
      <c r="Q1093" s="25">
        <v>560</v>
      </c>
      <c r="R1093" s="25" t="s">
        <v>87</v>
      </c>
      <c r="S1093" s="25" t="s">
        <v>89</v>
      </c>
      <c r="T1093" s="25">
        <v>0</v>
      </c>
      <c r="U1093" s="25">
        <v>0</v>
      </c>
      <c r="V1093" s="25">
        <v>0</v>
      </c>
      <c r="W1093" s="25">
        <v>0</v>
      </c>
      <c r="X1093" s="25">
        <v>1</v>
      </c>
      <c r="Y1093" s="25">
        <v>0</v>
      </c>
      <c r="Z1093" s="25">
        <v>0</v>
      </c>
      <c r="AA1093" s="25">
        <v>0</v>
      </c>
      <c r="AB1093" s="25">
        <v>0</v>
      </c>
      <c r="AC1093" s="25">
        <v>0</v>
      </c>
      <c r="AD1093" s="25">
        <v>0</v>
      </c>
      <c r="AE1093" s="25">
        <v>1</v>
      </c>
      <c r="AF1093" s="25" t="s">
        <v>131</v>
      </c>
    </row>
    <row r="1094" spans="1:32" s="25" customFormat="1" x14ac:dyDescent="0.25">
      <c r="A1094" s="25" t="s">
        <v>187</v>
      </c>
      <c r="B1094" s="25">
        <f t="shared" si="31"/>
        <v>8490</v>
      </c>
      <c r="C1094" s="25" t="s">
        <v>12</v>
      </c>
      <c r="D1094" s="25">
        <v>0</v>
      </c>
      <c r="E1094" s="25">
        <v>0</v>
      </c>
      <c r="F1094" s="25">
        <v>256</v>
      </c>
      <c r="G1094" s="25">
        <v>222</v>
      </c>
      <c r="H1094" s="27">
        <v>0</v>
      </c>
      <c r="I1094" s="27">
        <v>0</v>
      </c>
      <c r="J1094" s="27">
        <v>0</v>
      </c>
      <c r="K1094" s="27">
        <v>0</v>
      </c>
      <c r="L1094" s="27">
        <v>1</v>
      </c>
      <c r="M1094" s="27">
        <v>0</v>
      </c>
      <c r="N1094" s="27">
        <v>0</v>
      </c>
      <c r="O1094" s="27">
        <v>0</v>
      </c>
      <c r="P1094" s="25">
        <v>700</v>
      </c>
      <c r="Q1094" s="25">
        <v>560</v>
      </c>
      <c r="R1094" s="25" t="s">
        <v>87</v>
      </c>
      <c r="S1094" s="25" t="s">
        <v>89</v>
      </c>
      <c r="T1094" s="25">
        <v>0</v>
      </c>
      <c r="U1094" s="25">
        <v>0</v>
      </c>
      <c r="V1094" s="25">
        <v>0</v>
      </c>
      <c r="W1094" s="25">
        <v>0</v>
      </c>
      <c r="X1094" s="25">
        <v>1</v>
      </c>
      <c r="Y1094" s="25">
        <v>0</v>
      </c>
      <c r="Z1094" s="25">
        <v>0</v>
      </c>
      <c r="AA1094" s="25">
        <v>0</v>
      </c>
      <c r="AB1094" s="25">
        <v>0</v>
      </c>
      <c r="AC1094" s="25">
        <v>0</v>
      </c>
      <c r="AD1094" s="25">
        <v>0</v>
      </c>
      <c r="AE1094" s="25">
        <v>1</v>
      </c>
      <c r="AF1094" s="25" t="s">
        <v>131</v>
      </c>
    </row>
    <row r="1095" spans="1:32" s="25" customFormat="1" x14ac:dyDescent="0.25">
      <c r="A1095" s="25" t="s">
        <v>187</v>
      </c>
      <c r="B1095" s="25">
        <f t="shared" si="31"/>
        <v>8500</v>
      </c>
      <c r="C1095" s="25" t="s">
        <v>12</v>
      </c>
      <c r="D1095" s="25">
        <v>0</v>
      </c>
      <c r="E1095" s="25">
        <v>0</v>
      </c>
      <c r="F1095" s="25">
        <v>256</v>
      </c>
      <c r="G1095" s="25">
        <v>222</v>
      </c>
      <c r="H1095" s="27">
        <v>0</v>
      </c>
      <c r="I1095" s="27">
        <v>0</v>
      </c>
      <c r="J1095" s="27">
        <v>0</v>
      </c>
      <c r="K1095" s="27">
        <v>0</v>
      </c>
      <c r="L1095" s="27">
        <v>1</v>
      </c>
      <c r="M1095" s="27">
        <v>0</v>
      </c>
      <c r="N1095" s="27">
        <v>0</v>
      </c>
      <c r="O1095" s="27">
        <v>0</v>
      </c>
      <c r="P1095" s="25">
        <v>700</v>
      </c>
      <c r="Q1095" s="25">
        <v>560</v>
      </c>
      <c r="R1095" s="25" t="s">
        <v>87</v>
      </c>
      <c r="S1095" s="25" t="s">
        <v>89</v>
      </c>
      <c r="T1095" s="25">
        <v>0</v>
      </c>
      <c r="U1095" s="25">
        <v>0</v>
      </c>
      <c r="V1095" s="25">
        <v>0</v>
      </c>
      <c r="W1095" s="25">
        <v>0</v>
      </c>
      <c r="X1095" s="25">
        <v>1</v>
      </c>
      <c r="Y1095" s="25">
        <v>0</v>
      </c>
      <c r="Z1095" s="25">
        <v>0</v>
      </c>
      <c r="AA1095" s="25">
        <v>0</v>
      </c>
      <c r="AB1095" s="25">
        <v>0</v>
      </c>
      <c r="AC1095" s="25">
        <v>0</v>
      </c>
      <c r="AD1095" s="25">
        <v>0</v>
      </c>
      <c r="AE1095" s="25">
        <v>1</v>
      </c>
      <c r="AF1095" s="25" t="s">
        <v>131</v>
      </c>
    </row>
    <row r="1096" spans="1:32" s="25" customFormat="1" x14ac:dyDescent="0.25">
      <c r="A1096" s="25" t="s">
        <v>187</v>
      </c>
      <c r="B1096" s="25">
        <f t="shared" si="31"/>
        <v>8510</v>
      </c>
      <c r="C1096" s="25" t="s">
        <v>12</v>
      </c>
      <c r="D1096" s="25">
        <v>0</v>
      </c>
      <c r="E1096" s="25">
        <v>0</v>
      </c>
      <c r="F1096" s="25">
        <v>256</v>
      </c>
      <c r="G1096" s="25">
        <v>222</v>
      </c>
      <c r="H1096" s="27">
        <v>0</v>
      </c>
      <c r="I1096" s="27">
        <v>0</v>
      </c>
      <c r="J1096" s="27">
        <v>0</v>
      </c>
      <c r="K1096" s="27">
        <v>0</v>
      </c>
      <c r="L1096" s="27">
        <v>1</v>
      </c>
      <c r="M1096" s="27">
        <v>0</v>
      </c>
      <c r="N1096" s="27">
        <v>0</v>
      </c>
      <c r="O1096" s="27">
        <v>0</v>
      </c>
      <c r="P1096" s="25">
        <v>700</v>
      </c>
      <c r="Q1096" s="25">
        <v>560</v>
      </c>
      <c r="R1096" s="25" t="s">
        <v>87</v>
      </c>
      <c r="S1096" s="25" t="s">
        <v>89</v>
      </c>
      <c r="T1096" s="25">
        <v>0</v>
      </c>
      <c r="U1096" s="25">
        <v>0</v>
      </c>
      <c r="V1096" s="25">
        <v>0</v>
      </c>
      <c r="W1096" s="25">
        <v>0</v>
      </c>
      <c r="X1096" s="25">
        <v>1</v>
      </c>
      <c r="Y1096" s="25">
        <v>0</v>
      </c>
      <c r="Z1096" s="25">
        <v>0</v>
      </c>
      <c r="AA1096" s="25">
        <v>0</v>
      </c>
      <c r="AB1096" s="25">
        <v>0</v>
      </c>
      <c r="AC1096" s="25">
        <v>0</v>
      </c>
      <c r="AD1096" s="25">
        <v>0</v>
      </c>
      <c r="AE1096" s="25">
        <v>1</v>
      </c>
      <c r="AF1096" s="25" t="s">
        <v>131</v>
      </c>
    </row>
    <row r="1097" spans="1:32" s="25" customFormat="1" x14ac:dyDescent="0.25">
      <c r="A1097" s="25" t="s">
        <v>187</v>
      </c>
      <c r="B1097" s="25">
        <f t="shared" si="31"/>
        <v>8520</v>
      </c>
      <c r="C1097" s="25" t="s">
        <v>12</v>
      </c>
      <c r="D1097" s="25">
        <v>0</v>
      </c>
      <c r="E1097" s="25">
        <v>0</v>
      </c>
      <c r="F1097" s="25">
        <v>256</v>
      </c>
      <c r="G1097" s="25">
        <v>222</v>
      </c>
      <c r="H1097" s="27">
        <v>0</v>
      </c>
      <c r="I1097" s="27">
        <v>0</v>
      </c>
      <c r="J1097" s="27">
        <v>0</v>
      </c>
      <c r="K1097" s="27">
        <v>0</v>
      </c>
      <c r="L1097" s="27">
        <v>1</v>
      </c>
      <c r="M1097" s="27">
        <v>0</v>
      </c>
      <c r="N1097" s="27">
        <v>0</v>
      </c>
      <c r="O1097" s="27">
        <v>0</v>
      </c>
      <c r="P1097" s="25">
        <v>700</v>
      </c>
      <c r="Q1097" s="25">
        <v>560</v>
      </c>
      <c r="R1097" s="25" t="s">
        <v>87</v>
      </c>
      <c r="S1097" s="25" t="s">
        <v>89</v>
      </c>
      <c r="T1097" s="25">
        <v>0</v>
      </c>
      <c r="U1097" s="25">
        <v>0</v>
      </c>
      <c r="V1097" s="25">
        <v>0</v>
      </c>
      <c r="W1097" s="25">
        <v>0</v>
      </c>
      <c r="X1097" s="25">
        <v>1</v>
      </c>
      <c r="Y1097" s="25">
        <v>0</v>
      </c>
      <c r="Z1097" s="25">
        <v>0</v>
      </c>
      <c r="AA1097" s="25">
        <v>0</v>
      </c>
      <c r="AB1097" s="25">
        <v>0</v>
      </c>
      <c r="AC1097" s="25">
        <v>0</v>
      </c>
      <c r="AD1097" s="25">
        <v>0</v>
      </c>
      <c r="AE1097" s="25">
        <v>1</v>
      </c>
      <c r="AF1097" s="25" t="s">
        <v>131</v>
      </c>
    </row>
    <row r="1098" spans="1:32" s="25" customFormat="1" x14ac:dyDescent="0.25">
      <c r="A1098" s="25" t="s">
        <v>187</v>
      </c>
      <c r="B1098" s="25">
        <f t="shared" si="31"/>
        <v>8530</v>
      </c>
      <c r="C1098" s="25" t="s">
        <v>12</v>
      </c>
      <c r="D1098" s="25">
        <v>0</v>
      </c>
      <c r="E1098" s="25">
        <v>0</v>
      </c>
      <c r="F1098" s="25">
        <v>256</v>
      </c>
      <c r="G1098" s="25">
        <v>222</v>
      </c>
      <c r="H1098" s="27">
        <v>0</v>
      </c>
      <c r="I1098" s="27">
        <v>0</v>
      </c>
      <c r="J1098" s="27">
        <v>0</v>
      </c>
      <c r="K1098" s="27">
        <v>0</v>
      </c>
      <c r="L1098" s="27">
        <v>1</v>
      </c>
      <c r="M1098" s="27">
        <v>0</v>
      </c>
      <c r="N1098" s="27">
        <v>0</v>
      </c>
      <c r="O1098" s="27">
        <v>0</v>
      </c>
      <c r="P1098" s="25">
        <v>700</v>
      </c>
      <c r="Q1098" s="25">
        <v>560</v>
      </c>
      <c r="R1098" s="25" t="s">
        <v>87</v>
      </c>
      <c r="S1098" s="25" t="s">
        <v>89</v>
      </c>
      <c r="T1098" s="25">
        <v>0</v>
      </c>
      <c r="U1098" s="25">
        <v>0</v>
      </c>
      <c r="V1098" s="25">
        <v>0</v>
      </c>
      <c r="W1098" s="25">
        <v>0</v>
      </c>
      <c r="X1098" s="25">
        <v>1</v>
      </c>
      <c r="Y1098" s="25">
        <v>0</v>
      </c>
      <c r="Z1098" s="25">
        <v>0</v>
      </c>
      <c r="AA1098" s="25">
        <v>0</v>
      </c>
      <c r="AB1098" s="25">
        <v>0</v>
      </c>
      <c r="AC1098" s="25">
        <v>0</v>
      </c>
      <c r="AD1098" s="25">
        <v>0</v>
      </c>
      <c r="AE1098" s="25">
        <v>1</v>
      </c>
      <c r="AF1098" s="25" t="s">
        <v>131</v>
      </c>
    </row>
    <row r="1099" spans="1:32" s="25" customFormat="1" x14ac:dyDescent="0.25">
      <c r="A1099" s="25" t="s">
        <v>187</v>
      </c>
      <c r="B1099" s="25">
        <f t="shared" si="31"/>
        <v>8540</v>
      </c>
      <c r="C1099" s="25" t="s">
        <v>12</v>
      </c>
      <c r="D1099" s="25">
        <v>0</v>
      </c>
      <c r="E1099" s="25">
        <v>0</v>
      </c>
      <c r="F1099" s="25">
        <v>256</v>
      </c>
      <c r="G1099" s="25">
        <v>222</v>
      </c>
      <c r="H1099" s="27">
        <v>0</v>
      </c>
      <c r="I1099" s="27">
        <v>0</v>
      </c>
      <c r="J1099" s="27">
        <v>0</v>
      </c>
      <c r="K1099" s="27">
        <v>0</v>
      </c>
      <c r="L1099" s="27">
        <v>1</v>
      </c>
      <c r="M1099" s="27">
        <v>0</v>
      </c>
      <c r="N1099" s="27">
        <v>0</v>
      </c>
      <c r="O1099" s="27">
        <v>0</v>
      </c>
      <c r="P1099" s="25">
        <v>700</v>
      </c>
      <c r="Q1099" s="25">
        <v>560</v>
      </c>
      <c r="R1099" s="25" t="s">
        <v>87</v>
      </c>
      <c r="S1099" s="25" t="s">
        <v>89</v>
      </c>
      <c r="T1099" s="25">
        <v>0</v>
      </c>
      <c r="U1099" s="25">
        <v>0</v>
      </c>
      <c r="V1099" s="25">
        <v>0</v>
      </c>
      <c r="W1099" s="25">
        <v>0</v>
      </c>
      <c r="X1099" s="25">
        <v>1</v>
      </c>
      <c r="Y1099" s="25">
        <v>0</v>
      </c>
      <c r="Z1099" s="25">
        <v>0</v>
      </c>
      <c r="AA1099" s="25">
        <v>0</v>
      </c>
      <c r="AB1099" s="25">
        <v>0</v>
      </c>
      <c r="AC1099" s="25">
        <v>0</v>
      </c>
      <c r="AD1099" s="25">
        <v>0</v>
      </c>
      <c r="AE1099" s="25">
        <v>1</v>
      </c>
      <c r="AF1099" s="25" t="s">
        <v>131</v>
      </c>
    </row>
    <row r="1100" spans="1:32" s="25" customFormat="1" x14ac:dyDescent="0.25">
      <c r="A1100" s="25" t="s">
        <v>187</v>
      </c>
      <c r="B1100" s="25">
        <f t="shared" si="31"/>
        <v>8550</v>
      </c>
      <c r="C1100" s="25" t="s">
        <v>12</v>
      </c>
      <c r="D1100" s="25">
        <v>0</v>
      </c>
      <c r="E1100" s="25">
        <v>0</v>
      </c>
      <c r="F1100" s="25">
        <v>256</v>
      </c>
      <c r="G1100" s="25">
        <v>222</v>
      </c>
      <c r="H1100" s="27">
        <v>0</v>
      </c>
      <c r="I1100" s="27">
        <v>0</v>
      </c>
      <c r="J1100" s="27">
        <v>0</v>
      </c>
      <c r="K1100" s="27">
        <v>0</v>
      </c>
      <c r="L1100" s="27">
        <v>1</v>
      </c>
      <c r="M1100" s="27">
        <v>0</v>
      </c>
      <c r="N1100" s="27">
        <v>0</v>
      </c>
      <c r="O1100" s="27">
        <v>0</v>
      </c>
      <c r="P1100" s="25">
        <v>700</v>
      </c>
      <c r="Q1100" s="25">
        <v>560</v>
      </c>
      <c r="R1100" s="25" t="s">
        <v>87</v>
      </c>
      <c r="S1100" s="25" t="s">
        <v>89</v>
      </c>
      <c r="T1100" s="25">
        <v>0</v>
      </c>
      <c r="U1100" s="25">
        <v>0</v>
      </c>
      <c r="V1100" s="25">
        <v>0</v>
      </c>
      <c r="W1100" s="25">
        <v>0</v>
      </c>
      <c r="X1100" s="25">
        <v>1</v>
      </c>
      <c r="Y1100" s="25">
        <v>0</v>
      </c>
      <c r="Z1100" s="25">
        <v>0</v>
      </c>
      <c r="AA1100" s="25">
        <v>0</v>
      </c>
      <c r="AB1100" s="25">
        <v>0</v>
      </c>
      <c r="AC1100" s="25">
        <v>0</v>
      </c>
      <c r="AD1100" s="25">
        <v>0</v>
      </c>
      <c r="AE1100" s="25">
        <v>1</v>
      </c>
      <c r="AF1100" s="25" t="s">
        <v>131</v>
      </c>
    </row>
    <row r="1101" spans="1:32" s="25" customFormat="1" x14ac:dyDescent="0.25">
      <c r="A1101" s="25" t="s">
        <v>187</v>
      </c>
      <c r="B1101" s="25">
        <f t="shared" si="31"/>
        <v>8560</v>
      </c>
      <c r="C1101" s="25" t="s">
        <v>12</v>
      </c>
      <c r="D1101" s="25">
        <v>0</v>
      </c>
      <c r="E1101" s="25">
        <v>0</v>
      </c>
      <c r="F1101" s="25">
        <v>256</v>
      </c>
      <c r="G1101" s="25">
        <v>222</v>
      </c>
      <c r="H1101" s="27">
        <v>0</v>
      </c>
      <c r="I1101" s="27">
        <v>0</v>
      </c>
      <c r="J1101" s="27">
        <v>0</v>
      </c>
      <c r="K1101" s="27">
        <v>0</v>
      </c>
      <c r="L1101" s="27">
        <v>1</v>
      </c>
      <c r="M1101" s="27">
        <v>0</v>
      </c>
      <c r="N1101" s="27">
        <v>0</v>
      </c>
      <c r="O1101" s="27">
        <v>0</v>
      </c>
      <c r="P1101" s="25">
        <v>700</v>
      </c>
      <c r="Q1101" s="25">
        <v>560</v>
      </c>
      <c r="R1101" s="25" t="s">
        <v>87</v>
      </c>
      <c r="S1101" s="25" t="s">
        <v>89</v>
      </c>
      <c r="T1101" s="25">
        <v>0</v>
      </c>
      <c r="U1101" s="25">
        <v>0</v>
      </c>
      <c r="V1101" s="25">
        <v>0</v>
      </c>
      <c r="W1101" s="25">
        <v>0</v>
      </c>
      <c r="X1101" s="25">
        <v>1</v>
      </c>
      <c r="Y1101" s="25">
        <v>0</v>
      </c>
      <c r="Z1101" s="25">
        <v>0</v>
      </c>
      <c r="AA1101" s="25">
        <v>0</v>
      </c>
      <c r="AB1101" s="25">
        <v>0</v>
      </c>
      <c r="AC1101" s="25">
        <v>0</v>
      </c>
      <c r="AD1101" s="25">
        <v>0</v>
      </c>
      <c r="AE1101" s="25">
        <v>1</v>
      </c>
      <c r="AF1101" s="25" t="s">
        <v>131</v>
      </c>
    </row>
    <row r="1102" spans="1:32" s="25" customFormat="1" x14ac:dyDescent="0.25">
      <c r="A1102" s="25" t="s">
        <v>187</v>
      </c>
      <c r="B1102" s="25">
        <f t="shared" si="31"/>
        <v>8570</v>
      </c>
      <c r="C1102" s="25" t="s">
        <v>12</v>
      </c>
      <c r="D1102" s="25">
        <v>0</v>
      </c>
      <c r="E1102" s="25">
        <v>0</v>
      </c>
      <c r="F1102" s="25">
        <v>256</v>
      </c>
      <c r="G1102" s="25">
        <v>222</v>
      </c>
      <c r="H1102" s="27">
        <v>0</v>
      </c>
      <c r="I1102" s="27">
        <v>0</v>
      </c>
      <c r="J1102" s="27">
        <v>0</v>
      </c>
      <c r="K1102" s="27">
        <v>0</v>
      </c>
      <c r="L1102" s="27">
        <v>1</v>
      </c>
      <c r="M1102" s="27">
        <v>0</v>
      </c>
      <c r="N1102" s="27">
        <v>0</v>
      </c>
      <c r="O1102" s="27">
        <v>0</v>
      </c>
      <c r="P1102" s="25">
        <v>700</v>
      </c>
      <c r="Q1102" s="25">
        <v>560</v>
      </c>
      <c r="R1102" s="25" t="s">
        <v>87</v>
      </c>
      <c r="S1102" s="25" t="s">
        <v>89</v>
      </c>
      <c r="T1102" s="25">
        <v>0</v>
      </c>
      <c r="U1102" s="25">
        <v>0</v>
      </c>
      <c r="V1102" s="25">
        <v>0</v>
      </c>
      <c r="W1102" s="25">
        <v>0</v>
      </c>
      <c r="X1102" s="25">
        <v>1</v>
      </c>
      <c r="Y1102" s="25">
        <v>0</v>
      </c>
      <c r="Z1102" s="25">
        <v>0</v>
      </c>
      <c r="AA1102" s="25">
        <v>0</v>
      </c>
      <c r="AB1102" s="25">
        <v>0</v>
      </c>
      <c r="AC1102" s="25">
        <v>0</v>
      </c>
      <c r="AD1102" s="25">
        <v>0</v>
      </c>
      <c r="AE1102" s="25">
        <v>1</v>
      </c>
      <c r="AF1102" s="25" t="s">
        <v>131</v>
      </c>
    </row>
    <row r="1103" spans="1:32" s="25" customFormat="1" x14ac:dyDescent="0.25">
      <c r="A1103" s="25" t="s">
        <v>187</v>
      </c>
      <c r="B1103" s="25">
        <f t="shared" si="31"/>
        <v>8580</v>
      </c>
      <c r="C1103" s="25" t="s">
        <v>12</v>
      </c>
      <c r="D1103" s="25">
        <v>0</v>
      </c>
      <c r="E1103" s="25">
        <v>0</v>
      </c>
      <c r="F1103" s="25">
        <v>256</v>
      </c>
      <c r="G1103" s="25">
        <v>222</v>
      </c>
      <c r="H1103" s="27">
        <v>0</v>
      </c>
      <c r="I1103" s="27">
        <v>0</v>
      </c>
      <c r="J1103" s="27">
        <v>0</v>
      </c>
      <c r="K1103" s="27">
        <v>0</v>
      </c>
      <c r="L1103" s="27">
        <v>1</v>
      </c>
      <c r="M1103" s="27">
        <v>0</v>
      </c>
      <c r="N1103" s="27">
        <v>0</v>
      </c>
      <c r="O1103" s="27">
        <v>0</v>
      </c>
      <c r="P1103" s="25">
        <v>700</v>
      </c>
      <c r="Q1103" s="25">
        <v>560</v>
      </c>
      <c r="R1103" s="25" t="s">
        <v>87</v>
      </c>
      <c r="S1103" s="25" t="s">
        <v>89</v>
      </c>
      <c r="T1103" s="25">
        <v>0</v>
      </c>
      <c r="U1103" s="25">
        <v>0</v>
      </c>
      <c r="V1103" s="25">
        <v>0</v>
      </c>
      <c r="W1103" s="25">
        <v>0</v>
      </c>
      <c r="X1103" s="25">
        <v>1</v>
      </c>
      <c r="Y1103" s="25">
        <v>0</v>
      </c>
      <c r="Z1103" s="25">
        <v>0</v>
      </c>
      <c r="AA1103" s="25">
        <v>0</v>
      </c>
      <c r="AB1103" s="25">
        <v>0</v>
      </c>
      <c r="AC1103" s="25">
        <v>0</v>
      </c>
      <c r="AD1103" s="25">
        <v>0</v>
      </c>
      <c r="AE1103" s="25">
        <v>1</v>
      </c>
      <c r="AF1103" s="25" t="s">
        <v>131</v>
      </c>
    </row>
    <row r="1104" spans="1:32" s="25" customFormat="1" x14ac:dyDescent="0.25">
      <c r="A1104" s="25" t="s">
        <v>187</v>
      </c>
      <c r="B1104" s="25">
        <f t="shared" si="31"/>
        <v>8590</v>
      </c>
      <c r="C1104" s="25" t="s">
        <v>12</v>
      </c>
      <c r="D1104" s="25">
        <v>0</v>
      </c>
      <c r="E1104" s="25">
        <v>0</v>
      </c>
      <c r="F1104" s="25">
        <v>256</v>
      </c>
      <c r="G1104" s="25">
        <v>222</v>
      </c>
      <c r="H1104" s="27">
        <v>0</v>
      </c>
      <c r="I1104" s="27">
        <v>0</v>
      </c>
      <c r="J1104" s="27">
        <v>0</v>
      </c>
      <c r="K1104" s="27">
        <v>0</v>
      </c>
      <c r="L1104" s="27">
        <v>1</v>
      </c>
      <c r="M1104" s="27">
        <v>0</v>
      </c>
      <c r="N1104" s="27">
        <v>0</v>
      </c>
      <c r="O1104" s="27">
        <v>0</v>
      </c>
      <c r="P1104" s="25">
        <v>700</v>
      </c>
      <c r="Q1104" s="25">
        <v>560</v>
      </c>
      <c r="R1104" s="25" t="s">
        <v>87</v>
      </c>
      <c r="S1104" s="25" t="s">
        <v>89</v>
      </c>
      <c r="T1104" s="25">
        <v>0</v>
      </c>
      <c r="U1104" s="25">
        <v>0</v>
      </c>
      <c r="V1104" s="25">
        <v>0</v>
      </c>
      <c r="W1104" s="25">
        <v>0</v>
      </c>
      <c r="X1104" s="25">
        <v>1</v>
      </c>
      <c r="Y1104" s="25">
        <v>0</v>
      </c>
      <c r="Z1104" s="25">
        <v>0</v>
      </c>
      <c r="AA1104" s="25">
        <v>0</v>
      </c>
      <c r="AB1104" s="25">
        <v>0</v>
      </c>
      <c r="AC1104" s="25">
        <v>0</v>
      </c>
      <c r="AD1104" s="25">
        <v>0</v>
      </c>
      <c r="AE1104" s="25">
        <v>1</v>
      </c>
      <c r="AF1104" s="25" t="s">
        <v>131</v>
      </c>
    </row>
    <row r="1105" spans="1:32" s="25" customFormat="1" x14ac:dyDescent="0.25">
      <c r="A1105" s="25" t="s">
        <v>187</v>
      </c>
      <c r="B1105" s="25">
        <f t="shared" si="31"/>
        <v>8600</v>
      </c>
      <c r="C1105" s="25" t="s">
        <v>12</v>
      </c>
      <c r="D1105" s="25">
        <v>0</v>
      </c>
      <c r="E1105" s="25">
        <v>0</v>
      </c>
      <c r="F1105" s="25">
        <v>256</v>
      </c>
      <c r="G1105" s="25">
        <v>222</v>
      </c>
      <c r="H1105" s="27">
        <v>0</v>
      </c>
      <c r="I1105" s="27">
        <v>0</v>
      </c>
      <c r="J1105" s="27">
        <v>0</v>
      </c>
      <c r="K1105" s="27">
        <v>0</v>
      </c>
      <c r="L1105" s="27">
        <v>1</v>
      </c>
      <c r="M1105" s="27">
        <v>0</v>
      </c>
      <c r="N1105" s="27">
        <v>0</v>
      </c>
      <c r="O1105" s="27">
        <v>0</v>
      </c>
      <c r="P1105" s="25">
        <v>700</v>
      </c>
      <c r="Q1105" s="25">
        <v>560</v>
      </c>
      <c r="R1105" s="25" t="s">
        <v>87</v>
      </c>
      <c r="S1105" s="25" t="s">
        <v>89</v>
      </c>
      <c r="T1105" s="25">
        <v>0</v>
      </c>
      <c r="U1105" s="25">
        <v>0</v>
      </c>
      <c r="V1105" s="25">
        <v>0</v>
      </c>
      <c r="W1105" s="25">
        <v>0</v>
      </c>
      <c r="X1105" s="25">
        <v>1</v>
      </c>
      <c r="Y1105" s="25">
        <v>0</v>
      </c>
      <c r="Z1105" s="25">
        <v>0</v>
      </c>
      <c r="AA1105" s="25">
        <v>0</v>
      </c>
      <c r="AB1105" s="25">
        <v>0</v>
      </c>
      <c r="AC1105" s="25">
        <v>0</v>
      </c>
      <c r="AD1105" s="25">
        <v>0</v>
      </c>
      <c r="AE1105" s="25">
        <v>1</v>
      </c>
      <c r="AF1105" s="25" t="s">
        <v>131</v>
      </c>
    </row>
    <row r="1106" spans="1:32" s="25" customFormat="1" x14ac:dyDescent="0.25">
      <c r="A1106" s="25" t="s">
        <v>187</v>
      </c>
      <c r="B1106" s="25">
        <f t="shared" si="31"/>
        <v>8610</v>
      </c>
      <c r="C1106" s="25" t="s">
        <v>12</v>
      </c>
      <c r="D1106" s="25">
        <v>0</v>
      </c>
      <c r="E1106" s="25">
        <v>0</v>
      </c>
      <c r="F1106" s="25">
        <v>256</v>
      </c>
      <c r="G1106" s="25">
        <v>222</v>
      </c>
      <c r="H1106" s="27">
        <v>0</v>
      </c>
      <c r="I1106" s="27">
        <v>0</v>
      </c>
      <c r="J1106" s="27">
        <v>0</v>
      </c>
      <c r="K1106" s="27">
        <v>0</v>
      </c>
      <c r="L1106" s="27">
        <v>1</v>
      </c>
      <c r="M1106" s="27">
        <v>0</v>
      </c>
      <c r="N1106" s="27">
        <v>0</v>
      </c>
      <c r="O1106" s="27">
        <v>0</v>
      </c>
      <c r="P1106" s="25">
        <v>700</v>
      </c>
      <c r="Q1106" s="25">
        <v>560</v>
      </c>
      <c r="R1106" s="25" t="s">
        <v>87</v>
      </c>
      <c r="S1106" s="25" t="s">
        <v>89</v>
      </c>
      <c r="T1106" s="25">
        <v>0</v>
      </c>
      <c r="U1106" s="25">
        <v>0</v>
      </c>
      <c r="V1106" s="25">
        <v>0</v>
      </c>
      <c r="W1106" s="25">
        <v>0</v>
      </c>
      <c r="X1106" s="25">
        <v>1</v>
      </c>
      <c r="Y1106" s="25">
        <v>0</v>
      </c>
      <c r="Z1106" s="25">
        <v>0</v>
      </c>
      <c r="AA1106" s="25">
        <v>0</v>
      </c>
      <c r="AB1106" s="25">
        <v>0</v>
      </c>
      <c r="AC1106" s="25">
        <v>0</v>
      </c>
      <c r="AD1106" s="25">
        <v>0</v>
      </c>
      <c r="AE1106" s="25">
        <v>1</v>
      </c>
      <c r="AF1106" s="25" t="s">
        <v>131</v>
      </c>
    </row>
    <row r="1107" spans="1:32" s="25" customFormat="1" x14ac:dyDescent="0.25">
      <c r="A1107" s="25" t="s">
        <v>187</v>
      </c>
      <c r="B1107" s="25">
        <f t="shared" si="31"/>
        <v>8620</v>
      </c>
      <c r="C1107" s="25" t="s">
        <v>12</v>
      </c>
      <c r="D1107" s="25">
        <v>0</v>
      </c>
      <c r="E1107" s="25">
        <v>0</v>
      </c>
      <c r="F1107" s="25">
        <v>256</v>
      </c>
      <c r="G1107" s="25">
        <v>222</v>
      </c>
      <c r="H1107" s="27">
        <v>0</v>
      </c>
      <c r="I1107" s="27">
        <v>0</v>
      </c>
      <c r="J1107" s="27">
        <v>0</v>
      </c>
      <c r="K1107" s="27">
        <v>0</v>
      </c>
      <c r="L1107" s="27">
        <v>1</v>
      </c>
      <c r="M1107" s="27">
        <v>0</v>
      </c>
      <c r="N1107" s="27">
        <v>0</v>
      </c>
      <c r="O1107" s="27">
        <v>0</v>
      </c>
      <c r="P1107" s="25">
        <v>700</v>
      </c>
      <c r="Q1107" s="25">
        <v>560</v>
      </c>
      <c r="R1107" s="25" t="s">
        <v>87</v>
      </c>
      <c r="S1107" s="25" t="s">
        <v>89</v>
      </c>
      <c r="T1107" s="25">
        <v>0</v>
      </c>
      <c r="U1107" s="25">
        <v>0</v>
      </c>
      <c r="V1107" s="25">
        <v>0</v>
      </c>
      <c r="W1107" s="25">
        <v>0</v>
      </c>
      <c r="X1107" s="25">
        <v>1</v>
      </c>
      <c r="Y1107" s="25">
        <v>0</v>
      </c>
      <c r="Z1107" s="25">
        <v>0</v>
      </c>
      <c r="AA1107" s="25">
        <v>0</v>
      </c>
      <c r="AB1107" s="25">
        <v>0</v>
      </c>
      <c r="AC1107" s="25">
        <v>0</v>
      </c>
      <c r="AD1107" s="25">
        <v>0</v>
      </c>
      <c r="AE1107" s="25">
        <v>1</v>
      </c>
      <c r="AF1107" s="25" t="s">
        <v>131</v>
      </c>
    </row>
    <row r="1108" spans="1:32" s="25" customFormat="1" x14ac:dyDescent="0.25">
      <c r="A1108" s="25" t="s">
        <v>187</v>
      </c>
      <c r="B1108" s="25">
        <f t="shared" si="31"/>
        <v>8630</v>
      </c>
      <c r="C1108" s="25" t="s">
        <v>12</v>
      </c>
      <c r="D1108" s="25">
        <v>0</v>
      </c>
      <c r="E1108" s="25">
        <v>0</v>
      </c>
      <c r="F1108" s="25">
        <v>256</v>
      </c>
      <c r="G1108" s="25">
        <v>222</v>
      </c>
      <c r="H1108" s="27">
        <v>0</v>
      </c>
      <c r="I1108" s="27">
        <v>0</v>
      </c>
      <c r="J1108" s="27">
        <v>0</v>
      </c>
      <c r="K1108" s="27">
        <v>0</v>
      </c>
      <c r="L1108" s="27">
        <v>1</v>
      </c>
      <c r="M1108" s="27">
        <v>0</v>
      </c>
      <c r="N1108" s="27">
        <v>0</v>
      </c>
      <c r="O1108" s="27">
        <v>0</v>
      </c>
      <c r="P1108" s="25">
        <v>700</v>
      </c>
      <c r="Q1108" s="25">
        <v>560</v>
      </c>
      <c r="R1108" s="25" t="s">
        <v>87</v>
      </c>
      <c r="S1108" s="25" t="s">
        <v>89</v>
      </c>
      <c r="T1108" s="25">
        <v>0</v>
      </c>
      <c r="U1108" s="25">
        <v>0</v>
      </c>
      <c r="V1108" s="25">
        <v>0</v>
      </c>
      <c r="W1108" s="25">
        <v>0</v>
      </c>
      <c r="X1108" s="25">
        <v>1</v>
      </c>
      <c r="Y1108" s="25">
        <v>0</v>
      </c>
      <c r="Z1108" s="25">
        <v>0</v>
      </c>
      <c r="AA1108" s="25">
        <v>0</v>
      </c>
      <c r="AB1108" s="25">
        <v>0</v>
      </c>
      <c r="AC1108" s="25">
        <v>0</v>
      </c>
      <c r="AD1108" s="25">
        <v>0</v>
      </c>
      <c r="AE1108" s="25">
        <v>1</v>
      </c>
      <c r="AF1108" s="25" t="s">
        <v>131</v>
      </c>
    </row>
    <row r="1109" spans="1:32" s="25" customFormat="1" x14ac:dyDescent="0.25">
      <c r="A1109" s="25" t="s">
        <v>187</v>
      </c>
      <c r="B1109" s="25">
        <f t="shared" si="31"/>
        <v>8640</v>
      </c>
      <c r="C1109" s="25" t="s">
        <v>12</v>
      </c>
      <c r="D1109" s="25">
        <v>0</v>
      </c>
      <c r="E1109" s="25">
        <v>0</v>
      </c>
      <c r="F1109" s="25">
        <v>256</v>
      </c>
      <c r="G1109" s="25">
        <v>222</v>
      </c>
      <c r="H1109" s="27">
        <v>0</v>
      </c>
      <c r="I1109" s="27">
        <v>0</v>
      </c>
      <c r="J1109" s="27">
        <v>0</v>
      </c>
      <c r="K1109" s="27">
        <v>0</v>
      </c>
      <c r="L1109" s="27">
        <v>1</v>
      </c>
      <c r="M1109" s="27">
        <v>0</v>
      </c>
      <c r="N1109" s="27">
        <v>0</v>
      </c>
      <c r="O1109" s="27">
        <v>0</v>
      </c>
      <c r="P1109" s="25">
        <v>700</v>
      </c>
      <c r="Q1109" s="25">
        <v>560</v>
      </c>
      <c r="R1109" s="25" t="s">
        <v>87</v>
      </c>
      <c r="S1109" s="25" t="s">
        <v>89</v>
      </c>
      <c r="T1109" s="25">
        <v>0</v>
      </c>
      <c r="U1109" s="25">
        <v>0</v>
      </c>
      <c r="V1109" s="25">
        <v>0</v>
      </c>
      <c r="W1109" s="25">
        <v>0</v>
      </c>
      <c r="X1109" s="25">
        <v>1</v>
      </c>
      <c r="Y1109" s="25">
        <v>0</v>
      </c>
      <c r="Z1109" s="25">
        <v>0</v>
      </c>
      <c r="AA1109" s="25">
        <v>0</v>
      </c>
      <c r="AB1109" s="25">
        <v>0</v>
      </c>
      <c r="AC1109" s="25">
        <v>0</v>
      </c>
      <c r="AD1109" s="25">
        <v>0</v>
      </c>
      <c r="AE1109" s="25">
        <v>1</v>
      </c>
      <c r="AF1109" s="25" t="s">
        <v>131</v>
      </c>
    </row>
    <row r="1110" spans="1:32" s="25" customFormat="1" x14ac:dyDescent="0.25">
      <c r="A1110" s="25" t="s">
        <v>187</v>
      </c>
      <c r="B1110" s="25">
        <f t="shared" si="31"/>
        <v>8650</v>
      </c>
      <c r="C1110" s="25" t="s">
        <v>12</v>
      </c>
      <c r="D1110" s="25">
        <v>0</v>
      </c>
      <c r="E1110" s="25">
        <v>0</v>
      </c>
      <c r="F1110" s="25">
        <v>256</v>
      </c>
      <c r="G1110" s="25">
        <v>222</v>
      </c>
      <c r="H1110" s="27">
        <v>0</v>
      </c>
      <c r="I1110" s="27">
        <v>0</v>
      </c>
      <c r="J1110" s="27">
        <v>0</v>
      </c>
      <c r="K1110" s="27">
        <v>0</v>
      </c>
      <c r="L1110" s="27">
        <v>1</v>
      </c>
      <c r="M1110" s="27">
        <v>0</v>
      </c>
      <c r="N1110" s="27">
        <v>0</v>
      </c>
      <c r="O1110" s="27">
        <v>0</v>
      </c>
      <c r="P1110" s="25">
        <v>700</v>
      </c>
      <c r="Q1110" s="25">
        <v>560</v>
      </c>
      <c r="R1110" s="25" t="s">
        <v>87</v>
      </c>
      <c r="S1110" s="25" t="s">
        <v>89</v>
      </c>
      <c r="T1110" s="25">
        <v>0</v>
      </c>
      <c r="U1110" s="25">
        <v>0</v>
      </c>
      <c r="V1110" s="25">
        <v>0</v>
      </c>
      <c r="W1110" s="25">
        <v>0</v>
      </c>
      <c r="X1110" s="25">
        <v>1</v>
      </c>
      <c r="Y1110" s="25">
        <v>0</v>
      </c>
      <c r="Z1110" s="25">
        <v>0</v>
      </c>
      <c r="AA1110" s="25">
        <v>0</v>
      </c>
      <c r="AB1110" s="25">
        <v>0</v>
      </c>
      <c r="AC1110" s="25">
        <v>0</v>
      </c>
      <c r="AD1110" s="25">
        <v>0</v>
      </c>
      <c r="AE1110" s="25">
        <v>1</v>
      </c>
      <c r="AF1110" s="25" t="s">
        <v>131</v>
      </c>
    </row>
    <row r="1111" spans="1:32" s="25" customFormat="1" x14ac:dyDescent="0.25">
      <c r="A1111" s="25" t="s">
        <v>187</v>
      </c>
      <c r="B1111" s="25">
        <f t="shared" si="31"/>
        <v>8660</v>
      </c>
      <c r="C1111" s="25" t="s">
        <v>12</v>
      </c>
      <c r="D1111" s="25">
        <v>0</v>
      </c>
      <c r="E1111" s="25">
        <v>0</v>
      </c>
      <c r="F1111" s="25">
        <v>256</v>
      </c>
      <c r="G1111" s="25">
        <v>222</v>
      </c>
      <c r="H1111" s="27">
        <v>0</v>
      </c>
      <c r="I1111" s="27">
        <v>0</v>
      </c>
      <c r="J1111" s="27">
        <v>0</v>
      </c>
      <c r="K1111" s="27">
        <v>0</v>
      </c>
      <c r="L1111" s="27">
        <v>1</v>
      </c>
      <c r="M1111" s="27">
        <v>0</v>
      </c>
      <c r="N1111" s="27">
        <v>0</v>
      </c>
      <c r="O1111" s="27">
        <v>0</v>
      </c>
      <c r="P1111" s="25">
        <v>700</v>
      </c>
      <c r="Q1111" s="25">
        <v>560</v>
      </c>
      <c r="R1111" s="25" t="s">
        <v>87</v>
      </c>
      <c r="S1111" s="25" t="s">
        <v>89</v>
      </c>
      <c r="T1111" s="25">
        <v>0</v>
      </c>
      <c r="U1111" s="25">
        <v>0</v>
      </c>
      <c r="V1111" s="25">
        <v>0</v>
      </c>
      <c r="W1111" s="25">
        <v>0</v>
      </c>
      <c r="X1111" s="25">
        <v>1</v>
      </c>
      <c r="Y1111" s="25">
        <v>0</v>
      </c>
      <c r="Z1111" s="25">
        <v>0</v>
      </c>
      <c r="AA1111" s="25">
        <v>0</v>
      </c>
      <c r="AB1111" s="25">
        <v>0</v>
      </c>
      <c r="AC1111" s="25">
        <v>0</v>
      </c>
      <c r="AD1111" s="25">
        <v>0</v>
      </c>
      <c r="AE1111" s="25">
        <v>1</v>
      </c>
      <c r="AF1111" s="25" t="s">
        <v>131</v>
      </c>
    </row>
    <row r="1112" spans="1:32" s="25" customFormat="1" x14ac:dyDescent="0.25">
      <c r="A1112" s="25" t="s">
        <v>187</v>
      </c>
      <c r="B1112" s="25">
        <f t="shared" si="31"/>
        <v>8670</v>
      </c>
      <c r="C1112" s="25" t="s">
        <v>12</v>
      </c>
      <c r="D1112" s="25">
        <v>0</v>
      </c>
      <c r="E1112" s="25">
        <v>0</v>
      </c>
      <c r="F1112" s="25">
        <v>256</v>
      </c>
      <c r="G1112" s="25">
        <v>222</v>
      </c>
      <c r="H1112" s="27">
        <v>0</v>
      </c>
      <c r="I1112" s="27">
        <v>0</v>
      </c>
      <c r="J1112" s="27">
        <v>0</v>
      </c>
      <c r="K1112" s="27">
        <v>0</v>
      </c>
      <c r="L1112" s="27">
        <v>1</v>
      </c>
      <c r="M1112" s="27">
        <v>0</v>
      </c>
      <c r="N1112" s="27">
        <v>0</v>
      </c>
      <c r="O1112" s="27">
        <v>0</v>
      </c>
      <c r="P1112" s="25">
        <v>700</v>
      </c>
      <c r="Q1112" s="25">
        <v>560</v>
      </c>
      <c r="R1112" s="25" t="s">
        <v>87</v>
      </c>
      <c r="S1112" s="25" t="s">
        <v>89</v>
      </c>
      <c r="T1112" s="25">
        <v>0</v>
      </c>
      <c r="U1112" s="25">
        <v>0</v>
      </c>
      <c r="V1112" s="25">
        <v>0</v>
      </c>
      <c r="W1112" s="25">
        <v>0</v>
      </c>
      <c r="X1112" s="25">
        <v>1</v>
      </c>
      <c r="Y1112" s="25">
        <v>0</v>
      </c>
      <c r="Z1112" s="25">
        <v>0</v>
      </c>
      <c r="AA1112" s="25">
        <v>0</v>
      </c>
      <c r="AB1112" s="25">
        <v>0</v>
      </c>
      <c r="AC1112" s="25">
        <v>0</v>
      </c>
      <c r="AD1112" s="25">
        <v>0</v>
      </c>
      <c r="AE1112" s="25">
        <v>1</v>
      </c>
      <c r="AF1112" s="25" t="s">
        <v>131</v>
      </c>
    </row>
    <row r="1113" spans="1:32" x14ac:dyDescent="0.25">
      <c r="A1113" t="s">
        <v>187</v>
      </c>
      <c r="B1113" s="25">
        <f t="shared" si="31"/>
        <v>8680</v>
      </c>
      <c r="C1113" t="s">
        <v>12</v>
      </c>
      <c r="D1113">
        <v>0</v>
      </c>
      <c r="E1113">
        <v>0</v>
      </c>
      <c r="F1113">
        <v>256</v>
      </c>
      <c r="G1113">
        <v>222</v>
      </c>
      <c r="H1113" s="27">
        <v>0</v>
      </c>
      <c r="I1113" s="27">
        <v>0</v>
      </c>
      <c r="J1113" s="27">
        <v>0</v>
      </c>
      <c r="K1113" s="27">
        <v>0</v>
      </c>
      <c r="L1113" s="27">
        <v>1</v>
      </c>
      <c r="M1113" s="27">
        <v>0</v>
      </c>
      <c r="N1113" s="27">
        <v>0</v>
      </c>
      <c r="O1113" s="27">
        <v>0</v>
      </c>
      <c r="P1113">
        <v>700</v>
      </c>
      <c r="Q1113">
        <v>560</v>
      </c>
      <c r="R1113" t="s">
        <v>87</v>
      </c>
      <c r="S1113" t="s">
        <v>89</v>
      </c>
      <c r="T1113">
        <v>0</v>
      </c>
      <c r="U1113">
        <v>0</v>
      </c>
      <c r="V1113">
        <v>0</v>
      </c>
      <c r="W1113">
        <v>0</v>
      </c>
      <c r="X1113">
        <v>1</v>
      </c>
      <c r="Y1113">
        <v>0</v>
      </c>
      <c r="Z1113">
        <v>0</v>
      </c>
      <c r="AA1113">
        <v>0</v>
      </c>
      <c r="AB1113">
        <v>0</v>
      </c>
      <c r="AC1113">
        <v>0</v>
      </c>
      <c r="AD1113">
        <v>0</v>
      </c>
      <c r="AE1113">
        <v>1</v>
      </c>
      <c r="AF1113" t="s">
        <v>131</v>
      </c>
    </row>
    <row r="1114" spans="1:32" x14ac:dyDescent="0.25">
      <c r="A1114" t="s">
        <v>187</v>
      </c>
      <c r="B1114" s="25">
        <f t="shared" si="31"/>
        <v>8690</v>
      </c>
      <c r="C1114" t="s">
        <v>12</v>
      </c>
      <c r="D1114" t="s">
        <v>13</v>
      </c>
      <c r="E1114" t="s">
        <v>13</v>
      </c>
      <c r="F1114" t="s">
        <v>13</v>
      </c>
      <c r="G1114" t="s">
        <v>13</v>
      </c>
      <c r="H1114" s="27" t="s">
        <v>13</v>
      </c>
      <c r="I1114" s="27" t="s">
        <v>13</v>
      </c>
      <c r="J1114" s="27" t="s">
        <v>13</v>
      </c>
      <c r="K1114" s="27" t="s">
        <v>13</v>
      </c>
      <c r="L1114" s="27" t="s">
        <v>13</v>
      </c>
      <c r="M1114" s="27" t="s">
        <v>13</v>
      </c>
      <c r="N1114" s="27" t="s">
        <v>13</v>
      </c>
      <c r="O1114" s="27" t="s">
        <v>13</v>
      </c>
      <c r="P1114">
        <v>700</v>
      </c>
      <c r="Q1114">
        <v>560</v>
      </c>
      <c r="R1114" t="s">
        <v>87</v>
      </c>
      <c r="S1114" t="s">
        <v>89</v>
      </c>
      <c r="T1114">
        <v>0</v>
      </c>
      <c r="U1114">
        <v>0</v>
      </c>
      <c r="V1114">
        <v>0</v>
      </c>
      <c r="W1114">
        <v>0</v>
      </c>
      <c r="X1114">
        <v>1</v>
      </c>
      <c r="Y1114">
        <v>0</v>
      </c>
      <c r="Z1114">
        <v>0</v>
      </c>
      <c r="AA1114">
        <v>0</v>
      </c>
      <c r="AB1114">
        <v>0</v>
      </c>
      <c r="AC1114">
        <v>0</v>
      </c>
      <c r="AD1114">
        <v>0</v>
      </c>
      <c r="AE1114">
        <v>1</v>
      </c>
      <c r="AF1114" t="s">
        <v>132</v>
      </c>
    </row>
    <row r="1115" spans="1:32" x14ac:dyDescent="0.25">
      <c r="A1115" t="s">
        <v>187</v>
      </c>
      <c r="B1115" s="25">
        <f t="shared" si="31"/>
        <v>8700</v>
      </c>
      <c r="C1115" t="s">
        <v>12</v>
      </c>
      <c r="D1115">
        <v>0</v>
      </c>
      <c r="E1115">
        <v>0</v>
      </c>
      <c r="F1115">
        <v>256</v>
      </c>
      <c r="G1115">
        <v>222</v>
      </c>
      <c r="H1115" s="27">
        <v>0</v>
      </c>
      <c r="I1115" s="27">
        <v>0</v>
      </c>
      <c r="J1115" s="27">
        <v>0</v>
      </c>
      <c r="K1115" s="27">
        <v>0</v>
      </c>
      <c r="L1115" s="27">
        <v>1</v>
      </c>
      <c r="M1115" s="27">
        <v>0</v>
      </c>
      <c r="N1115" s="27">
        <v>0</v>
      </c>
      <c r="O1115" s="27">
        <v>0</v>
      </c>
      <c r="P1115">
        <v>700</v>
      </c>
      <c r="Q1115">
        <v>560</v>
      </c>
      <c r="R1115" t="s">
        <v>87</v>
      </c>
      <c r="S1115" t="s">
        <v>89</v>
      </c>
      <c r="T1115">
        <v>0</v>
      </c>
      <c r="U1115">
        <v>0</v>
      </c>
      <c r="V1115">
        <v>0</v>
      </c>
      <c r="W1115">
        <v>0</v>
      </c>
      <c r="X1115">
        <v>1</v>
      </c>
      <c r="Y1115">
        <v>0</v>
      </c>
      <c r="Z1115">
        <v>0</v>
      </c>
      <c r="AA1115">
        <v>0</v>
      </c>
      <c r="AB1115">
        <v>0</v>
      </c>
      <c r="AC1115">
        <v>0</v>
      </c>
      <c r="AD1115">
        <v>0</v>
      </c>
      <c r="AE1115">
        <v>1</v>
      </c>
      <c r="AF1115" t="s">
        <v>132</v>
      </c>
    </row>
    <row r="1116" spans="1:32" s="25" customFormat="1" x14ac:dyDescent="0.25">
      <c r="A1116" s="25" t="s">
        <v>187</v>
      </c>
      <c r="B1116" s="25">
        <f t="shared" ref="B1116:B1168" si="32">B1115+10</f>
        <v>8710</v>
      </c>
      <c r="C1116" s="25" t="s">
        <v>12</v>
      </c>
      <c r="D1116" s="25">
        <v>0</v>
      </c>
      <c r="E1116" s="25">
        <v>0</v>
      </c>
      <c r="F1116" s="25">
        <v>256</v>
      </c>
      <c r="G1116" s="25">
        <v>222</v>
      </c>
      <c r="H1116" s="27">
        <v>0</v>
      </c>
      <c r="I1116" s="27">
        <v>0</v>
      </c>
      <c r="J1116" s="27">
        <v>0</v>
      </c>
      <c r="K1116" s="27">
        <v>0</v>
      </c>
      <c r="L1116" s="27">
        <v>1</v>
      </c>
      <c r="M1116" s="27">
        <v>0</v>
      </c>
      <c r="N1116" s="27">
        <v>0</v>
      </c>
      <c r="O1116" s="27">
        <v>0</v>
      </c>
      <c r="P1116" s="25">
        <v>700</v>
      </c>
      <c r="Q1116" s="25">
        <v>560</v>
      </c>
      <c r="R1116" s="25" t="s">
        <v>87</v>
      </c>
      <c r="S1116" s="25" t="s">
        <v>89</v>
      </c>
      <c r="T1116" s="25">
        <v>0</v>
      </c>
      <c r="U1116" s="25">
        <v>0</v>
      </c>
      <c r="V1116" s="25">
        <v>0</v>
      </c>
      <c r="W1116" s="25">
        <v>0</v>
      </c>
      <c r="X1116" s="25">
        <v>1</v>
      </c>
      <c r="Y1116" s="25">
        <v>0</v>
      </c>
      <c r="Z1116" s="25">
        <v>0</v>
      </c>
      <c r="AA1116" s="25">
        <v>0</v>
      </c>
      <c r="AB1116" s="25">
        <v>0</v>
      </c>
      <c r="AC1116" s="25">
        <v>0</v>
      </c>
      <c r="AD1116" s="25">
        <v>0</v>
      </c>
      <c r="AE1116" s="25">
        <v>1</v>
      </c>
      <c r="AF1116" s="25" t="s">
        <v>132</v>
      </c>
    </row>
    <row r="1117" spans="1:32" s="25" customFormat="1" x14ac:dyDescent="0.25">
      <c r="A1117" s="25" t="s">
        <v>187</v>
      </c>
      <c r="B1117" s="25">
        <f t="shared" si="32"/>
        <v>8720</v>
      </c>
      <c r="C1117" s="25" t="s">
        <v>12</v>
      </c>
      <c r="D1117" s="25">
        <v>0</v>
      </c>
      <c r="E1117" s="25">
        <v>0</v>
      </c>
      <c r="F1117" s="25">
        <v>256</v>
      </c>
      <c r="G1117" s="25">
        <v>222</v>
      </c>
      <c r="H1117" s="27">
        <v>0</v>
      </c>
      <c r="I1117" s="27">
        <v>0</v>
      </c>
      <c r="J1117" s="27">
        <v>0</v>
      </c>
      <c r="K1117" s="27">
        <v>0</v>
      </c>
      <c r="L1117" s="27">
        <v>1</v>
      </c>
      <c r="M1117" s="27">
        <v>0</v>
      </c>
      <c r="N1117" s="27">
        <v>0</v>
      </c>
      <c r="O1117" s="27">
        <v>0</v>
      </c>
      <c r="P1117" s="25">
        <v>700</v>
      </c>
      <c r="Q1117" s="25">
        <v>560</v>
      </c>
      <c r="R1117" s="25" t="s">
        <v>87</v>
      </c>
      <c r="S1117" s="25" t="s">
        <v>89</v>
      </c>
      <c r="T1117" s="25">
        <v>0</v>
      </c>
      <c r="U1117" s="25">
        <v>0</v>
      </c>
      <c r="V1117" s="25">
        <v>0</v>
      </c>
      <c r="W1117" s="25">
        <v>0</v>
      </c>
      <c r="X1117" s="25">
        <v>1</v>
      </c>
      <c r="Y1117" s="25">
        <v>0</v>
      </c>
      <c r="Z1117" s="25">
        <v>0</v>
      </c>
      <c r="AA1117" s="25">
        <v>0</v>
      </c>
      <c r="AB1117" s="25">
        <v>0</v>
      </c>
      <c r="AC1117" s="25">
        <v>0</v>
      </c>
      <c r="AD1117" s="25">
        <v>0</v>
      </c>
      <c r="AE1117" s="25">
        <v>1</v>
      </c>
      <c r="AF1117" s="25" t="s">
        <v>132</v>
      </c>
    </row>
    <row r="1118" spans="1:32" s="25" customFormat="1" x14ac:dyDescent="0.25">
      <c r="A1118" s="25" t="s">
        <v>187</v>
      </c>
      <c r="B1118" s="25">
        <f t="shared" si="32"/>
        <v>8730</v>
      </c>
      <c r="C1118" s="25" t="s">
        <v>12</v>
      </c>
      <c r="D1118" s="25">
        <v>0</v>
      </c>
      <c r="E1118" s="25">
        <v>0</v>
      </c>
      <c r="F1118" s="25">
        <v>256</v>
      </c>
      <c r="G1118" s="25">
        <v>222</v>
      </c>
      <c r="H1118" s="27">
        <v>0</v>
      </c>
      <c r="I1118" s="27">
        <v>0</v>
      </c>
      <c r="J1118" s="27">
        <v>0</v>
      </c>
      <c r="K1118" s="27">
        <v>0</v>
      </c>
      <c r="L1118" s="27">
        <v>1</v>
      </c>
      <c r="M1118" s="27">
        <v>0</v>
      </c>
      <c r="N1118" s="27">
        <v>0</v>
      </c>
      <c r="O1118" s="27">
        <v>0</v>
      </c>
      <c r="P1118" s="25">
        <v>700</v>
      </c>
      <c r="Q1118" s="25">
        <v>560</v>
      </c>
      <c r="R1118" s="25" t="s">
        <v>87</v>
      </c>
      <c r="S1118" s="25" t="s">
        <v>89</v>
      </c>
      <c r="T1118" s="25">
        <v>0</v>
      </c>
      <c r="U1118" s="25">
        <v>0</v>
      </c>
      <c r="V1118" s="25">
        <v>0</v>
      </c>
      <c r="W1118" s="25">
        <v>0</v>
      </c>
      <c r="X1118" s="25">
        <v>1</v>
      </c>
      <c r="Y1118" s="25">
        <v>0</v>
      </c>
      <c r="Z1118" s="25">
        <v>0</v>
      </c>
      <c r="AA1118" s="25">
        <v>0</v>
      </c>
      <c r="AB1118" s="25">
        <v>0</v>
      </c>
      <c r="AC1118" s="25">
        <v>0</v>
      </c>
      <c r="AD1118" s="25">
        <v>0</v>
      </c>
      <c r="AE1118" s="25">
        <v>1</v>
      </c>
      <c r="AF1118" s="25" t="s">
        <v>132</v>
      </c>
    </row>
    <row r="1119" spans="1:32" s="25" customFormat="1" x14ac:dyDescent="0.25">
      <c r="A1119" s="25" t="s">
        <v>187</v>
      </c>
      <c r="B1119" s="25">
        <f t="shared" si="32"/>
        <v>8740</v>
      </c>
      <c r="C1119" s="25" t="s">
        <v>12</v>
      </c>
      <c r="D1119" s="25">
        <v>0</v>
      </c>
      <c r="E1119" s="25">
        <v>0</v>
      </c>
      <c r="F1119" s="25">
        <v>256</v>
      </c>
      <c r="G1119" s="25">
        <v>222</v>
      </c>
      <c r="H1119" s="27">
        <v>0</v>
      </c>
      <c r="I1119" s="27">
        <v>0</v>
      </c>
      <c r="J1119" s="27">
        <v>0</v>
      </c>
      <c r="K1119" s="27">
        <v>0</v>
      </c>
      <c r="L1119" s="27">
        <v>1</v>
      </c>
      <c r="M1119" s="27">
        <v>0</v>
      </c>
      <c r="N1119" s="27">
        <v>0</v>
      </c>
      <c r="O1119" s="27">
        <v>0</v>
      </c>
      <c r="P1119" s="25">
        <v>700</v>
      </c>
      <c r="Q1119" s="25">
        <v>560</v>
      </c>
      <c r="R1119" s="25" t="s">
        <v>87</v>
      </c>
      <c r="S1119" s="25" t="s">
        <v>89</v>
      </c>
      <c r="T1119" s="25">
        <v>0</v>
      </c>
      <c r="U1119" s="25">
        <v>0</v>
      </c>
      <c r="V1119" s="25">
        <v>0</v>
      </c>
      <c r="W1119" s="25">
        <v>0</v>
      </c>
      <c r="X1119" s="25">
        <v>1</v>
      </c>
      <c r="Y1119" s="25">
        <v>0</v>
      </c>
      <c r="Z1119" s="25">
        <v>0</v>
      </c>
      <c r="AA1119" s="25">
        <v>0</v>
      </c>
      <c r="AB1119" s="25">
        <v>0</v>
      </c>
      <c r="AC1119" s="25">
        <v>0</v>
      </c>
      <c r="AD1119" s="25">
        <v>0</v>
      </c>
      <c r="AE1119" s="25">
        <v>1</v>
      </c>
      <c r="AF1119" s="25" t="s">
        <v>132</v>
      </c>
    </row>
    <row r="1120" spans="1:32" s="25" customFormat="1" x14ac:dyDescent="0.25">
      <c r="A1120" s="25" t="s">
        <v>187</v>
      </c>
      <c r="B1120" s="25">
        <f t="shared" si="32"/>
        <v>8750</v>
      </c>
      <c r="C1120" s="25" t="s">
        <v>12</v>
      </c>
      <c r="D1120" s="25">
        <v>0</v>
      </c>
      <c r="E1120" s="25">
        <v>0</v>
      </c>
      <c r="F1120" s="25">
        <v>256</v>
      </c>
      <c r="G1120" s="25">
        <v>222</v>
      </c>
      <c r="H1120" s="27">
        <v>0</v>
      </c>
      <c r="I1120" s="27">
        <v>0</v>
      </c>
      <c r="J1120" s="27">
        <v>0</v>
      </c>
      <c r="K1120" s="27">
        <v>0</v>
      </c>
      <c r="L1120" s="27">
        <v>1</v>
      </c>
      <c r="M1120" s="27">
        <v>0</v>
      </c>
      <c r="N1120" s="27">
        <v>0</v>
      </c>
      <c r="O1120" s="27">
        <v>0</v>
      </c>
      <c r="P1120" s="25">
        <v>700</v>
      </c>
      <c r="Q1120" s="25">
        <v>560</v>
      </c>
      <c r="R1120" s="25" t="s">
        <v>87</v>
      </c>
      <c r="S1120" s="25" t="s">
        <v>89</v>
      </c>
      <c r="T1120" s="25">
        <v>0</v>
      </c>
      <c r="U1120" s="25">
        <v>0</v>
      </c>
      <c r="V1120" s="25">
        <v>0</v>
      </c>
      <c r="W1120" s="25">
        <v>0</v>
      </c>
      <c r="X1120" s="25">
        <v>1</v>
      </c>
      <c r="Y1120" s="25">
        <v>0</v>
      </c>
      <c r="Z1120" s="25">
        <v>0</v>
      </c>
      <c r="AA1120" s="25">
        <v>0</v>
      </c>
      <c r="AB1120" s="25">
        <v>0</v>
      </c>
      <c r="AC1120" s="25">
        <v>0</v>
      </c>
      <c r="AD1120" s="25">
        <v>0</v>
      </c>
      <c r="AE1120" s="25">
        <v>1</v>
      </c>
      <c r="AF1120" s="25" t="s">
        <v>132</v>
      </c>
    </row>
    <row r="1121" spans="1:32" s="25" customFormat="1" x14ac:dyDescent="0.25">
      <c r="A1121" s="25" t="s">
        <v>187</v>
      </c>
      <c r="B1121" s="25">
        <f t="shared" si="32"/>
        <v>8760</v>
      </c>
      <c r="C1121" s="25" t="s">
        <v>12</v>
      </c>
      <c r="D1121" s="25">
        <v>0</v>
      </c>
      <c r="E1121" s="25">
        <v>0</v>
      </c>
      <c r="F1121" s="25">
        <v>256</v>
      </c>
      <c r="G1121" s="25">
        <v>222</v>
      </c>
      <c r="H1121" s="27">
        <v>0</v>
      </c>
      <c r="I1121" s="27">
        <v>0</v>
      </c>
      <c r="J1121" s="27">
        <v>0</v>
      </c>
      <c r="K1121" s="27">
        <v>0</v>
      </c>
      <c r="L1121" s="27">
        <v>1</v>
      </c>
      <c r="M1121" s="27">
        <v>0</v>
      </c>
      <c r="N1121" s="27">
        <v>0</v>
      </c>
      <c r="O1121" s="27">
        <v>0</v>
      </c>
      <c r="P1121" s="25">
        <v>700</v>
      </c>
      <c r="Q1121" s="25">
        <v>560</v>
      </c>
      <c r="R1121" s="25" t="s">
        <v>87</v>
      </c>
      <c r="S1121" s="25" t="s">
        <v>89</v>
      </c>
      <c r="T1121" s="25">
        <v>0</v>
      </c>
      <c r="U1121" s="25">
        <v>0</v>
      </c>
      <c r="V1121" s="25">
        <v>0</v>
      </c>
      <c r="W1121" s="25">
        <v>0</v>
      </c>
      <c r="X1121" s="25">
        <v>1</v>
      </c>
      <c r="Y1121" s="25">
        <v>0</v>
      </c>
      <c r="Z1121" s="25">
        <v>0</v>
      </c>
      <c r="AA1121" s="25">
        <v>0</v>
      </c>
      <c r="AB1121" s="25">
        <v>0</v>
      </c>
      <c r="AC1121" s="25">
        <v>0</v>
      </c>
      <c r="AD1121" s="25">
        <v>0</v>
      </c>
      <c r="AE1121" s="25">
        <v>1</v>
      </c>
      <c r="AF1121" s="25" t="s">
        <v>132</v>
      </c>
    </row>
    <row r="1122" spans="1:32" s="25" customFormat="1" x14ac:dyDescent="0.25">
      <c r="A1122" s="25" t="s">
        <v>187</v>
      </c>
      <c r="B1122" s="25">
        <f t="shared" si="32"/>
        <v>8770</v>
      </c>
      <c r="C1122" s="25" t="s">
        <v>12</v>
      </c>
      <c r="D1122" s="25">
        <v>0</v>
      </c>
      <c r="E1122" s="25">
        <v>0</v>
      </c>
      <c r="F1122" s="25">
        <v>256</v>
      </c>
      <c r="G1122" s="25">
        <v>222</v>
      </c>
      <c r="H1122" s="27">
        <v>0</v>
      </c>
      <c r="I1122" s="27">
        <v>0</v>
      </c>
      <c r="J1122" s="27">
        <v>0</v>
      </c>
      <c r="K1122" s="27">
        <v>0</v>
      </c>
      <c r="L1122" s="27">
        <v>1</v>
      </c>
      <c r="M1122" s="27">
        <v>0</v>
      </c>
      <c r="N1122" s="27">
        <v>0</v>
      </c>
      <c r="O1122" s="27">
        <v>0</v>
      </c>
      <c r="P1122" s="25">
        <v>700</v>
      </c>
      <c r="Q1122" s="25">
        <v>560</v>
      </c>
      <c r="R1122" s="25" t="s">
        <v>87</v>
      </c>
      <c r="S1122" s="25" t="s">
        <v>89</v>
      </c>
      <c r="T1122" s="25">
        <v>0</v>
      </c>
      <c r="U1122" s="25">
        <v>0</v>
      </c>
      <c r="V1122" s="25">
        <v>0</v>
      </c>
      <c r="W1122" s="25">
        <v>0</v>
      </c>
      <c r="X1122" s="25">
        <v>1</v>
      </c>
      <c r="Y1122" s="25">
        <v>0</v>
      </c>
      <c r="Z1122" s="25">
        <v>0</v>
      </c>
      <c r="AA1122" s="25">
        <v>0</v>
      </c>
      <c r="AB1122" s="25">
        <v>0</v>
      </c>
      <c r="AC1122" s="25">
        <v>0</v>
      </c>
      <c r="AD1122" s="25">
        <v>0</v>
      </c>
      <c r="AE1122" s="25">
        <v>1</v>
      </c>
      <c r="AF1122" s="25" t="s">
        <v>132</v>
      </c>
    </row>
    <row r="1123" spans="1:32" s="25" customFormat="1" x14ac:dyDescent="0.25">
      <c r="A1123" s="25" t="s">
        <v>187</v>
      </c>
      <c r="B1123" s="25">
        <f t="shared" si="32"/>
        <v>8780</v>
      </c>
      <c r="C1123" s="25" t="s">
        <v>12</v>
      </c>
      <c r="D1123" s="25">
        <v>0</v>
      </c>
      <c r="E1123" s="25">
        <v>0</v>
      </c>
      <c r="F1123" s="25">
        <v>256</v>
      </c>
      <c r="G1123" s="25">
        <v>222</v>
      </c>
      <c r="H1123" s="27">
        <v>0</v>
      </c>
      <c r="I1123" s="27">
        <v>0</v>
      </c>
      <c r="J1123" s="27">
        <v>0</v>
      </c>
      <c r="K1123" s="27">
        <v>0</v>
      </c>
      <c r="L1123" s="27">
        <v>1</v>
      </c>
      <c r="M1123" s="27">
        <v>0</v>
      </c>
      <c r="N1123" s="27">
        <v>0</v>
      </c>
      <c r="O1123" s="27">
        <v>0</v>
      </c>
      <c r="P1123" s="25">
        <v>700</v>
      </c>
      <c r="Q1123" s="25">
        <v>560</v>
      </c>
      <c r="R1123" s="25" t="s">
        <v>87</v>
      </c>
      <c r="S1123" s="25" t="s">
        <v>89</v>
      </c>
      <c r="T1123" s="25">
        <v>0</v>
      </c>
      <c r="U1123" s="25">
        <v>0</v>
      </c>
      <c r="V1123" s="25">
        <v>0</v>
      </c>
      <c r="W1123" s="25">
        <v>0</v>
      </c>
      <c r="X1123" s="25">
        <v>1</v>
      </c>
      <c r="Y1123" s="25">
        <v>0</v>
      </c>
      <c r="Z1123" s="25">
        <v>0</v>
      </c>
      <c r="AA1123" s="25">
        <v>0</v>
      </c>
      <c r="AB1123" s="25">
        <v>0</v>
      </c>
      <c r="AC1123" s="25">
        <v>0</v>
      </c>
      <c r="AD1123" s="25">
        <v>0</v>
      </c>
      <c r="AE1123" s="25">
        <v>1</v>
      </c>
      <c r="AF1123" s="25" t="s">
        <v>132</v>
      </c>
    </row>
    <row r="1124" spans="1:32" s="25" customFormat="1" x14ac:dyDescent="0.25">
      <c r="A1124" s="25" t="s">
        <v>187</v>
      </c>
      <c r="B1124" s="25">
        <f t="shared" si="32"/>
        <v>8790</v>
      </c>
      <c r="C1124" s="25" t="s">
        <v>12</v>
      </c>
      <c r="D1124" s="25">
        <v>0</v>
      </c>
      <c r="E1124" s="25">
        <v>0</v>
      </c>
      <c r="F1124" s="25">
        <v>256</v>
      </c>
      <c r="G1124" s="25">
        <v>222</v>
      </c>
      <c r="H1124" s="27">
        <v>0</v>
      </c>
      <c r="I1124" s="27">
        <v>0</v>
      </c>
      <c r="J1124" s="27">
        <v>0</v>
      </c>
      <c r="K1124" s="27">
        <v>0</v>
      </c>
      <c r="L1124" s="27">
        <v>1</v>
      </c>
      <c r="M1124" s="27">
        <v>0</v>
      </c>
      <c r="N1124" s="27">
        <v>0</v>
      </c>
      <c r="O1124" s="27">
        <v>0</v>
      </c>
      <c r="P1124" s="25">
        <v>700</v>
      </c>
      <c r="Q1124" s="25">
        <v>560</v>
      </c>
      <c r="R1124" s="25" t="s">
        <v>87</v>
      </c>
      <c r="S1124" s="25" t="s">
        <v>89</v>
      </c>
      <c r="T1124" s="25">
        <v>0</v>
      </c>
      <c r="U1124" s="25">
        <v>0</v>
      </c>
      <c r="V1124" s="25">
        <v>0</v>
      </c>
      <c r="W1124" s="25">
        <v>0</v>
      </c>
      <c r="X1124" s="25">
        <v>1</v>
      </c>
      <c r="Y1124" s="25">
        <v>0</v>
      </c>
      <c r="Z1124" s="25">
        <v>0</v>
      </c>
      <c r="AA1124" s="25">
        <v>0</v>
      </c>
      <c r="AB1124" s="25">
        <v>0</v>
      </c>
      <c r="AC1124" s="25">
        <v>0</v>
      </c>
      <c r="AD1124" s="25">
        <v>0</v>
      </c>
      <c r="AE1124" s="25">
        <v>1</v>
      </c>
      <c r="AF1124" s="25" t="s">
        <v>132</v>
      </c>
    </row>
    <row r="1125" spans="1:32" s="25" customFormat="1" x14ac:dyDescent="0.25">
      <c r="A1125" s="25" t="s">
        <v>187</v>
      </c>
      <c r="B1125" s="25">
        <f t="shared" si="32"/>
        <v>8800</v>
      </c>
      <c r="C1125" s="25" t="s">
        <v>12</v>
      </c>
      <c r="D1125" s="25">
        <v>0</v>
      </c>
      <c r="E1125" s="25">
        <v>0</v>
      </c>
      <c r="F1125" s="25">
        <v>256</v>
      </c>
      <c r="G1125" s="25">
        <v>222</v>
      </c>
      <c r="H1125" s="27">
        <v>0</v>
      </c>
      <c r="I1125" s="27">
        <v>0</v>
      </c>
      <c r="J1125" s="27">
        <v>0</v>
      </c>
      <c r="K1125" s="27">
        <v>0</v>
      </c>
      <c r="L1125" s="27">
        <v>1</v>
      </c>
      <c r="M1125" s="27">
        <v>0</v>
      </c>
      <c r="N1125" s="27">
        <v>0</v>
      </c>
      <c r="O1125" s="27">
        <v>0</v>
      </c>
      <c r="P1125" s="25">
        <v>700</v>
      </c>
      <c r="Q1125" s="25">
        <v>560</v>
      </c>
      <c r="R1125" s="25" t="s">
        <v>87</v>
      </c>
      <c r="S1125" s="25" t="s">
        <v>89</v>
      </c>
      <c r="T1125" s="25">
        <v>0</v>
      </c>
      <c r="U1125" s="25">
        <v>0</v>
      </c>
      <c r="V1125" s="25">
        <v>0</v>
      </c>
      <c r="W1125" s="25">
        <v>0</v>
      </c>
      <c r="X1125" s="25">
        <v>1</v>
      </c>
      <c r="Y1125" s="25">
        <v>0</v>
      </c>
      <c r="Z1125" s="25">
        <v>0</v>
      </c>
      <c r="AA1125" s="25">
        <v>0</v>
      </c>
      <c r="AB1125" s="25">
        <v>0</v>
      </c>
      <c r="AC1125" s="25">
        <v>0</v>
      </c>
      <c r="AD1125" s="25">
        <v>0</v>
      </c>
      <c r="AE1125" s="25">
        <v>1</v>
      </c>
      <c r="AF1125" s="25" t="s">
        <v>132</v>
      </c>
    </row>
    <row r="1126" spans="1:32" s="25" customFormat="1" x14ac:dyDescent="0.25">
      <c r="A1126" s="25" t="s">
        <v>187</v>
      </c>
      <c r="B1126" s="25">
        <f t="shared" si="32"/>
        <v>8810</v>
      </c>
      <c r="C1126" s="25" t="s">
        <v>12</v>
      </c>
      <c r="D1126" s="25">
        <v>0</v>
      </c>
      <c r="E1126" s="25">
        <v>0</v>
      </c>
      <c r="F1126" s="25">
        <v>256</v>
      </c>
      <c r="G1126" s="25">
        <v>222</v>
      </c>
      <c r="H1126" s="27">
        <v>0</v>
      </c>
      <c r="I1126" s="27">
        <v>0</v>
      </c>
      <c r="J1126" s="27">
        <v>0</v>
      </c>
      <c r="K1126" s="27">
        <v>0</v>
      </c>
      <c r="L1126" s="27">
        <v>1</v>
      </c>
      <c r="M1126" s="27">
        <v>0</v>
      </c>
      <c r="N1126" s="27">
        <v>0</v>
      </c>
      <c r="O1126" s="27">
        <v>0</v>
      </c>
      <c r="P1126" s="25">
        <v>700</v>
      </c>
      <c r="Q1126" s="25">
        <v>560</v>
      </c>
      <c r="R1126" s="25" t="s">
        <v>87</v>
      </c>
      <c r="S1126" s="25" t="s">
        <v>89</v>
      </c>
      <c r="T1126" s="25">
        <v>0</v>
      </c>
      <c r="U1126" s="25">
        <v>0</v>
      </c>
      <c r="V1126" s="25">
        <v>0</v>
      </c>
      <c r="W1126" s="25">
        <v>0</v>
      </c>
      <c r="X1126" s="25">
        <v>1</v>
      </c>
      <c r="Y1126" s="25">
        <v>0</v>
      </c>
      <c r="Z1126" s="25">
        <v>0</v>
      </c>
      <c r="AA1126" s="25">
        <v>0</v>
      </c>
      <c r="AB1126" s="25">
        <v>0</v>
      </c>
      <c r="AC1126" s="25">
        <v>0</v>
      </c>
      <c r="AD1126" s="25">
        <v>0</v>
      </c>
      <c r="AE1126" s="25">
        <v>1</v>
      </c>
      <c r="AF1126" s="25" t="s">
        <v>132</v>
      </c>
    </row>
    <row r="1127" spans="1:32" s="25" customFormat="1" x14ac:dyDescent="0.25">
      <c r="A1127" s="25" t="s">
        <v>187</v>
      </c>
      <c r="B1127" s="25">
        <f t="shared" si="32"/>
        <v>8820</v>
      </c>
      <c r="C1127" s="25" t="s">
        <v>12</v>
      </c>
      <c r="D1127" s="25">
        <v>0</v>
      </c>
      <c r="E1127" s="25">
        <v>0</v>
      </c>
      <c r="F1127" s="25">
        <v>256</v>
      </c>
      <c r="G1127" s="25">
        <v>222</v>
      </c>
      <c r="H1127" s="27">
        <v>0</v>
      </c>
      <c r="I1127" s="27">
        <v>0</v>
      </c>
      <c r="J1127" s="27">
        <v>0</v>
      </c>
      <c r="K1127" s="27">
        <v>0</v>
      </c>
      <c r="L1127" s="27">
        <v>1</v>
      </c>
      <c r="M1127" s="27">
        <v>0</v>
      </c>
      <c r="N1127" s="27">
        <v>0</v>
      </c>
      <c r="O1127" s="27">
        <v>0</v>
      </c>
      <c r="P1127" s="25">
        <v>700</v>
      </c>
      <c r="Q1127" s="25">
        <v>560</v>
      </c>
      <c r="R1127" s="25" t="s">
        <v>87</v>
      </c>
      <c r="S1127" s="25" t="s">
        <v>89</v>
      </c>
      <c r="T1127" s="25">
        <v>0</v>
      </c>
      <c r="U1127" s="25">
        <v>0</v>
      </c>
      <c r="V1127" s="25">
        <v>0</v>
      </c>
      <c r="W1127" s="25">
        <v>0</v>
      </c>
      <c r="X1127" s="25">
        <v>1</v>
      </c>
      <c r="Y1127" s="25">
        <v>0</v>
      </c>
      <c r="Z1127" s="25">
        <v>0</v>
      </c>
      <c r="AA1127" s="25">
        <v>0</v>
      </c>
      <c r="AB1127" s="25">
        <v>0</v>
      </c>
      <c r="AC1127" s="25">
        <v>0</v>
      </c>
      <c r="AD1127" s="25">
        <v>0</v>
      </c>
      <c r="AE1127" s="25">
        <v>1</v>
      </c>
      <c r="AF1127" s="25" t="s">
        <v>132</v>
      </c>
    </row>
    <row r="1128" spans="1:32" s="25" customFormat="1" x14ac:dyDescent="0.25">
      <c r="A1128" s="25" t="s">
        <v>187</v>
      </c>
      <c r="B1128" s="25">
        <f t="shared" si="32"/>
        <v>8830</v>
      </c>
      <c r="C1128" s="25" t="s">
        <v>12</v>
      </c>
      <c r="D1128" s="25">
        <v>0</v>
      </c>
      <c r="E1128" s="25">
        <v>0</v>
      </c>
      <c r="F1128" s="25">
        <v>256</v>
      </c>
      <c r="G1128" s="25">
        <v>222</v>
      </c>
      <c r="H1128" s="27">
        <v>0</v>
      </c>
      <c r="I1128" s="27">
        <v>0</v>
      </c>
      <c r="J1128" s="27">
        <v>0</v>
      </c>
      <c r="K1128" s="27">
        <v>0</v>
      </c>
      <c r="L1128" s="27">
        <v>1</v>
      </c>
      <c r="M1128" s="27">
        <v>0</v>
      </c>
      <c r="N1128" s="27">
        <v>0</v>
      </c>
      <c r="O1128" s="27">
        <v>0</v>
      </c>
      <c r="P1128" s="25">
        <v>700</v>
      </c>
      <c r="Q1128" s="25">
        <v>560</v>
      </c>
      <c r="R1128" s="25" t="s">
        <v>87</v>
      </c>
      <c r="S1128" s="25" t="s">
        <v>89</v>
      </c>
      <c r="T1128" s="25">
        <v>0</v>
      </c>
      <c r="U1128" s="25">
        <v>0</v>
      </c>
      <c r="V1128" s="25">
        <v>0</v>
      </c>
      <c r="W1128" s="25">
        <v>0</v>
      </c>
      <c r="X1128" s="25">
        <v>1</v>
      </c>
      <c r="Y1128" s="25">
        <v>0</v>
      </c>
      <c r="Z1128" s="25">
        <v>0</v>
      </c>
      <c r="AA1128" s="25">
        <v>0</v>
      </c>
      <c r="AB1128" s="25">
        <v>0</v>
      </c>
      <c r="AC1128" s="25">
        <v>0</v>
      </c>
      <c r="AD1128" s="25">
        <v>0</v>
      </c>
      <c r="AE1128" s="25">
        <v>1</v>
      </c>
      <c r="AF1128" s="25" t="s">
        <v>132</v>
      </c>
    </row>
    <row r="1129" spans="1:32" s="25" customFormat="1" x14ac:dyDescent="0.25">
      <c r="A1129" s="25" t="s">
        <v>187</v>
      </c>
      <c r="B1129" s="25">
        <f t="shared" si="32"/>
        <v>8840</v>
      </c>
      <c r="C1129" s="25" t="s">
        <v>12</v>
      </c>
      <c r="D1129" s="25">
        <v>0</v>
      </c>
      <c r="E1129" s="25">
        <v>0</v>
      </c>
      <c r="F1129" s="25">
        <v>256</v>
      </c>
      <c r="G1129" s="25">
        <v>222</v>
      </c>
      <c r="H1129" s="27">
        <v>0</v>
      </c>
      <c r="I1129" s="27">
        <v>0</v>
      </c>
      <c r="J1129" s="27">
        <v>0</v>
      </c>
      <c r="K1129" s="27">
        <v>0</v>
      </c>
      <c r="L1129" s="27">
        <v>1</v>
      </c>
      <c r="M1129" s="27">
        <v>0</v>
      </c>
      <c r="N1129" s="27">
        <v>0</v>
      </c>
      <c r="O1129" s="27">
        <v>0</v>
      </c>
      <c r="P1129" s="25">
        <v>700</v>
      </c>
      <c r="Q1129" s="25">
        <v>560</v>
      </c>
      <c r="R1129" s="25" t="s">
        <v>87</v>
      </c>
      <c r="S1129" s="25" t="s">
        <v>89</v>
      </c>
      <c r="T1129" s="25">
        <v>0</v>
      </c>
      <c r="U1129" s="25">
        <v>0</v>
      </c>
      <c r="V1129" s="25">
        <v>0</v>
      </c>
      <c r="W1129" s="25">
        <v>0</v>
      </c>
      <c r="X1129" s="25">
        <v>1</v>
      </c>
      <c r="Y1129" s="25">
        <v>0</v>
      </c>
      <c r="Z1129" s="25">
        <v>0</v>
      </c>
      <c r="AA1129" s="25">
        <v>0</v>
      </c>
      <c r="AB1129" s="25">
        <v>0</v>
      </c>
      <c r="AC1129" s="25">
        <v>0</v>
      </c>
      <c r="AD1129" s="25">
        <v>0</v>
      </c>
      <c r="AE1129" s="25">
        <v>1</v>
      </c>
      <c r="AF1129" s="25" t="s">
        <v>132</v>
      </c>
    </row>
    <row r="1130" spans="1:32" s="25" customFormat="1" x14ac:dyDescent="0.25">
      <c r="A1130" s="25" t="s">
        <v>187</v>
      </c>
      <c r="B1130" s="25">
        <f t="shared" si="32"/>
        <v>8850</v>
      </c>
      <c r="C1130" s="25" t="s">
        <v>12</v>
      </c>
      <c r="D1130" s="25">
        <v>0</v>
      </c>
      <c r="E1130" s="25">
        <v>0</v>
      </c>
      <c r="F1130" s="25">
        <v>256</v>
      </c>
      <c r="G1130" s="25">
        <v>222</v>
      </c>
      <c r="H1130" s="27">
        <v>0</v>
      </c>
      <c r="I1130" s="27">
        <v>0</v>
      </c>
      <c r="J1130" s="27">
        <v>0</v>
      </c>
      <c r="K1130" s="27">
        <v>0</v>
      </c>
      <c r="L1130" s="27">
        <v>1</v>
      </c>
      <c r="M1130" s="27">
        <v>0</v>
      </c>
      <c r="N1130" s="27">
        <v>0</v>
      </c>
      <c r="O1130" s="27">
        <v>0</v>
      </c>
      <c r="P1130" s="25">
        <v>700</v>
      </c>
      <c r="Q1130" s="25">
        <v>560</v>
      </c>
      <c r="R1130" s="25" t="s">
        <v>87</v>
      </c>
      <c r="S1130" s="25" t="s">
        <v>89</v>
      </c>
      <c r="T1130" s="25">
        <v>0</v>
      </c>
      <c r="U1130" s="25">
        <v>0</v>
      </c>
      <c r="V1130" s="25">
        <v>0</v>
      </c>
      <c r="W1130" s="25">
        <v>0</v>
      </c>
      <c r="X1130" s="25">
        <v>1</v>
      </c>
      <c r="Y1130" s="25">
        <v>0</v>
      </c>
      <c r="Z1130" s="25">
        <v>0</v>
      </c>
      <c r="AA1130" s="25">
        <v>0</v>
      </c>
      <c r="AB1130" s="25">
        <v>0</v>
      </c>
      <c r="AC1130" s="25">
        <v>0</v>
      </c>
      <c r="AD1130" s="25">
        <v>0</v>
      </c>
      <c r="AE1130" s="25">
        <v>1</v>
      </c>
      <c r="AF1130" s="25" t="s">
        <v>132</v>
      </c>
    </row>
    <row r="1131" spans="1:32" s="25" customFormat="1" x14ac:dyDescent="0.25">
      <c r="A1131" s="25" t="s">
        <v>187</v>
      </c>
      <c r="B1131" s="25">
        <f t="shared" si="32"/>
        <v>8860</v>
      </c>
      <c r="C1131" s="25" t="s">
        <v>12</v>
      </c>
      <c r="D1131" s="25">
        <v>0</v>
      </c>
      <c r="E1131" s="25">
        <v>0</v>
      </c>
      <c r="F1131" s="25">
        <v>256</v>
      </c>
      <c r="G1131" s="25">
        <v>222</v>
      </c>
      <c r="H1131" s="27">
        <v>0</v>
      </c>
      <c r="I1131" s="27">
        <v>0</v>
      </c>
      <c r="J1131" s="27">
        <v>0</v>
      </c>
      <c r="K1131" s="27">
        <v>0</v>
      </c>
      <c r="L1131" s="27">
        <v>1</v>
      </c>
      <c r="M1131" s="27">
        <v>0</v>
      </c>
      <c r="N1131" s="27">
        <v>0</v>
      </c>
      <c r="O1131" s="27">
        <v>0</v>
      </c>
      <c r="P1131" s="25">
        <v>700</v>
      </c>
      <c r="Q1131" s="25">
        <v>560</v>
      </c>
      <c r="R1131" s="25" t="s">
        <v>87</v>
      </c>
      <c r="S1131" s="25" t="s">
        <v>89</v>
      </c>
      <c r="T1131" s="25">
        <v>0</v>
      </c>
      <c r="U1131" s="25">
        <v>0</v>
      </c>
      <c r="V1131" s="25">
        <v>0</v>
      </c>
      <c r="W1131" s="25">
        <v>0</v>
      </c>
      <c r="X1131" s="25">
        <v>1</v>
      </c>
      <c r="Y1131" s="25">
        <v>0</v>
      </c>
      <c r="Z1131" s="25">
        <v>0</v>
      </c>
      <c r="AA1131" s="25">
        <v>0</v>
      </c>
      <c r="AB1131" s="25">
        <v>0</v>
      </c>
      <c r="AC1131" s="25">
        <v>0</v>
      </c>
      <c r="AD1131" s="25">
        <v>0</v>
      </c>
      <c r="AE1131" s="25">
        <v>1</v>
      </c>
      <c r="AF1131" s="25" t="s">
        <v>132</v>
      </c>
    </row>
    <row r="1132" spans="1:32" s="25" customFormat="1" x14ac:dyDescent="0.25">
      <c r="A1132" s="25" t="s">
        <v>187</v>
      </c>
      <c r="B1132" s="25">
        <f t="shared" si="32"/>
        <v>8870</v>
      </c>
      <c r="C1132" s="25" t="s">
        <v>12</v>
      </c>
      <c r="D1132" s="25">
        <v>0</v>
      </c>
      <c r="E1132" s="25">
        <v>0</v>
      </c>
      <c r="F1132" s="25">
        <v>256</v>
      </c>
      <c r="G1132" s="25">
        <v>222</v>
      </c>
      <c r="H1132" s="27">
        <v>0</v>
      </c>
      <c r="I1132" s="27">
        <v>0</v>
      </c>
      <c r="J1132" s="27">
        <v>0</v>
      </c>
      <c r="K1132" s="27">
        <v>0</v>
      </c>
      <c r="L1132" s="27">
        <v>1</v>
      </c>
      <c r="M1132" s="27">
        <v>0</v>
      </c>
      <c r="N1132" s="27">
        <v>0</v>
      </c>
      <c r="O1132" s="27">
        <v>0</v>
      </c>
      <c r="P1132" s="25">
        <v>700</v>
      </c>
      <c r="Q1132" s="25">
        <v>560</v>
      </c>
      <c r="R1132" s="25" t="s">
        <v>87</v>
      </c>
      <c r="S1132" s="25" t="s">
        <v>89</v>
      </c>
      <c r="T1132" s="25">
        <v>0</v>
      </c>
      <c r="U1132" s="25">
        <v>0</v>
      </c>
      <c r="V1132" s="25">
        <v>0</v>
      </c>
      <c r="W1132" s="25">
        <v>0</v>
      </c>
      <c r="X1132" s="25">
        <v>1</v>
      </c>
      <c r="Y1132" s="25">
        <v>0</v>
      </c>
      <c r="Z1132" s="25">
        <v>0</v>
      </c>
      <c r="AA1132" s="25">
        <v>0</v>
      </c>
      <c r="AB1132" s="25">
        <v>0</v>
      </c>
      <c r="AC1132" s="25">
        <v>0</v>
      </c>
      <c r="AD1132" s="25">
        <v>0</v>
      </c>
      <c r="AE1132" s="25">
        <v>1</v>
      </c>
      <c r="AF1132" s="25" t="s">
        <v>132</v>
      </c>
    </row>
    <row r="1133" spans="1:32" s="25" customFormat="1" x14ac:dyDescent="0.25">
      <c r="A1133" s="25" t="s">
        <v>187</v>
      </c>
      <c r="B1133" s="25">
        <f t="shared" si="32"/>
        <v>8880</v>
      </c>
      <c r="C1133" s="25" t="s">
        <v>12</v>
      </c>
      <c r="D1133" s="25">
        <v>0</v>
      </c>
      <c r="E1133" s="25">
        <v>0</v>
      </c>
      <c r="F1133" s="25">
        <v>256</v>
      </c>
      <c r="G1133" s="25">
        <v>222</v>
      </c>
      <c r="H1133" s="27">
        <v>0</v>
      </c>
      <c r="I1133" s="27">
        <v>0</v>
      </c>
      <c r="J1133" s="27">
        <v>0</v>
      </c>
      <c r="K1133" s="27">
        <v>0</v>
      </c>
      <c r="L1133" s="27">
        <v>1</v>
      </c>
      <c r="M1133" s="27">
        <v>0</v>
      </c>
      <c r="N1133" s="27">
        <v>0</v>
      </c>
      <c r="O1133" s="27">
        <v>0</v>
      </c>
      <c r="P1133" s="25">
        <v>700</v>
      </c>
      <c r="Q1133" s="25">
        <v>560</v>
      </c>
      <c r="R1133" s="25" t="s">
        <v>87</v>
      </c>
      <c r="S1133" s="25" t="s">
        <v>89</v>
      </c>
      <c r="T1133" s="25">
        <v>0</v>
      </c>
      <c r="U1133" s="25">
        <v>0</v>
      </c>
      <c r="V1133" s="25">
        <v>0</v>
      </c>
      <c r="W1133" s="25">
        <v>0</v>
      </c>
      <c r="X1133" s="25">
        <v>1</v>
      </c>
      <c r="Y1133" s="25">
        <v>0</v>
      </c>
      <c r="Z1133" s="25">
        <v>0</v>
      </c>
      <c r="AA1133" s="25">
        <v>0</v>
      </c>
      <c r="AB1133" s="25">
        <v>0</v>
      </c>
      <c r="AC1133" s="25">
        <v>0</v>
      </c>
      <c r="AD1133" s="25">
        <v>0</v>
      </c>
      <c r="AE1133" s="25">
        <v>1</v>
      </c>
      <c r="AF1133" s="25" t="s">
        <v>132</v>
      </c>
    </row>
    <row r="1134" spans="1:32" s="25" customFormat="1" x14ac:dyDescent="0.25">
      <c r="A1134" s="25" t="s">
        <v>187</v>
      </c>
      <c r="B1134" s="25">
        <f t="shared" si="32"/>
        <v>8890</v>
      </c>
      <c r="C1134" s="25" t="s">
        <v>12</v>
      </c>
      <c r="D1134" s="25">
        <v>0</v>
      </c>
      <c r="E1134" s="25">
        <v>0</v>
      </c>
      <c r="F1134" s="25">
        <v>256</v>
      </c>
      <c r="G1134" s="25">
        <v>222</v>
      </c>
      <c r="H1134" s="27">
        <v>0</v>
      </c>
      <c r="I1134" s="27">
        <v>0</v>
      </c>
      <c r="J1134" s="27">
        <v>0</v>
      </c>
      <c r="K1134" s="27">
        <v>0</v>
      </c>
      <c r="L1134" s="27">
        <v>1</v>
      </c>
      <c r="M1134" s="27">
        <v>0</v>
      </c>
      <c r="N1134" s="27">
        <v>0</v>
      </c>
      <c r="O1134" s="27">
        <v>0</v>
      </c>
      <c r="P1134" s="25">
        <v>700</v>
      </c>
      <c r="Q1134" s="25">
        <v>560</v>
      </c>
      <c r="R1134" s="25" t="s">
        <v>87</v>
      </c>
      <c r="S1134" s="25" t="s">
        <v>89</v>
      </c>
      <c r="T1134" s="25">
        <v>0</v>
      </c>
      <c r="U1134" s="25">
        <v>0</v>
      </c>
      <c r="V1134" s="25">
        <v>0</v>
      </c>
      <c r="W1134" s="25">
        <v>0</v>
      </c>
      <c r="X1134" s="25">
        <v>1</v>
      </c>
      <c r="Y1134" s="25">
        <v>0</v>
      </c>
      <c r="Z1134" s="25">
        <v>0</v>
      </c>
      <c r="AA1134" s="25">
        <v>0</v>
      </c>
      <c r="AB1134" s="25">
        <v>0</v>
      </c>
      <c r="AC1134" s="25">
        <v>0</v>
      </c>
      <c r="AD1134" s="25">
        <v>0</v>
      </c>
      <c r="AE1134" s="25">
        <v>1</v>
      </c>
      <c r="AF1134" s="25" t="s">
        <v>132</v>
      </c>
    </row>
    <row r="1135" spans="1:32" s="25" customFormat="1" x14ac:dyDescent="0.25">
      <c r="A1135" s="25" t="s">
        <v>187</v>
      </c>
      <c r="B1135" s="25">
        <f t="shared" si="32"/>
        <v>8900</v>
      </c>
      <c r="C1135" s="25" t="s">
        <v>12</v>
      </c>
      <c r="D1135" s="25">
        <v>0</v>
      </c>
      <c r="E1135" s="25">
        <v>0</v>
      </c>
      <c r="F1135" s="25">
        <v>256</v>
      </c>
      <c r="G1135" s="25">
        <v>222</v>
      </c>
      <c r="H1135" s="27">
        <v>0</v>
      </c>
      <c r="I1135" s="27">
        <v>0</v>
      </c>
      <c r="J1135" s="27">
        <v>0</v>
      </c>
      <c r="K1135" s="27">
        <v>0</v>
      </c>
      <c r="L1135" s="27">
        <v>1</v>
      </c>
      <c r="M1135" s="27">
        <v>0</v>
      </c>
      <c r="N1135" s="27">
        <v>0</v>
      </c>
      <c r="O1135" s="27">
        <v>0</v>
      </c>
      <c r="P1135" s="25">
        <v>700</v>
      </c>
      <c r="Q1135" s="25">
        <v>560</v>
      </c>
      <c r="R1135" s="25" t="s">
        <v>87</v>
      </c>
      <c r="S1135" s="25" t="s">
        <v>89</v>
      </c>
      <c r="T1135" s="25">
        <v>0</v>
      </c>
      <c r="U1135" s="25">
        <v>0</v>
      </c>
      <c r="V1135" s="25">
        <v>0</v>
      </c>
      <c r="W1135" s="25">
        <v>0</v>
      </c>
      <c r="X1135" s="25">
        <v>1</v>
      </c>
      <c r="Y1135" s="25">
        <v>0</v>
      </c>
      <c r="Z1135" s="25">
        <v>0</v>
      </c>
      <c r="AA1135" s="25">
        <v>0</v>
      </c>
      <c r="AB1135" s="25">
        <v>0</v>
      </c>
      <c r="AC1135" s="25">
        <v>0</v>
      </c>
      <c r="AD1135" s="25">
        <v>0</v>
      </c>
      <c r="AE1135" s="25">
        <v>1</v>
      </c>
      <c r="AF1135" s="25" t="s">
        <v>132</v>
      </c>
    </row>
    <row r="1136" spans="1:32" s="25" customFormat="1" x14ac:dyDescent="0.25">
      <c r="A1136" s="25" t="s">
        <v>187</v>
      </c>
      <c r="B1136" s="25">
        <f t="shared" si="32"/>
        <v>8910</v>
      </c>
      <c r="C1136" s="25" t="s">
        <v>12</v>
      </c>
      <c r="D1136" s="25">
        <v>0</v>
      </c>
      <c r="E1136" s="25">
        <v>0</v>
      </c>
      <c r="F1136" s="25">
        <v>256</v>
      </c>
      <c r="G1136" s="25">
        <v>222</v>
      </c>
      <c r="H1136" s="27">
        <v>0</v>
      </c>
      <c r="I1136" s="27">
        <v>0</v>
      </c>
      <c r="J1136" s="27">
        <v>0</v>
      </c>
      <c r="K1136" s="27">
        <v>0</v>
      </c>
      <c r="L1136" s="27">
        <v>1</v>
      </c>
      <c r="M1136" s="27">
        <v>0</v>
      </c>
      <c r="N1136" s="27">
        <v>0</v>
      </c>
      <c r="O1136" s="27">
        <v>0</v>
      </c>
      <c r="P1136" s="25">
        <v>700</v>
      </c>
      <c r="Q1136" s="25">
        <v>560</v>
      </c>
      <c r="R1136" s="25" t="s">
        <v>87</v>
      </c>
      <c r="S1136" s="25" t="s">
        <v>89</v>
      </c>
      <c r="T1136" s="25">
        <v>0</v>
      </c>
      <c r="U1136" s="25">
        <v>0</v>
      </c>
      <c r="V1136" s="25">
        <v>0</v>
      </c>
      <c r="W1136" s="25">
        <v>0</v>
      </c>
      <c r="X1136" s="25">
        <v>1</v>
      </c>
      <c r="Y1136" s="25">
        <v>0</v>
      </c>
      <c r="Z1136" s="25">
        <v>0</v>
      </c>
      <c r="AA1136" s="25">
        <v>0</v>
      </c>
      <c r="AB1136" s="25">
        <v>0</v>
      </c>
      <c r="AC1136" s="25">
        <v>0</v>
      </c>
      <c r="AD1136" s="25">
        <v>0</v>
      </c>
      <c r="AE1136" s="25">
        <v>1</v>
      </c>
      <c r="AF1136" s="25" t="s">
        <v>132</v>
      </c>
    </row>
    <row r="1137" spans="1:32" s="25" customFormat="1" x14ac:dyDescent="0.25">
      <c r="A1137" s="25" t="s">
        <v>187</v>
      </c>
      <c r="B1137" s="25">
        <f t="shared" si="32"/>
        <v>8920</v>
      </c>
      <c r="C1137" s="25" t="s">
        <v>12</v>
      </c>
      <c r="D1137" s="25">
        <v>0</v>
      </c>
      <c r="E1137" s="25">
        <v>0</v>
      </c>
      <c r="F1137" s="25">
        <v>256</v>
      </c>
      <c r="G1137" s="25">
        <v>222</v>
      </c>
      <c r="H1137" s="27">
        <v>0</v>
      </c>
      <c r="I1137" s="27">
        <v>0</v>
      </c>
      <c r="J1137" s="27">
        <v>0</v>
      </c>
      <c r="K1137" s="27">
        <v>0</v>
      </c>
      <c r="L1137" s="27">
        <v>1</v>
      </c>
      <c r="M1137" s="27">
        <v>0</v>
      </c>
      <c r="N1137" s="27">
        <v>0</v>
      </c>
      <c r="O1137" s="27">
        <v>0</v>
      </c>
      <c r="P1137" s="25">
        <v>700</v>
      </c>
      <c r="Q1137" s="25">
        <v>560</v>
      </c>
      <c r="R1137" s="25" t="s">
        <v>87</v>
      </c>
      <c r="S1137" s="25" t="s">
        <v>89</v>
      </c>
      <c r="T1137" s="25">
        <v>0</v>
      </c>
      <c r="U1137" s="25">
        <v>0</v>
      </c>
      <c r="V1137" s="25">
        <v>0</v>
      </c>
      <c r="W1137" s="25">
        <v>0</v>
      </c>
      <c r="X1137" s="25">
        <v>1</v>
      </c>
      <c r="Y1137" s="25">
        <v>0</v>
      </c>
      <c r="Z1137" s="25">
        <v>0</v>
      </c>
      <c r="AA1137" s="25">
        <v>0</v>
      </c>
      <c r="AB1137" s="25">
        <v>0</v>
      </c>
      <c r="AC1137" s="25">
        <v>0</v>
      </c>
      <c r="AD1137" s="25">
        <v>0</v>
      </c>
      <c r="AE1137" s="25">
        <v>1</v>
      </c>
      <c r="AF1137" s="25" t="s">
        <v>132</v>
      </c>
    </row>
    <row r="1138" spans="1:32" s="25" customFormat="1" x14ac:dyDescent="0.25">
      <c r="A1138" s="25" t="s">
        <v>187</v>
      </c>
      <c r="B1138" s="25">
        <f t="shared" si="32"/>
        <v>8930</v>
      </c>
      <c r="C1138" s="25" t="s">
        <v>12</v>
      </c>
      <c r="D1138" s="25">
        <v>0</v>
      </c>
      <c r="E1138" s="25">
        <v>0</v>
      </c>
      <c r="F1138" s="25">
        <v>256</v>
      </c>
      <c r="G1138" s="25">
        <v>222</v>
      </c>
      <c r="H1138" s="27">
        <v>0</v>
      </c>
      <c r="I1138" s="27">
        <v>0</v>
      </c>
      <c r="J1138" s="27">
        <v>0</v>
      </c>
      <c r="K1138" s="27">
        <v>0</v>
      </c>
      <c r="L1138" s="27">
        <v>1</v>
      </c>
      <c r="M1138" s="27">
        <v>0</v>
      </c>
      <c r="N1138" s="27">
        <v>0</v>
      </c>
      <c r="O1138" s="27">
        <v>0</v>
      </c>
      <c r="P1138" s="25">
        <v>700</v>
      </c>
      <c r="Q1138" s="25">
        <v>560</v>
      </c>
      <c r="R1138" s="25" t="s">
        <v>87</v>
      </c>
      <c r="S1138" s="25" t="s">
        <v>89</v>
      </c>
      <c r="T1138" s="25">
        <v>0</v>
      </c>
      <c r="U1138" s="25">
        <v>0</v>
      </c>
      <c r="V1138" s="25">
        <v>0</v>
      </c>
      <c r="W1138" s="25">
        <v>0</v>
      </c>
      <c r="X1138" s="25">
        <v>1</v>
      </c>
      <c r="Y1138" s="25">
        <v>0</v>
      </c>
      <c r="Z1138" s="25">
        <v>0</v>
      </c>
      <c r="AA1138" s="25">
        <v>0</v>
      </c>
      <c r="AB1138" s="25">
        <v>0</v>
      </c>
      <c r="AC1138" s="25">
        <v>0</v>
      </c>
      <c r="AD1138" s="25">
        <v>0</v>
      </c>
      <c r="AE1138" s="25">
        <v>1</v>
      </c>
      <c r="AF1138" s="25" t="s">
        <v>132</v>
      </c>
    </row>
    <row r="1139" spans="1:32" s="25" customFormat="1" x14ac:dyDescent="0.25">
      <c r="A1139" s="25" t="s">
        <v>187</v>
      </c>
      <c r="B1139" s="25">
        <f t="shared" si="32"/>
        <v>8940</v>
      </c>
      <c r="C1139" s="25" t="s">
        <v>12</v>
      </c>
      <c r="D1139" s="25">
        <v>0</v>
      </c>
      <c r="E1139" s="25">
        <v>0</v>
      </c>
      <c r="F1139" s="25">
        <v>256</v>
      </c>
      <c r="G1139" s="25">
        <v>222</v>
      </c>
      <c r="H1139" s="27">
        <v>0</v>
      </c>
      <c r="I1139" s="27">
        <v>0</v>
      </c>
      <c r="J1139" s="27">
        <v>0</v>
      </c>
      <c r="K1139" s="27">
        <v>0</v>
      </c>
      <c r="L1139" s="27">
        <v>1</v>
      </c>
      <c r="M1139" s="27">
        <v>0</v>
      </c>
      <c r="N1139" s="27">
        <v>0</v>
      </c>
      <c r="O1139" s="27">
        <v>0</v>
      </c>
      <c r="P1139" s="25">
        <v>700</v>
      </c>
      <c r="Q1139" s="25">
        <v>560</v>
      </c>
      <c r="R1139" s="25" t="s">
        <v>87</v>
      </c>
      <c r="S1139" s="25" t="s">
        <v>89</v>
      </c>
      <c r="T1139" s="25">
        <v>0</v>
      </c>
      <c r="U1139" s="25">
        <v>0</v>
      </c>
      <c r="V1139" s="25">
        <v>0</v>
      </c>
      <c r="W1139" s="25">
        <v>0</v>
      </c>
      <c r="X1139" s="25">
        <v>1</v>
      </c>
      <c r="Y1139" s="25">
        <v>0</v>
      </c>
      <c r="Z1139" s="25">
        <v>0</v>
      </c>
      <c r="AA1139" s="25">
        <v>0</v>
      </c>
      <c r="AB1139" s="25">
        <v>0</v>
      </c>
      <c r="AC1139" s="25">
        <v>0</v>
      </c>
      <c r="AD1139" s="25">
        <v>0</v>
      </c>
      <c r="AE1139" s="25">
        <v>1</v>
      </c>
      <c r="AF1139" s="25" t="s">
        <v>132</v>
      </c>
    </row>
    <row r="1140" spans="1:32" s="25" customFormat="1" x14ac:dyDescent="0.25">
      <c r="A1140" s="25" t="s">
        <v>187</v>
      </c>
      <c r="B1140" s="25">
        <f t="shared" si="32"/>
        <v>8950</v>
      </c>
      <c r="C1140" s="25" t="s">
        <v>12</v>
      </c>
      <c r="D1140" s="25">
        <v>0</v>
      </c>
      <c r="E1140" s="25">
        <v>0</v>
      </c>
      <c r="F1140" s="25">
        <v>256</v>
      </c>
      <c r="G1140" s="25">
        <v>222</v>
      </c>
      <c r="H1140" s="27">
        <v>0</v>
      </c>
      <c r="I1140" s="27">
        <v>0</v>
      </c>
      <c r="J1140" s="27">
        <v>0</v>
      </c>
      <c r="K1140" s="27">
        <v>0</v>
      </c>
      <c r="L1140" s="27">
        <v>1</v>
      </c>
      <c r="M1140" s="27">
        <v>0</v>
      </c>
      <c r="N1140" s="27">
        <v>0</v>
      </c>
      <c r="O1140" s="27">
        <v>0</v>
      </c>
      <c r="P1140" s="25">
        <v>700</v>
      </c>
      <c r="Q1140" s="25">
        <v>560</v>
      </c>
      <c r="R1140" s="25" t="s">
        <v>87</v>
      </c>
      <c r="S1140" s="25" t="s">
        <v>89</v>
      </c>
      <c r="T1140" s="25">
        <v>0</v>
      </c>
      <c r="U1140" s="25">
        <v>0</v>
      </c>
      <c r="V1140" s="25">
        <v>0</v>
      </c>
      <c r="W1140" s="25">
        <v>0</v>
      </c>
      <c r="X1140" s="25">
        <v>1</v>
      </c>
      <c r="Y1140" s="25">
        <v>0</v>
      </c>
      <c r="Z1140" s="25">
        <v>0</v>
      </c>
      <c r="AA1140" s="25">
        <v>0</v>
      </c>
      <c r="AB1140" s="25">
        <v>0</v>
      </c>
      <c r="AC1140" s="25">
        <v>0</v>
      </c>
      <c r="AD1140" s="25">
        <v>0</v>
      </c>
      <c r="AE1140" s="25">
        <v>1</v>
      </c>
      <c r="AF1140" s="25" t="s">
        <v>132</v>
      </c>
    </row>
    <row r="1141" spans="1:32" s="25" customFormat="1" x14ac:dyDescent="0.25">
      <c r="A1141" s="25" t="s">
        <v>187</v>
      </c>
      <c r="B1141" s="25">
        <f t="shared" si="32"/>
        <v>8960</v>
      </c>
      <c r="C1141" s="25" t="s">
        <v>12</v>
      </c>
      <c r="D1141" s="25">
        <v>0</v>
      </c>
      <c r="E1141" s="25">
        <v>0</v>
      </c>
      <c r="F1141" s="25">
        <v>256</v>
      </c>
      <c r="G1141" s="25">
        <v>222</v>
      </c>
      <c r="H1141" s="27">
        <v>0</v>
      </c>
      <c r="I1141" s="27">
        <v>0</v>
      </c>
      <c r="J1141" s="27">
        <v>0</v>
      </c>
      <c r="K1141" s="27">
        <v>0</v>
      </c>
      <c r="L1141" s="27">
        <v>1</v>
      </c>
      <c r="M1141" s="27">
        <v>0</v>
      </c>
      <c r="N1141" s="27">
        <v>0</v>
      </c>
      <c r="O1141" s="27">
        <v>0</v>
      </c>
      <c r="P1141" s="25">
        <v>700</v>
      </c>
      <c r="Q1141" s="25">
        <v>560</v>
      </c>
      <c r="R1141" s="25" t="s">
        <v>87</v>
      </c>
      <c r="S1141" s="25" t="s">
        <v>89</v>
      </c>
      <c r="T1141" s="25">
        <v>0</v>
      </c>
      <c r="U1141" s="25">
        <v>0</v>
      </c>
      <c r="V1141" s="25">
        <v>0</v>
      </c>
      <c r="W1141" s="25">
        <v>0</v>
      </c>
      <c r="X1141" s="25">
        <v>1</v>
      </c>
      <c r="Y1141" s="25">
        <v>0</v>
      </c>
      <c r="Z1141" s="25">
        <v>0</v>
      </c>
      <c r="AA1141" s="25">
        <v>0</v>
      </c>
      <c r="AB1141" s="25">
        <v>0</v>
      </c>
      <c r="AC1141" s="25">
        <v>0</v>
      </c>
      <c r="AD1141" s="25">
        <v>0</v>
      </c>
      <c r="AE1141" s="25">
        <v>1</v>
      </c>
      <c r="AF1141" s="25" t="s">
        <v>132</v>
      </c>
    </row>
    <row r="1142" spans="1:32" s="25" customFormat="1" x14ac:dyDescent="0.25">
      <c r="A1142" s="25" t="s">
        <v>187</v>
      </c>
      <c r="B1142" s="25">
        <f t="shared" si="32"/>
        <v>8970</v>
      </c>
      <c r="C1142" s="25" t="s">
        <v>12</v>
      </c>
      <c r="D1142" s="25">
        <v>0</v>
      </c>
      <c r="E1142" s="25">
        <v>0</v>
      </c>
      <c r="F1142" s="25">
        <v>256</v>
      </c>
      <c r="G1142" s="25">
        <v>222</v>
      </c>
      <c r="H1142" s="27">
        <v>0</v>
      </c>
      <c r="I1142" s="27">
        <v>0</v>
      </c>
      <c r="J1142" s="27">
        <v>0</v>
      </c>
      <c r="K1142" s="27">
        <v>0</v>
      </c>
      <c r="L1142" s="27">
        <v>1</v>
      </c>
      <c r="M1142" s="27">
        <v>0</v>
      </c>
      <c r="N1142" s="27">
        <v>0</v>
      </c>
      <c r="O1142" s="27">
        <v>0</v>
      </c>
      <c r="P1142" s="25">
        <v>700</v>
      </c>
      <c r="Q1142" s="25">
        <v>560</v>
      </c>
      <c r="R1142" s="25" t="s">
        <v>87</v>
      </c>
      <c r="S1142" s="25" t="s">
        <v>89</v>
      </c>
      <c r="T1142" s="25">
        <v>0</v>
      </c>
      <c r="U1142" s="25">
        <v>0</v>
      </c>
      <c r="V1142" s="25">
        <v>0</v>
      </c>
      <c r="W1142" s="25">
        <v>0</v>
      </c>
      <c r="X1142" s="25">
        <v>1</v>
      </c>
      <c r="Y1142" s="25">
        <v>0</v>
      </c>
      <c r="Z1142" s="25">
        <v>0</v>
      </c>
      <c r="AA1142" s="25">
        <v>0</v>
      </c>
      <c r="AB1142" s="25">
        <v>0</v>
      </c>
      <c r="AC1142" s="25">
        <v>0</v>
      </c>
      <c r="AD1142" s="25">
        <v>0</v>
      </c>
      <c r="AE1142" s="25">
        <v>1</v>
      </c>
      <c r="AF1142" s="25" t="s">
        <v>132</v>
      </c>
    </row>
    <row r="1143" spans="1:32" s="25" customFormat="1" x14ac:dyDescent="0.25">
      <c r="A1143" s="25" t="s">
        <v>187</v>
      </c>
      <c r="B1143" s="25">
        <f t="shared" si="32"/>
        <v>8980</v>
      </c>
      <c r="C1143" s="25" t="s">
        <v>12</v>
      </c>
      <c r="D1143" s="25">
        <v>0</v>
      </c>
      <c r="E1143" s="25">
        <v>0</v>
      </c>
      <c r="F1143" s="25">
        <v>256</v>
      </c>
      <c r="G1143" s="25">
        <v>222</v>
      </c>
      <c r="H1143" s="27">
        <v>0</v>
      </c>
      <c r="I1143" s="27">
        <v>0</v>
      </c>
      <c r="J1143" s="27">
        <v>0</v>
      </c>
      <c r="K1143" s="27">
        <v>0</v>
      </c>
      <c r="L1143" s="27">
        <v>1</v>
      </c>
      <c r="M1143" s="27">
        <v>0</v>
      </c>
      <c r="N1143" s="27">
        <v>0</v>
      </c>
      <c r="O1143" s="27">
        <v>0</v>
      </c>
      <c r="P1143" s="25">
        <v>700</v>
      </c>
      <c r="Q1143" s="25">
        <v>560</v>
      </c>
      <c r="R1143" s="25" t="s">
        <v>87</v>
      </c>
      <c r="S1143" s="25" t="s">
        <v>89</v>
      </c>
      <c r="T1143" s="25">
        <v>0</v>
      </c>
      <c r="U1143" s="25">
        <v>0</v>
      </c>
      <c r="V1143" s="25">
        <v>0</v>
      </c>
      <c r="W1143" s="25">
        <v>0</v>
      </c>
      <c r="X1143" s="25">
        <v>1</v>
      </c>
      <c r="Y1143" s="25">
        <v>0</v>
      </c>
      <c r="Z1143" s="25">
        <v>0</v>
      </c>
      <c r="AA1143" s="25">
        <v>0</v>
      </c>
      <c r="AB1143" s="25">
        <v>0</v>
      </c>
      <c r="AC1143" s="25">
        <v>0</v>
      </c>
      <c r="AD1143" s="25">
        <v>0</v>
      </c>
      <c r="AE1143" s="25">
        <v>1</v>
      </c>
      <c r="AF1143" s="25" t="s">
        <v>132</v>
      </c>
    </row>
    <row r="1144" spans="1:32" s="25" customFormat="1" x14ac:dyDescent="0.25">
      <c r="A1144" s="25" t="s">
        <v>187</v>
      </c>
      <c r="B1144" s="25">
        <f t="shared" si="32"/>
        <v>8990</v>
      </c>
      <c r="C1144" s="25" t="s">
        <v>12</v>
      </c>
      <c r="D1144" s="25">
        <v>0</v>
      </c>
      <c r="E1144" s="25">
        <v>0</v>
      </c>
      <c r="F1144" s="25">
        <v>256</v>
      </c>
      <c r="G1144" s="25">
        <v>222</v>
      </c>
      <c r="H1144" s="27">
        <v>0</v>
      </c>
      <c r="I1144" s="27">
        <v>0</v>
      </c>
      <c r="J1144" s="27">
        <v>0</v>
      </c>
      <c r="K1144" s="27">
        <v>0</v>
      </c>
      <c r="L1144" s="27">
        <v>1</v>
      </c>
      <c r="M1144" s="27">
        <v>0</v>
      </c>
      <c r="N1144" s="27">
        <v>0</v>
      </c>
      <c r="O1144" s="27">
        <v>0</v>
      </c>
      <c r="P1144" s="25">
        <v>700</v>
      </c>
      <c r="Q1144" s="25">
        <v>560</v>
      </c>
      <c r="R1144" s="25" t="s">
        <v>87</v>
      </c>
      <c r="S1144" s="25" t="s">
        <v>89</v>
      </c>
      <c r="T1144" s="25">
        <v>0</v>
      </c>
      <c r="U1144" s="25">
        <v>0</v>
      </c>
      <c r="V1144" s="25">
        <v>0</v>
      </c>
      <c r="W1144" s="25">
        <v>0</v>
      </c>
      <c r="X1144" s="25">
        <v>1</v>
      </c>
      <c r="Y1144" s="25">
        <v>0</v>
      </c>
      <c r="Z1144" s="25">
        <v>0</v>
      </c>
      <c r="AA1144" s="25">
        <v>0</v>
      </c>
      <c r="AB1144" s="25">
        <v>0</v>
      </c>
      <c r="AC1144" s="25">
        <v>0</v>
      </c>
      <c r="AD1144" s="25">
        <v>0</v>
      </c>
      <c r="AE1144" s="25">
        <v>1</v>
      </c>
      <c r="AF1144" s="25" t="s">
        <v>132</v>
      </c>
    </row>
    <row r="1145" spans="1:32" s="25" customFormat="1" x14ac:dyDescent="0.25">
      <c r="A1145" s="25" t="s">
        <v>187</v>
      </c>
      <c r="B1145" s="25">
        <f t="shared" si="32"/>
        <v>9000</v>
      </c>
      <c r="C1145" s="25" t="s">
        <v>12</v>
      </c>
      <c r="D1145" s="25">
        <v>0</v>
      </c>
      <c r="E1145" s="25">
        <v>0</v>
      </c>
      <c r="F1145" s="25">
        <v>256</v>
      </c>
      <c r="G1145" s="25">
        <v>222</v>
      </c>
      <c r="H1145" s="27">
        <v>0</v>
      </c>
      <c r="I1145" s="27">
        <v>0</v>
      </c>
      <c r="J1145" s="27">
        <v>0</v>
      </c>
      <c r="K1145" s="27">
        <v>0</v>
      </c>
      <c r="L1145" s="27">
        <v>1</v>
      </c>
      <c r="M1145" s="27">
        <v>0</v>
      </c>
      <c r="N1145" s="27">
        <v>0</v>
      </c>
      <c r="O1145" s="27">
        <v>0</v>
      </c>
      <c r="P1145" s="25">
        <v>700</v>
      </c>
      <c r="Q1145" s="25">
        <v>560</v>
      </c>
      <c r="R1145" s="25" t="s">
        <v>87</v>
      </c>
      <c r="S1145" s="25" t="s">
        <v>89</v>
      </c>
      <c r="T1145" s="25">
        <v>0</v>
      </c>
      <c r="U1145" s="25">
        <v>0</v>
      </c>
      <c r="V1145" s="25">
        <v>0</v>
      </c>
      <c r="W1145" s="25">
        <v>0</v>
      </c>
      <c r="X1145" s="25">
        <v>1</v>
      </c>
      <c r="Y1145" s="25">
        <v>0</v>
      </c>
      <c r="Z1145" s="25">
        <v>0</v>
      </c>
      <c r="AA1145" s="25">
        <v>0</v>
      </c>
      <c r="AB1145" s="25">
        <v>0</v>
      </c>
      <c r="AC1145" s="25">
        <v>0</v>
      </c>
      <c r="AD1145" s="25">
        <v>0</v>
      </c>
      <c r="AE1145" s="25">
        <v>1</v>
      </c>
      <c r="AF1145" s="25" t="s">
        <v>132</v>
      </c>
    </row>
    <row r="1146" spans="1:32" s="25" customFormat="1" x14ac:dyDescent="0.25">
      <c r="A1146" s="25" t="s">
        <v>187</v>
      </c>
      <c r="B1146" s="25">
        <f t="shared" si="32"/>
        <v>9010</v>
      </c>
      <c r="C1146" s="25" t="s">
        <v>12</v>
      </c>
      <c r="D1146" s="25">
        <v>0</v>
      </c>
      <c r="E1146" s="25">
        <v>0</v>
      </c>
      <c r="F1146" s="25">
        <v>256</v>
      </c>
      <c r="G1146" s="25">
        <v>222</v>
      </c>
      <c r="H1146" s="27">
        <v>0</v>
      </c>
      <c r="I1146" s="27">
        <v>0</v>
      </c>
      <c r="J1146" s="27">
        <v>0</v>
      </c>
      <c r="K1146" s="27">
        <v>0</v>
      </c>
      <c r="L1146" s="27">
        <v>1</v>
      </c>
      <c r="M1146" s="27">
        <v>0</v>
      </c>
      <c r="N1146" s="27">
        <v>0</v>
      </c>
      <c r="O1146" s="27">
        <v>0</v>
      </c>
      <c r="P1146" s="25">
        <v>700</v>
      </c>
      <c r="Q1146" s="25">
        <v>560</v>
      </c>
      <c r="R1146" s="25" t="s">
        <v>87</v>
      </c>
      <c r="S1146" s="25" t="s">
        <v>89</v>
      </c>
      <c r="T1146" s="25">
        <v>0</v>
      </c>
      <c r="U1146" s="25">
        <v>0</v>
      </c>
      <c r="V1146" s="25">
        <v>0</v>
      </c>
      <c r="W1146" s="25">
        <v>0</v>
      </c>
      <c r="X1146" s="25">
        <v>1</v>
      </c>
      <c r="Y1146" s="25">
        <v>0</v>
      </c>
      <c r="Z1146" s="25">
        <v>0</v>
      </c>
      <c r="AA1146" s="25">
        <v>0</v>
      </c>
      <c r="AB1146" s="25">
        <v>0</v>
      </c>
      <c r="AC1146" s="25">
        <v>0</v>
      </c>
      <c r="AD1146" s="25">
        <v>0</v>
      </c>
      <c r="AE1146" s="25">
        <v>1</v>
      </c>
      <c r="AF1146" s="25" t="s">
        <v>132</v>
      </c>
    </row>
    <row r="1147" spans="1:32" s="25" customFormat="1" x14ac:dyDescent="0.25">
      <c r="A1147" s="25" t="s">
        <v>187</v>
      </c>
      <c r="B1147" s="25">
        <f t="shared" si="32"/>
        <v>9020</v>
      </c>
      <c r="C1147" s="25" t="s">
        <v>12</v>
      </c>
      <c r="D1147" s="25">
        <v>0</v>
      </c>
      <c r="E1147" s="25">
        <v>0</v>
      </c>
      <c r="F1147" s="25">
        <v>256</v>
      </c>
      <c r="G1147" s="25">
        <v>222</v>
      </c>
      <c r="H1147" s="27">
        <v>0</v>
      </c>
      <c r="I1147" s="27">
        <v>0</v>
      </c>
      <c r="J1147" s="27">
        <v>0</v>
      </c>
      <c r="K1147" s="27">
        <v>0</v>
      </c>
      <c r="L1147" s="27">
        <v>1</v>
      </c>
      <c r="M1147" s="27">
        <v>0</v>
      </c>
      <c r="N1147" s="27">
        <v>0</v>
      </c>
      <c r="O1147" s="27">
        <v>0</v>
      </c>
      <c r="P1147" s="25">
        <v>700</v>
      </c>
      <c r="Q1147" s="25">
        <v>560</v>
      </c>
      <c r="R1147" s="25" t="s">
        <v>87</v>
      </c>
      <c r="S1147" s="25" t="s">
        <v>89</v>
      </c>
      <c r="T1147" s="25">
        <v>0</v>
      </c>
      <c r="U1147" s="25">
        <v>0</v>
      </c>
      <c r="V1147" s="25">
        <v>0</v>
      </c>
      <c r="W1147" s="25">
        <v>0</v>
      </c>
      <c r="X1147" s="25">
        <v>1</v>
      </c>
      <c r="Y1147" s="25">
        <v>0</v>
      </c>
      <c r="Z1147" s="25">
        <v>0</v>
      </c>
      <c r="AA1147" s="25">
        <v>0</v>
      </c>
      <c r="AB1147" s="25">
        <v>0</v>
      </c>
      <c r="AC1147" s="25">
        <v>0</v>
      </c>
      <c r="AD1147" s="25">
        <v>0</v>
      </c>
      <c r="AE1147" s="25">
        <v>1</v>
      </c>
      <c r="AF1147" s="25" t="s">
        <v>132</v>
      </c>
    </row>
    <row r="1148" spans="1:32" s="25" customFormat="1" x14ac:dyDescent="0.25">
      <c r="A1148" s="25" t="s">
        <v>187</v>
      </c>
      <c r="B1148" s="25">
        <f t="shared" si="32"/>
        <v>9030</v>
      </c>
      <c r="C1148" s="25" t="s">
        <v>12</v>
      </c>
      <c r="D1148" s="25">
        <v>0</v>
      </c>
      <c r="E1148" s="25">
        <v>0</v>
      </c>
      <c r="F1148" s="25">
        <v>256</v>
      </c>
      <c r="G1148" s="25">
        <v>222</v>
      </c>
      <c r="H1148" s="27">
        <v>0</v>
      </c>
      <c r="I1148" s="27">
        <v>0</v>
      </c>
      <c r="J1148" s="27">
        <v>0</v>
      </c>
      <c r="K1148" s="27">
        <v>0</v>
      </c>
      <c r="L1148" s="27">
        <v>1</v>
      </c>
      <c r="M1148" s="27">
        <v>0</v>
      </c>
      <c r="N1148" s="27">
        <v>0</v>
      </c>
      <c r="O1148" s="27">
        <v>0</v>
      </c>
      <c r="P1148" s="25">
        <v>700</v>
      </c>
      <c r="Q1148" s="25">
        <v>560</v>
      </c>
      <c r="R1148" s="25" t="s">
        <v>87</v>
      </c>
      <c r="S1148" s="25" t="s">
        <v>89</v>
      </c>
      <c r="T1148" s="25">
        <v>0</v>
      </c>
      <c r="U1148" s="25">
        <v>0</v>
      </c>
      <c r="V1148" s="25">
        <v>0</v>
      </c>
      <c r="W1148" s="25">
        <v>0</v>
      </c>
      <c r="X1148" s="25">
        <v>1</v>
      </c>
      <c r="Y1148" s="25">
        <v>0</v>
      </c>
      <c r="Z1148" s="25">
        <v>0</v>
      </c>
      <c r="AA1148" s="25">
        <v>0</v>
      </c>
      <c r="AB1148" s="25">
        <v>0</v>
      </c>
      <c r="AC1148" s="25">
        <v>0</v>
      </c>
      <c r="AD1148" s="25">
        <v>0</v>
      </c>
      <c r="AE1148" s="25">
        <v>1</v>
      </c>
      <c r="AF1148" s="25" t="s">
        <v>132</v>
      </c>
    </row>
    <row r="1149" spans="1:32" s="25" customFormat="1" x14ac:dyDescent="0.25">
      <c r="A1149" s="25" t="s">
        <v>187</v>
      </c>
      <c r="B1149" s="25">
        <f t="shared" si="32"/>
        <v>9040</v>
      </c>
      <c r="C1149" s="25" t="s">
        <v>12</v>
      </c>
      <c r="D1149" s="25">
        <v>0</v>
      </c>
      <c r="E1149" s="25">
        <v>0</v>
      </c>
      <c r="F1149" s="25">
        <v>256</v>
      </c>
      <c r="G1149" s="25">
        <v>222</v>
      </c>
      <c r="H1149" s="27">
        <v>0</v>
      </c>
      <c r="I1149" s="27">
        <v>0</v>
      </c>
      <c r="J1149" s="27">
        <v>0</v>
      </c>
      <c r="K1149" s="27">
        <v>0</v>
      </c>
      <c r="L1149" s="27">
        <v>1</v>
      </c>
      <c r="M1149" s="27">
        <v>0</v>
      </c>
      <c r="N1149" s="27">
        <v>0</v>
      </c>
      <c r="O1149" s="27">
        <v>0</v>
      </c>
      <c r="P1149" s="25">
        <v>700</v>
      </c>
      <c r="Q1149" s="25">
        <v>560</v>
      </c>
      <c r="R1149" s="25" t="s">
        <v>87</v>
      </c>
      <c r="S1149" s="25" t="s">
        <v>89</v>
      </c>
      <c r="T1149" s="25">
        <v>0</v>
      </c>
      <c r="U1149" s="25">
        <v>0</v>
      </c>
      <c r="V1149" s="25">
        <v>0</v>
      </c>
      <c r="W1149" s="25">
        <v>0</v>
      </c>
      <c r="X1149" s="25">
        <v>1</v>
      </c>
      <c r="Y1149" s="25">
        <v>0</v>
      </c>
      <c r="Z1149" s="25">
        <v>0</v>
      </c>
      <c r="AA1149" s="25">
        <v>0</v>
      </c>
      <c r="AB1149" s="25">
        <v>0</v>
      </c>
      <c r="AC1149" s="25">
        <v>0</v>
      </c>
      <c r="AD1149" s="25">
        <v>0</v>
      </c>
      <c r="AE1149" s="25">
        <v>1</v>
      </c>
      <c r="AF1149" s="25" t="s">
        <v>132</v>
      </c>
    </row>
    <row r="1150" spans="1:32" s="25" customFormat="1" x14ac:dyDescent="0.25">
      <c r="A1150" s="25" t="s">
        <v>187</v>
      </c>
      <c r="B1150" s="25">
        <f t="shared" si="32"/>
        <v>9050</v>
      </c>
      <c r="C1150" s="25" t="s">
        <v>12</v>
      </c>
      <c r="D1150" s="25">
        <v>0</v>
      </c>
      <c r="E1150" s="25">
        <v>0</v>
      </c>
      <c r="F1150" s="25">
        <v>256</v>
      </c>
      <c r="G1150" s="25">
        <v>222</v>
      </c>
      <c r="H1150" s="27">
        <v>0</v>
      </c>
      <c r="I1150" s="27">
        <v>0</v>
      </c>
      <c r="J1150" s="27">
        <v>0</v>
      </c>
      <c r="K1150" s="27">
        <v>0</v>
      </c>
      <c r="L1150" s="27">
        <v>1</v>
      </c>
      <c r="M1150" s="27">
        <v>0</v>
      </c>
      <c r="N1150" s="27">
        <v>0</v>
      </c>
      <c r="O1150" s="27">
        <v>0</v>
      </c>
      <c r="P1150" s="25">
        <v>700</v>
      </c>
      <c r="Q1150" s="25">
        <v>560</v>
      </c>
      <c r="R1150" s="25" t="s">
        <v>87</v>
      </c>
      <c r="S1150" s="25" t="s">
        <v>89</v>
      </c>
      <c r="T1150" s="25">
        <v>0</v>
      </c>
      <c r="U1150" s="25">
        <v>0</v>
      </c>
      <c r="V1150" s="25">
        <v>0</v>
      </c>
      <c r="W1150" s="25">
        <v>0</v>
      </c>
      <c r="X1150" s="25">
        <v>1</v>
      </c>
      <c r="Y1150" s="25">
        <v>0</v>
      </c>
      <c r="Z1150" s="25">
        <v>0</v>
      </c>
      <c r="AA1150" s="25">
        <v>0</v>
      </c>
      <c r="AB1150" s="25">
        <v>0</v>
      </c>
      <c r="AC1150" s="25">
        <v>0</v>
      </c>
      <c r="AD1150" s="25">
        <v>0</v>
      </c>
      <c r="AE1150" s="25">
        <v>1</v>
      </c>
      <c r="AF1150" s="25" t="s">
        <v>132</v>
      </c>
    </row>
    <row r="1151" spans="1:32" s="25" customFormat="1" x14ac:dyDescent="0.25">
      <c r="A1151" s="25" t="s">
        <v>187</v>
      </c>
      <c r="B1151" s="25">
        <f t="shared" si="32"/>
        <v>9060</v>
      </c>
      <c r="C1151" s="25" t="s">
        <v>12</v>
      </c>
      <c r="D1151" s="25">
        <v>0</v>
      </c>
      <c r="E1151" s="25">
        <v>0</v>
      </c>
      <c r="F1151" s="25">
        <v>256</v>
      </c>
      <c r="G1151" s="25">
        <v>222</v>
      </c>
      <c r="H1151" s="27">
        <v>0</v>
      </c>
      <c r="I1151" s="27">
        <v>0</v>
      </c>
      <c r="J1151" s="27">
        <v>0</v>
      </c>
      <c r="K1151" s="27">
        <v>0</v>
      </c>
      <c r="L1151" s="27">
        <v>1</v>
      </c>
      <c r="M1151" s="27">
        <v>0</v>
      </c>
      <c r="N1151" s="27">
        <v>0</v>
      </c>
      <c r="O1151" s="27">
        <v>0</v>
      </c>
      <c r="P1151" s="25">
        <v>700</v>
      </c>
      <c r="Q1151" s="25">
        <v>560</v>
      </c>
      <c r="R1151" s="25" t="s">
        <v>87</v>
      </c>
      <c r="S1151" s="25" t="s">
        <v>89</v>
      </c>
      <c r="T1151" s="25">
        <v>0</v>
      </c>
      <c r="U1151" s="25">
        <v>0</v>
      </c>
      <c r="V1151" s="25">
        <v>0</v>
      </c>
      <c r="W1151" s="25">
        <v>0</v>
      </c>
      <c r="X1151" s="25">
        <v>1</v>
      </c>
      <c r="Y1151" s="25">
        <v>0</v>
      </c>
      <c r="Z1151" s="25">
        <v>0</v>
      </c>
      <c r="AA1151" s="25">
        <v>0</v>
      </c>
      <c r="AB1151" s="25">
        <v>0</v>
      </c>
      <c r="AC1151" s="25">
        <v>0</v>
      </c>
      <c r="AD1151" s="25">
        <v>0</v>
      </c>
      <c r="AE1151" s="25">
        <v>1</v>
      </c>
      <c r="AF1151" s="25" t="s">
        <v>132</v>
      </c>
    </row>
    <row r="1152" spans="1:32" s="25" customFormat="1" x14ac:dyDescent="0.25">
      <c r="A1152" s="25" t="s">
        <v>187</v>
      </c>
      <c r="B1152" s="25">
        <f t="shared" si="32"/>
        <v>9070</v>
      </c>
      <c r="C1152" s="25" t="s">
        <v>12</v>
      </c>
      <c r="D1152" s="25">
        <v>0</v>
      </c>
      <c r="E1152" s="25">
        <v>0</v>
      </c>
      <c r="F1152" s="25">
        <v>256</v>
      </c>
      <c r="G1152" s="25">
        <v>222</v>
      </c>
      <c r="H1152" s="27">
        <v>0</v>
      </c>
      <c r="I1152" s="27">
        <v>0</v>
      </c>
      <c r="J1152" s="27">
        <v>0</v>
      </c>
      <c r="K1152" s="27">
        <v>0</v>
      </c>
      <c r="L1152" s="27">
        <v>1</v>
      </c>
      <c r="M1152" s="27">
        <v>0</v>
      </c>
      <c r="N1152" s="27">
        <v>0</v>
      </c>
      <c r="O1152" s="27">
        <v>0</v>
      </c>
      <c r="P1152" s="25">
        <v>700</v>
      </c>
      <c r="Q1152" s="25">
        <v>560</v>
      </c>
      <c r="R1152" s="25" t="s">
        <v>87</v>
      </c>
      <c r="S1152" s="25" t="s">
        <v>89</v>
      </c>
      <c r="T1152" s="25">
        <v>0</v>
      </c>
      <c r="U1152" s="25">
        <v>0</v>
      </c>
      <c r="V1152" s="25">
        <v>0</v>
      </c>
      <c r="W1152" s="25">
        <v>0</v>
      </c>
      <c r="X1152" s="25">
        <v>1</v>
      </c>
      <c r="Y1152" s="25">
        <v>0</v>
      </c>
      <c r="Z1152" s="25">
        <v>0</v>
      </c>
      <c r="AA1152" s="25">
        <v>0</v>
      </c>
      <c r="AB1152" s="25">
        <v>0</v>
      </c>
      <c r="AC1152" s="25">
        <v>0</v>
      </c>
      <c r="AD1152" s="25">
        <v>0</v>
      </c>
      <c r="AE1152" s="25">
        <v>1</v>
      </c>
      <c r="AF1152" s="25" t="s">
        <v>132</v>
      </c>
    </row>
    <row r="1153" spans="1:32" s="25" customFormat="1" x14ac:dyDescent="0.25">
      <c r="A1153" s="25" t="s">
        <v>187</v>
      </c>
      <c r="B1153" s="25">
        <f t="shared" si="32"/>
        <v>9080</v>
      </c>
      <c r="C1153" s="25" t="s">
        <v>12</v>
      </c>
      <c r="D1153" s="25">
        <v>0</v>
      </c>
      <c r="E1153" s="25">
        <v>0</v>
      </c>
      <c r="F1153" s="25">
        <v>256</v>
      </c>
      <c r="G1153" s="25">
        <v>222</v>
      </c>
      <c r="H1153" s="27">
        <v>0</v>
      </c>
      <c r="I1153" s="27">
        <v>0</v>
      </c>
      <c r="J1153" s="27">
        <v>0</v>
      </c>
      <c r="K1153" s="27">
        <v>0</v>
      </c>
      <c r="L1153" s="27">
        <v>1</v>
      </c>
      <c r="M1153" s="27">
        <v>0</v>
      </c>
      <c r="N1153" s="27">
        <v>0</v>
      </c>
      <c r="O1153" s="27">
        <v>0</v>
      </c>
      <c r="P1153" s="25">
        <v>700</v>
      </c>
      <c r="Q1153" s="25">
        <v>560</v>
      </c>
      <c r="R1153" s="25" t="s">
        <v>87</v>
      </c>
      <c r="S1153" s="25" t="s">
        <v>89</v>
      </c>
      <c r="T1153" s="25">
        <v>0</v>
      </c>
      <c r="U1153" s="25">
        <v>0</v>
      </c>
      <c r="V1153" s="25">
        <v>0</v>
      </c>
      <c r="W1153" s="25">
        <v>0</v>
      </c>
      <c r="X1153" s="25">
        <v>1</v>
      </c>
      <c r="Y1153" s="25">
        <v>0</v>
      </c>
      <c r="Z1153" s="25">
        <v>0</v>
      </c>
      <c r="AA1153" s="25">
        <v>0</v>
      </c>
      <c r="AB1153" s="25">
        <v>0</v>
      </c>
      <c r="AC1153" s="25">
        <v>0</v>
      </c>
      <c r="AD1153" s="25">
        <v>0</v>
      </c>
      <c r="AE1153" s="25">
        <v>1</v>
      </c>
      <c r="AF1153" s="25" t="s">
        <v>132</v>
      </c>
    </row>
    <row r="1154" spans="1:32" s="25" customFormat="1" x14ac:dyDescent="0.25">
      <c r="A1154" s="25" t="s">
        <v>187</v>
      </c>
      <c r="B1154" s="25">
        <f t="shared" si="32"/>
        <v>9090</v>
      </c>
      <c r="C1154" s="25" t="s">
        <v>12</v>
      </c>
      <c r="D1154" s="25">
        <v>0</v>
      </c>
      <c r="E1154" s="25">
        <v>0</v>
      </c>
      <c r="F1154" s="25">
        <v>256</v>
      </c>
      <c r="G1154" s="25">
        <v>222</v>
      </c>
      <c r="H1154" s="27">
        <v>0</v>
      </c>
      <c r="I1154" s="27">
        <v>0</v>
      </c>
      <c r="J1154" s="27">
        <v>0</v>
      </c>
      <c r="K1154" s="27">
        <v>0</v>
      </c>
      <c r="L1154" s="27">
        <v>1</v>
      </c>
      <c r="M1154" s="27">
        <v>0</v>
      </c>
      <c r="N1154" s="27">
        <v>0</v>
      </c>
      <c r="O1154" s="27">
        <v>0</v>
      </c>
      <c r="P1154" s="25">
        <v>700</v>
      </c>
      <c r="Q1154" s="25">
        <v>560</v>
      </c>
      <c r="R1154" s="25" t="s">
        <v>87</v>
      </c>
      <c r="S1154" s="25" t="s">
        <v>89</v>
      </c>
      <c r="T1154" s="25">
        <v>0</v>
      </c>
      <c r="U1154" s="25">
        <v>0</v>
      </c>
      <c r="V1154" s="25">
        <v>0</v>
      </c>
      <c r="W1154" s="25">
        <v>0</v>
      </c>
      <c r="X1154" s="25">
        <v>1</v>
      </c>
      <c r="Y1154" s="25">
        <v>0</v>
      </c>
      <c r="Z1154" s="25">
        <v>0</v>
      </c>
      <c r="AA1154" s="25">
        <v>0</v>
      </c>
      <c r="AB1154" s="25">
        <v>0</v>
      </c>
      <c r="AC1154" s="25">
        <v>0</v>
      </c>
      <c r="AD1154" s="25">
        <v>0</v>
      </c>
      <c r="AE1154" s="25">
        <v>1</v>
      </c>
      <c r="AF1154" s="25" t="s">
        <v>132</v>
      </c>
    </row>
    <row r="1155" spans="1:32" s="25" customFormat="1" x14ac:dyDescent="0.25">
      <c r="A1155" s="25" t="s">
        <v>187</v>
      </c>
      <c r="B1155" s="25">
        <f t="shared" si="32"/>
        <v>9100</v>
      </c>
      <c r="C1155" s="25" t="s">
        <v>12</v>
      </c>
      <c r="D1155" s="25">
        <v>0</v>
      </c>
      <c r="E1155" s="25">
        <v>0</v>
      </c>
      <c r="F1155" s="25">
        <v>256</v>
      </c>
      <c r="G1155" s="25">
        <v>222</v>
      </c>
      <c r="H1155" s="27">
        <v>0</v>
      </c>
      <c r="I1155" s="27">
        <v>0</v>
      </c>
      <c r="J1155" s="27">
        <v>0</v>
      </c>
      <c r="K1155" s="27">
        <v>0</v>
      </c>
      <c r="L1155" s="27">
        <v>1</v>
      </c>
      <c r="M1155" s="27">
        <v>0</v>
      </c>
      <c r="N1155" s="27">
        <v>0</v>
      </c>
      <c r="O1155" s="27">
        <v>0</v>
      </c>
      <c r="P1155" s="25">
        <v>700</v>
      </c>
      <c r="Q1155" s="25">
        <v>560</v>
      </c>
      <c r="R1155" s="25" t="s">
        <v>87</v>
      </c>
      <c r="S1155" s="25" t="s">
        <v>89</v>
      </c>
      <c r="T1155" s="25">
        <v>0</v>
      </c>
      <c r="U1155" s="25">
        <v>0</v>
      </c>
      <c r="V1155" s="25">
        <v>0</v>
      </c>
      <c r="W1155" s="25">
        <v>0</v>
      </c>
      <c r="X1155" s="25">
        <v>1</v>
      </c>
      <c r="Y1155" s="25">
        <v>0</v>
      </c>
      <c r="Z1155" s="25">
        <v>0</v>
      </c>
      <c r="AA1155" s="25">
        <v>0</v>
      </c>
      <c r="AB1155" s="25">
        <v>0</v>
      </c>
      <c r="AC1155" s="25">
        <v>0</v>
      </c>
      <c r="AD1155" s="25">
        <v>0</v>
      </c>
      <c r="AE1155" s="25">
        <v>1</v>
      </c>
      <c r="AF1155" s="25" t="s">
        <v>132</v>
      </c>
    </row>
    <row r="1156" spans="1:32" s="25" customFormat="1" x14ac:dyDescent="0.25">
      <c r="A1156" s="25" t="s">
        <v>187</v>
      </c>
      <c r="B1156" s="25">
        <f t="shared" si="32"/>
        <v>9110</v>
      </c>
      <c r="C1156" s="25" t="s">
        <v>12</v>
      </c>
      <c r="D1156" s="25">
        <v>0</v>
      </c>
      <c r="E1156" s="25">
        <v>0</v>
      </c>
      <c r="F1156" s="25">
        <v>256</v>
      </c>
      <c r="G1156" s="25">
        <v>222</v>
      </c>
      <c r="H1156" s="27">
        <v>0</v>
      </c>
      <c r="I1156" s="27">
        <v>0</v>
      </c>
      <c r="J1156" s="27">
        <v>0</v>
      </c>
      <c r="K1156" s="27">
        <v>0</v>
      </c>
      <c r="L1156" s="27">
        <v>1</v>
      </c>
      <c r="M1156" s="27">
        <v>0</v>
      </c>
      <c r="N1156" s="27">
        <v>0</v>
      </c>
      <c r="O1156" s="27">
        <v>0</v>
      </c>
      <c r="P1156" s="25">
        <v>700</v>
      </c>
      <c r="Q1156" s="25">
        <v>560</v>
      </c>
      <c r="R1156" s="25" t="s">
        <v>87</v>
      </c>
      <c r="S1156" s="25" t="s">
        <v>89</v>
      </c>
      <c r="T1156" s="25">
        <v>0</v>
      </c>
      <c r="U1156" s="25">
        <v>0</v>
      </c>
      <c r="V1156" s="25">
        <v>0</v>
      </c>
      <c r="W1156" s="25">
        <v>0</v>
      </c>
      <c r="X1156" s="25">
        <v>1</v>
      </c>
      <c r="Y1156" s="25">
        <v>0</v>
      </c>
      <c r="Z1156" s="25">
        <v>0</v>
      </c>
      <c r="AA1156" s="25">
        <v>0</v>
      </c>
      <c r="AB1156" s="25">
        <v>0</v>
      </c>
      <c r="AC1156" s="25">
        <v>0</v>
      </c>
      <c r="AD1156" s="25">
        <v>0</v>
      </c>
      <c r="AE1156" s="25">
        <v>1</v>
      </c>
      <c r="AF1156" s="25" t="s">
        <v>132</v>
      </c>
    </row>
    <row r="1157" spans="1:32" s="25" customFormat="1" x14ac:dyDescent="0.25">
      <c r="A1157" s="25" t="s">
        <v>187</v>
      </c>
      <c r="B1157" s="25">
        <f t="shared" si="32"/>
        <v>9120</v>
      </c>
      <c r="C1157" s="25" t="s">
        <v>12</v>
      </c>
      <c r="D1157" s="25">
        <v>0</v>
      </c>
      <c r="E1157" s="25">
        <v>0</v>
      </c>
      <c r="F1157" s="25">
        <v>256</v>
      </c>
      <c r="G1157" s="25">
        <v>222</v>
      </c>
      <c r="H1157" s="27">
        <v>0</v>
      </c>
      <c r="I1157" s="27">
        <v>0</v>
      </c>
      <c r="J1157" s="27">
        <v>0</v>
      </c>
      <c r="K1157" s="27">
        <v>0</v>
      </c>
      <c r="L1157" s="27">
        <v>1</v>
      </c>
      <c r="M1157" s="27">
        <v>0</v>
      </c>
      <c r="N1157" s="27">
        <v>0</v>
      </c>
      <c r="O1157" s="27">
        <v>0</v>
      </c>
      <c r="P1157" s="25">
        <v>700</v>
      </c>
      <c r="Q1157" s="25">
        <v>560</v>
      </c>
      <c r="R1157" s="25" t="s">
        <v>87</v>
      </c>
      <c r="S1157" s="25" t="s">
        <v>89</v>
      </c>
      <c r="T1157" s="25">
        <v>0</v>
      </c>
      <c r="U1157" s="25">
        <v>0</v>
      </c>
      <c r="V1157" s="25">
        <v>0</v>
      </c>
      <c r="W1157" s="25">
        <v>0</v>
      </c>
      <c r="X1157" s="25">
        <v>1</v>
      </c>
      <c r="Y1157" s="25">
        <v>0</v>
      </c>
      <c r="Z1157" s="25">
        <v>0</v>
      </c>
      <c r="AA1157" s="25">
        <v>0</v>
      </c>
      <c r="AB1157" s="25">
        <v>0</v>
      </c>
      <c r="AC1157" s="25">
        <v>0</v>
      </c>
      <c r="AD1157" s="25">
        <v>0</v>
      </c>
      <c r="AE1157" s="25">
        <v>1</v>
      </c>
      <c r="AF1157" s="25" t="s">
        <v>132</v>
      </c>
    </row>
    <row r="1158" spans="1:32" s="25" customFormat="1" x14ac:dyDescent="0.25">
      <c r="A1158" s="25" t="s">
        <v>187</v>
      </c>
      <c r="B1158" s="25">
        <f t="shared" si="32"/>
        <v>9130</v>
      </c>
      <c r="C1158" s="25" t="s">
        <v>12</v>
      </c>
      <c r="D1158" s="25">
        <v>0</v>
      </c>
      <c r="E1158" s="25">
        <v>0</v>
      </c>
      <c r="F1158" s="25">
        <v>256</v>
      </c>
      <c r="G1158" s="25">
        <v>222</v>
      </c>
      <c r="H1158" s="27">
        <v>0</v>
      </c>
      <c r="I1158" s="27">
        <v>0</v>
      </c>
      <c r="J1158" s="27">
        <v>0</v>
      </c>
      <c r="K1158" s="27">
        <v>0</v>
      </c>
      <c r="L1158" s="27">
        <v>1</v>
      </c>
      <c r="M1158" s="27">
        <v>0</v>
      </c>
      <c r="N1158" s="27">
        <v>0</v>
      </c>
      <c r="O1158" s="27">
        <v>0</v>
      </c>
      <c r="P1158" s="25">
        <v>700</v>
      </c>
      <c r="Q1158" s="25">
        <v>560</v>
      </c>
      <c r="R1158" s="25" t="s">
        <v>87</v>
      </c>
      <c r="S1158" s="25" t="s">
        <v>89</v>
      </c>
      <c r="T1158" s="25">
        <v>0</v>
      </c>
      <c r="U1158" s="25">
        <v>0</v>
      </c>
      <c r="V1158" s="25">
        <v>0</v>
      </c>
      <c r="W1158" s="25">
        <v>0</v>
      </c>
      <c r="X1158" s="25">
        <v>1</v>
      </c>
      <c r="Y1158" s="25">
        <v>0</v>
      </c>
      <c r="Z1158" s="25">
        <v>0</v>
      </c>
      <c r="AA1158" s="25">
        <v>0</v>
      </c>
      <c r="AB1158" s="25">
        <v>0</v>
      </c>
      <c r="AC1158" s="25">
        <v>0</v>
      </c>
      <c r="AD1158" s="25">
        <v>0</v>
      </c>
      <c r="AE1158" s="25">
        <v>1</v>
      </c>
      <c r="AF1158" s="25" t="s">
        <v>132</v>
      </c>
    </row>
    <row r="1159" spans="1:32" s="25" customFormat="1" x14ac:dyDescent="0.25">
      <c r="A1159" s="25" t="s">
        <v>187</v>
      </c>
      <c r="B1159" s="25">
        <f t="shared" si="32"/>
        <v>9140</v>
      </c>
      <c r="C1159" s="25" t="s">
        <v>12</v>
      </c>
      <c r="D1159" s="25">
        <v>0</v>
      </c>
      <c r="E1159" s="25">
        <v>0</v>
      </c>
      <c r="F1159" s="25">
        <v>256</v>
      </c>
      <c r="G1159" s="25">
        <v>222</v>
      </c>
      <c r="H1159" s="27">
        <v>0</v>
      </c>
      <c r="I1159" s="27">
        <v>0</v>
      </c>
      <c r="J1159" s="27">
        <v>0</v>
      </c>
      <c r="K1159" s="27">
        <v>0</v>
      </c>
      <c r="L1159" s="27">
        <v>1</v>
      </c>
      <c r="M1159" s="27">
        <v>0</v>
      </c>
      <c r="N1159" s="27">
        <v>0</v>
      </c>
      <c r="O1159" s="27">
        <v>0</v>
      </c>
      <c r="P1159" s="25">
        <v>700</v>
      </c>
      <c r="Q1159" s="25">
        <v>560</v>
      </c>
      <c r="R1159" s="25" t="s">
        <v>87</v>
      </c>
      <c r="S1159" s="25" t="s">
        <v>89</v>
      </c>
      <c r="T1159" s="25">
        <v>0</v>
      </c>
      <c r="U1159" s="25">
        <v>0</v>
      </c>
      <c r="V1159" s="25">
        <v>0</v>
      </c>
      <c r="W1159" s="25">
        <v>0</v>
      </c>
      <c r="X1159" s="25">
        <v>1</v>
      </c>
      <c r="Y1159" s="25">
        <v>0</v>
      </c>
      <c r="Z1159" s="25">
        <v>0</v>
      </c>
      <c r="AA1159" s="25">
        <v>0</v>
      </c>
      <c r="AB1159" s="25">
        <v>0</v>
      </c>
      <c r="AC1159" s="25">
        <v>0</v>
      </c>
      <c r="AD1159" s="25">
        <v>0</v>
      </c>
      <c r="AE1159" s="25">
        <v>1</v>
      </c>
      <c r="AF1159" s="25" t="s">
        <v>132</v>
      </c>
    </row>
    <row r="1160" spans="1:32" s="25" customFormat="1" x14ac:dyDescent="0.25">
      <c r="A1160" s="25" t="s">
        <v>187</v>
      </c>
      <c r="B1160" s="25">
        <f t="shared" si="32"/>
        <v>9150</v>
      </c>
      <c r="C1160" s="25" t="s">
        <v>12</v>
      </c>
      <c r="D1160" s="25">
        <v>0</v>
      </c>
      <c r="E1160" s="25">
        <v>0</v>
      </c>
      <c r="F1160" s="25">
        <v>256</v>
      </c>
      <c r="G1160" s="25">
        <v>222</v>
      </c>
      <c r="H1160" s="27">
        <v>0</v>
      </c>
      <c r="I1160" s="27">
        <v>0</v>
      </c>
      <c r="J1160" s="27">
        <v>0</v>
      </c>
      <c r="K1160" s="27">
        <v>0</v>
      </c>
      <c r="L1160" s="27">
        <v>1</v>
      </c>
      <c r="M1160" s="27">
        <v>0</v>
      </c>
      <c r="N1160" s="27">
        <v>0</v>
      </c>
      <c r="O1160" s="27">
        <v>0</v>
      </c>
      <c r="P1160" s="25">
        <v>700</v>
      </c>
      <c r="Q1160" s="25">
        <v>560</v>
      </c>
      <c r="R1160" s="25" t="s">
        <v>87</v>
      </c>
      <c r="S1160" s="25" t="s">
        <v>89</v>
      </c>
      <c r="T1160" s="25">
        <v>0</v>
      </c>
      <c r="U1160" s="25">
        <v>0</v>
      </c>
      <c r="V1160" s="25">
        <v>0</v>
      </c>
      <c r="W1160" s="25">
        <v>0</v>
      </c>
      <c r="X1160" s="25">
        <v>1</v>
      </c>
      <c r="Y1160" s="25">
        <v>0</v>
      </c>
      <c r="Z1160" s="25">
        <v>0</v>
      </c>
      <c r="AA1160" s="25">
        <v>0</v>
      </c>
      <c r="AB1160" s="25">
        <v>0</v>
      </c>
      <c r="AC1160" s="25">
        <v>0</v>
      </c>
      <c r="AD1160" s="25">
        <v>0</v>
      </c>
      <c r="AE1160" s="25">
        <v>1</v>
      </c>
      <c r="AF1160" s="25" t="s">
        <v>132</v>
      </c>
    </row>
    <row r="1161" spans="1:32" s="25" customFormat="1" x14ac:dyDescent="0.25">
      <c r="A1161" s="25" t="s">
        <v>187</v>
      </c>
      <c r="B1161" s="25">
        <f t="shared" si="32"/>
        <v>9160</v>
      </c>
      <c r="C1161" s="25" t="s">
        <v>12</v>
      </c>
      <c r="D1161" s="25">
        <v>0</v>
      </c>
      <c r="E1161" s="25">
        <v>0</v>
      </c>
      <c r="F1161" s="25">
        <v>256</v>
      </c>
      <c r="G1161" s="25">
        <v>222</v>
      </c>
      <c r="H1161" s="27">
        <v>0</v>
      </c>
      <c r="I1161" s="27">
        <v>0</v>
      </c>
      <c r="J1161" s="27">
        <v>0</v>
      </c>
      <c r="K1161" s="27">
        <v>0</v>
      </c>
      <c r="L1161" s="27">
        <v>1</v>
      </c>
      <c r="M1161" s="27">
        <v>0</v>
      </c>
      <c r="N1161" s="27">
        <v>0</v>
      </c>
      <c r="O1161" s="27">
        <v>0</v>
      </c>
      <c r="P1161" s="25">
        <v>700</v>
      </c>
      <c r="Q1161" s="25">
        <v>560</v>
      </c>
      <c r="R1161" s="25" t="s">
        <v>87</v>
      </c>
      <c r="S1161" s="25" t="s">
        <v>89</v>
      </c>
      <c r="T1161" s="25">
        <v>0</v>
      </c>
      <c r="U1161" s="25">
        <v>0</v>
      </c>
      <c r="V1161" s="25">
        <v>0</v>
      </c>
      <c r="W1161" s="25">
        <v>0</v>
      </c>
      <c r="X1161" s="25">
        <v>1</v>
      </c>
      <c r="Y1161" s="25">
        <v>0</v>
      </c>
      <c r="Z1161" s="25">
        <v>0</v>
      </c>
      <c r="AA1161" s="25">
        <v>0</v>
      </c>
      <c r="AB1161" s="25">
        <v>0</v>
      </c>
      <c r="AC1161" s="25">
        <v>0</v>
      </c>
      <c r="AD1161" s="25">
        <v>0</v>
      </c>
      <c r="AE1161" s="25">
        <v>1</v>
      </c>
      <c r="AF1161" s="25" t="s">
        <v>132</v>
      </c>
    </row>
    <row r="1162" spans="1:32" s="25" customFormat="1" x14ac:dyDescent="0.25">
      <c r="A1162" s="25" t="s">
        <v>187</v>
      </c>
      <c r="B1162" s="25">
        <f t="shared" si="32"/>
        <v>9170</v>
      </c>
      <c r="C1162" s="25" t="s">
        <v>12</v>
      </c>
      <c r="D1162" s="25">
        <v>0</v>
      </c>
      <c r="E1162" s="25">
        <v>0</v>
      </c>
      <c r="F1162" s="25">
        <v>256</v>
      </c>
      <c r="G1162" s="25">
        <v>222</v>
      </c>
      <c r="H1162" s="27">
        <v>0</v>
      </c>
      <c r="I1162" s="27">
        <v>0</v>
      </c>
      <c r="J1162" s="27">
        <v>0</v>
      </c>
      <c r="K1162" s="27">
        <v>0</v>
      </c>
      <c r="L1162" s="27">
        <v>1</v>
      </c>
      <c r="M1162" s="27">
        <v>0</v>
      </c>
      <c r="N1162" s="27">
        <v>0</v>
      </c>
      <c r="O1162" s="27">
        <v>0</v>
      </c>
      <c r="P1162" s="25">
        <v>700</v>
      </c>
      <c r="Q1162" s="25">
        <v>560</v>
      </c>
      <c r="R1162" s="25" t="s">
        <v>87</v>
      </c>
      <c r="S1162" s="25" t="s">
        <v>89</v>
      </c>
      <c r="T1162" s="25">
        <v>0</v>
      </c>
      <c r="U1162" s="25">
        <v>0</v>
      </c>
      <c r="V1162" s="25">
        <v>0</v>
      </c>
      <c r="W1162" s="25">
        <v>0</v>
      </c>
      <c r="X1162" s="25">
        <v>1</v>
      </c>
      <c r="Y1162" s="25">
        <v>0</v>
      </c>
      <c r="Z1162" s="25">
        <v>0</v>
      </c>
      <c r="AA1162" s="25">
        <v>0</v>
      </c>
      <c r="AB1162" s="25">
        <v>0</v>
      </c>
      <c r="AC1162" s="25">
        <v>0</v>
      </c>
      <c r="AD1162" s="25">
        <v>0</v>
      </c>
      <c r="AE1162" s="25">
        <v>1</v>
      </c>
      <c r="AF1162" s="25" t="s">
        <v>132</v>
      </c>
    </row>
    <row r="1163" spans="1:32" s="25" customFormat="1" x14ac:dyDescent="0.25">
      <c r="A1163" s="25" t="s">
        <v>187</v>
      </c>
      <c r="B1163" s="25">
        <f t="shared" si="32"/>
        <v>9180</v>
      </c>
      <c r="C1163" s="25" t="s">
        <v>12</v>
      </c>
      <c r="D1163" s="25">
        <v>0</v>
      </c>
      <c r="E1163" s="25">
        <v>0</v>
      </c>
      <c r="F1163" s="25">
        <v>256</v>
      </c>
      <c r="G1163" s="25">
        <v>222</v>
      </c>
      <c r="H1163" s="27">
        <v>0</v>
      </c>
      <c r="I1163" s="27">
        <v>0</v>
      </c>
      <c r="J1163" s="27">
        <v>0</v>
      </c>
      <c r="K1163" s="27">
        <v>0</v>
      </c>
      <c r="L1163" s="27">
        <v>1</v>
      </c>
      <c r="M1163" s="27">
        <v>0</v>
      </c>
      <c r="N1163" s="27">
        <v>0</v>
      </c>
      <c r="O1163" s="27">
        <v>0</v>
      </c>
      <c r="P1163" s="25">
        <v>700</v>
      </c>
      <c r="Q1163" s="25">
        <v>560</v>
      </c>
      <c r="R1163" s="25" t="s">
        <v>87</v>
      </c>
      <c r="S1163" s="25" t="s">
        <v>89</v>
      </c>
      <c r="T1163" s="25">
        <v>0</v>
      </c>
      <c r="U1163" s="25">
        <v>0</v>
      </c>
      <c r="V1163" s="25">
        <v>0</v>
      </c>
      <c r="W1163" s="25">
        <v>0</v>
      </c>
      <c r="X1163" s="25">
        <v>1</v>
      </c>
      <c r="Y1163" s="25">
        <v>0</v>
      </c>
      <c r="Z1163" s="25">
        <v>0</v>
      </c>
      <c r="AA1163" s="25">
        <v>0</v>
      </c>
      <c r="AB1163" s="25">
        <v>0</v>
      </c>
      <c r="AC1163" s="25">
        <v>0</v>
      </c>
      <c r="AD1163" s="25">
        <v>0</v>
      </c>
      <c r="AE1163" s="25">
        <v>1</v>
      </c>
      <c r="AF1163" s="25" t="s">
        <v>132</v>
      </c>
    </row>
    <row r="1164" spans="1:32" x14ac:dyDescent="0.25">
      <c r="A1164" t="s">
        <v>187</v>
      </c>
      <c r="B1164" s="25">
        <f t="shared" si="32"/>
        <v>9190</v>
      </c>
      <c r="C1164" t="s">
        <v>12</v>
      </c>
      <c r="D1164">
        <v>0</v>
      </c>
      <c r="E1164">
        <v>0</v>
      </c>
      <c r="F1164">
        <v>256</v>
      </c>
      <c r="G1164">
        <v>222</v>
      </c>
      <c r="H1164" s="27">
        <v>0</v>
      </c>
      <c r="I1164" s="27">
        <v>0</v>
      </c>
      <c r="J1164" s="27">
        <v>0</v>
      </c>
      <c r="K1164" s="27">
        <v>0</v>
      </c>
      <c r="L1164" s="27">
        <v>1</v>
      </c>
      <c r="M1164" s="27">
        <v>0</v>
      </c>
      <c r="N1164" s="27">
        <v>0</v>
      </c>
      <c r="O1164" s="27">
        <v>0</v>
      </c>
      <c r="P1164">
        <v>700</v>
      </c>
      <c r="Q1164">
        <v>560</v>
      </c>
      <c r="R1164" t="s">
        <v>87</v>
      </c>
      <c r="S1164" t="s">
        <v>89</v>
      </c>
      <c r="T1164">
        <v>0</v>
      </c>
      <c r="U1164">
        <v>0</v>
      </c>
      <c r="V1164">
        <v>0</v>
      </c>
      <c r="W1164">
        <v>0</v>
      </c>
      <c r="X1164">
        <v>1</v>
      </c>
      <c r="Y1164">
        <v>0</v>
      </c>
      <c r="Z1164">
        <v>0</v>
      </c>
      <c r="AA1164">
        <v>0</v>
      </c>
      <c r="AB1164">
        <v>0</v>
      </c>
      <c r="AC1164">
        <v>0</v>
      </c>
      <c r="AD1164">
        <v>0</v>
      </c>
      <c r="AE1164">
        <v>1</v>
      </c>
      <c r="AF1164" t="s">
        <v>132</v>
      </c>
    </row>
    <row r="1165" spans="1:32" x14ac:dyDescent="0.25">
      <c r="A1165" t="s">
        <v>187</v>
      </c>
      <c r="B1165" s="25">
        <f t="shared" si="32"/>
        <v>9200</v>
      </c>
      <c r="C1165" t="s">
        <v>12</v>
      </c>
      <c r="D1165" t="s">
        <v>13</v>
      </c>
      <c r="E1165" t="s">
        <v>13</v>
      </c>
      <c r="F1165" t="s">
        <v>13</v>
      </c>
      <c r="G1165" t="s">
        <v>13</v>
      </c>
      <c r="H1165" s="27" t="s">
        <v>13</v>
      </c>
      <c r="I1165" s="27" t="s">
        <v>13</v>
      </c>
      <c r="J1165" s="27" t="s">
        <v>13</v>
      </c>
      <c r="K1165" s="27" t="s">
        <v>13</v>
      </c>
      <c r="L1165" s="27" t="s">
        <v>13</v>
      </c>
      <c r="M1165" s="27" t="s">
        <v>13</v>
      </c>
      <c r="N1165" s="27" t="s">
        <v>13</v>
      </c>
      <c r="O1165" s="27" t="s">
        <v>13</v>
      </c>
      <c r="P1165">
        <v>700</v>
      </c>
      <c r="Q1165">
        <v>560</v>
      </c>
      <c r="R1165" t="s">
        <v>87</v>
      </c>
      <c r="S1165" t="s">
        <v>89</v>
      </c>
      <c r="T1165">
        <v>0</v>
      </c>
      <c r="U1165">
        <v>0</v>
      </c>
      <c r="V1165">
        <v>0</v>
      </c>
      <c r="W1165">
        <v>0</v>
      </c>
      <c r="X1165">
        <v>1</v>
      </c>
      <c r="Y1165">
        <v>0</v>
      </c>
      <c r="Z1165">
        <v>0</v>
      </c>
      <c r="AA1165">
        <v>0</v>
      </c>
      <c r="AB1165">
        <v>0</v>
      </c>
      <c r="AC1165">
        <v>0</v>
      </c>
      <c r="AD1165">
        <v>0</v>
      </c>
      <c r="AE1165">
        <v>1</v>
      </c>
      <c r="AF1165" t="s">
        <v>128</v>
      </c>
    </row>
    <row r="1166" spans="1:32" x14ac:dyDescent="0.25">
      <c r="A1166" t="s">
        <v>188</v>
      </c>
      <c r="B1166" s="25">
        <f t="shared" si="32"/>
        <v>9210</v>
      </c>
      <c r="C1166" t="s">
        <v>12</v>
      </c>
      <c r="D1166" t="s">
        <v>13</v>
      </c>
      <c r="E1166" t="s">
        <v>13</v>
      </c>
      <c r="F1166" t="s">
        <v>13</v>
      </c>
      <c r="G1166" t="s">
        <v>13</v>
      </c>
      <c r="H1166" s="27" t="s">
        <v>13</v>
      </c>
      <c r="I1166" s="27" t="s">
        <v>13</v>
      </c>
      <c r="J1166" s="27" t="s">
        <v>13</v>
      </c>
      <c r="K1166" s="27" t="s">
        <v>13</v>
      </c>
      <c r="L1166" s="27" t="s">
        <v>13</v>
      </c>
      <c r="M1166" s="27" t="s">
        <v>13</v>
      </c>
      <c r="N1166" s="27" t="s">
        <v>13</v>
      </c>
      <c r="O1166" s="27" t="s">
        <v>13</v>
      </c>
      <c r="P1166">
        <v>700</v>
      </c>
      <c r="Q1166">
        <v>560</v>
      </c>
      <c r="R1166" t="s">
        <v>87</v>
      </c>
      <c r="S1166" t="s">
        <v>89</v>
      </c>
      <c r="T1166">
        <v>0</v>
      </c>
      <c r="U1166">
        <v>0</v>
      </c>
      <c r="V1166">
        <v>0</v>
      </c>
      <c r="W1166">
        <v>0</v>
      </c>
      <c r="X1166">
        <v>1</v>
      </c>
      <c r="Y1166">
        <v>0</v>
      </c>
      <c r="Z1166">
        <v>0</v>
      </c>
      <c r="AA1166">
        <v>0</v>
      </c>
      <c r="AB1166">
        <v>0</v>
      </c>
      <c r="AC1166">
        <v>0</v>
      </c>
      <c r="AD1166">
        <v>0</v>
      </c>
      <c r="AE1166">
        <v>1</v>
      </c>
      <c r="AF1166" t="s">
        <v>129</v>
      </c>
    </row>
    <row r="1167" spans="1:32" x14ac:dyDescent="0.25">
      <c r="A1167" t="s">
        <v>188</v>
      </c>
      <c r="B1167" s="25">
        <f t="shared" si="32"/>
        <v>9220</v>
      </c>
      <c r="C1167" t="s">
        <v>12</v>
      </c>
      <c r="D1167" t="s">
        <v>13</v>
      </c>
      <c r="E1167" t="s">
        <v>13</v>
      </c>
      <c r="F1167" t="s">
        <v>13</v>
      </c>
      <c r="G1167" t="s">
        <v>13</v>
      </c>
      <c r="H1167" s="27" t="s">
        <v>13</v>
      </c>
      <c r="I1167" s="27" t="s">
        <v>13</v>
      </c>
      <c r="J1167" s="27" t="s">
        <v>13</v>
      </c>
      <c r="K1167" s="27" t="s">
        <v>13</v>
      </c>
      <c r="L1167" s="27" t="s">
        <v>13</v>
      </c>
      <c r="M1167" s="27" t="s">
        <v>13</v>
      </c>
      <c r="N1167" s="27" t="s">
        <v>13</v>
      </c>
      <c r="O1167" s="27" t="s">
        <v>13</v>
      </c>
      <c r="P1167">
        <v>700</v>
      </c>
      <c r="Q1167">
        <v>560</v>
      </c>
      <c r="R1167" t="s">
        <v>87</v>
      </c>
      <c r="S1167" t="s">
        <v>89</v>
      </c>
      <c r="T1167">
        <v>0</v>
      </c>
      <c r="U1167">
        <v>0</v>
      </c>
      <c r="V1167">
        <v>0</v>
      </c>
      <c r="W1167">
        <v>0</v>
      </c>
      <c r="X1167">
        <v>1</v>
      </c>
      <c r="Y1167">
        <v>0</v>
      </c>
      <c r="Z1167">
        <v>0</v>
      </c>
      <c r="AA1167">
        <v>0</v>
      </c>
      <c r="AB1167">
        <v>0</v>
      </c>
      <c r="AC1167">
        <v>0</v>
      </c>
      <c r="AD1167">
        <v>0</v>
      </c>
      <c r="AE1167">
        <v>1</v>
      </c>
      <c r="AF1167" t="s">
        <v>130</v>
      </c>
    </row>
    <row r="1168" spans="1:32" x14ac:dyDescent="0.25">
      <c r="A1168" t="s">
        <v>188</v>
      </c>
      <c r="B1168" s="25">
        <f t="shared" si="32"/>
        <v>9230</v>
      </c>
      <c r="C1168" t="s">
        <v>12</v>
      </c>
      <c r="D1168">
        <v>0</v>
      </c>
      <c r="E1168">
        <v>0</v>
      </c>
      <c r="F1168">
        <v>256</v>
      </c>
      <c r="G1168">
        <v>222</v>
      </c>
      <c r="H1168" s="27">
        <v>0</v>
      </c>
      <c r="I1168" s="27">
        <v>0</v>
      </c>
      <c r="J1168" s="27">
        <v>0</v>
      </c>
      <c r="K1168" s="27">
        <v>0</v>
      </c>
      <c r="L1168" s="27">
        <v>1</v>
      </c>
      <c r="M1168" s="27">
        <v>0</v>
      </c>
      <c r="N1168" s="27">
        <v>0</v>
      </c>
      <c r="O1168" s="27">
        <v>0</v>
      </c>
      <c r="P1168">
        <v>700</v>
      </c>
      <c r="Q1168">
        <v>560</v>
      </c>
      <c r="R1168" t="s">
        <v>87</v>
      </c>
      <c r="S1168" t="s">
        <v>89</v>
      </c>
      <c r="T1168">
        <v>0</v>
      </c>
      <c r="U1168">
        <v>0</v>
      </c>
      <c r="V1168">
        <v>0</v>
      </c>
      <c r="W1168">
        <v>0</v>
      </c>
      <c r="X1168">
        <v>1</v>
      </c>
      <c r="Y1168">
        <v>0</v>
      </c>
      <c r="Z1168">
        <v>0</v>
      </c>
      <c r="AA1168">
        <v>0</v>
      </c>
      <c r="AB1168">
        <v>0</v>
      </c>
      <c r="AC1168">
        <v>0</v>
      </c>
      <c r="AD1168">
        <v>0</v>
      </c>
      <c r="AE1168">
        <v>1</v>
      </c>
      <c r="AF1168" t="s">
        <v>131</v>
      </c>
    </row>
    <row r="1169" spans="1:32" s="25" customFormat="1" x14ac:dyDescent="0.25">
      <c r="A1169" s="25" t="s">
        <v>188</v>
      </c>
      <c r="B1169" s="25">
        <f t="shared" ref="B1169:B1219" si="33">B1168+10</f>
        <v>9240</v>
      </c>
      <c r="C1169" s="25" t="s">
        <v>12</v>
      </c>
      <c r="D1169" s="25">
        <v>0</v>
      </c>
      <c r="E1169" s="25">
        <v>0</v>
      </c>
      <c r="F1169" s="25">
        <v>256</v>
      </c>
      <c r="G1169" s="25">
        <v>222</v>
      </c>
      <c r="H1169" s="27">
        <v>0</v>
      </c>
      <c r="I1169" s="27">
        <v>0</v>
      </c>
      <c r="J1169" s="27">
        <v>0</v>
      </c>
      <c r="K1169" s="27">
        <v>0</v>
      </c>
      <c r="L1169" s="27">
        <v>1</v>
      </c>
      <c r="M1169" s="27">
        <v>0</v>
      </c>
      <c r="N1169" s="27">
        <v>0</v>
      </c>
      <c r="O1169" s="27">
        <v>0</v>
      </c>
      <c r="P1169" s="25">
        <v>700</v>
      </c>
      <c r="Q1169" s="25">
        <v>560</v>
      </c>
      <c r="R1169" s="25" t="s">
        <v>87</v>
      </c>
      <c r="S1169" s="25" t="s">
        <v>89</v>
      </c>
      <c r="T1169" s="25">
        <v>0</v>
      </c>
      <c r="U1169" s="25">
        <v>0</v>
      </c>
      <c r="V1169" s="25">
        <v>0</v>
      </c>
      <c r="W1169" s="25">
        <v>0</v>
      </c>
      <c r="X1169" s="25">
        <v>1</v>
      </c>
      <c r="Y1169" s="25">
        <v>0</v>
      </c>
      <c r="Z1169" s="25">
        <v>0</v>
      </c>
      <c r="AA1169" s="25">
        <v>0</v>
      </c>
      <c r="AB1169" s="25">
        <v>0</v>
      </c>
      <c r="AC1169" s="25">
        <v>0</v>
      </c>
      <c r="AD1169" s="25">
        <v>0</v>
      </c>
      <c r="AE1169" s="25">
        <v>1</v>
      </c>
      <c r="AF1169" s="25" t="s">
        <v>131</v>
      </c>
    </row>
    <row r="1170" spans="1:32" s="25" customFormat="1" x14ac:dyDescent="0.25">
      <c r="A1170" s="25" t="s">
        <v>188</v>
      </c>
      <c r="B1170" s="25">
        <f t="shared" si="33"/>
        <v>9250</v>
      </c>
      <c r="C1170" s="25" t="s">
        <v>12</v>
      </c>
      <c r="D1170" s="25">
        <v>0</v>
      </c>
      <c r="E1170" s="25">
        <v>0</v>
      </c>
      <c r="F1170" s="25">
        <v>256</v>
      </c>
      <c r="G1170" s="25">
        <v>222</v>
      </c>
      <c r="H1170" s="27">
        <v>0</v>
      </c>
      <c r="I1170" s="27">
        <v>0</v>
      </c>
      <c r="J1170" s="27">
        <v>0</v>
      </c>
      <c r="K1170" s="27">
        <v>0</v>
      </c>
      <c r="L1170" s="27">
        <v>1</v>
      </c>
      <c r="M1170" s="27">
        <v>0</v>
      </c>
      <c r="N1170" s="27">
        <v>0</v>
      </c>
      <c r="O1170" s="27">
        <v>0</v>
      </c>
      <c r="P1170" s="25">
        <v>700</v>
      </c>
      <c r="Q1170" s="25">
        <v>560</v>
      </c>
      <c r="R1170" s="25" t="s">
        <v>87</v>
      </c>
      <c r="S1170" s="25" t="s">
        <v>89</v>
      </c>
      <c r="T1170" s="25">
        <v>0</v>
      </c>
      <c r="U1170" s="25">
        <v>0</v>
      </c>
      <c r="V1170" s="25">
        <v>0</v>
      </c>
      <c r="W1170" s="25">
        <v>0</v>
      </c>
      <c r="X1170" s="25">
        <v>1</v>
      </c>
      <c r="Y1170" s="25">
        <v>0</v>
      </c>
      <c r="Z1170" s="25">
        <v>0</v>
      </c>
      <c r="AA1170" s="25">
        <v>0</v>
      </c>
      <c r="AB1170" s="25">
        <v>0</v>
      </c>
      <c r="AC1170" s="25">
        <v>0</v>
      </c>
      <c r="AD1170" s="25">
        <v>0</v>
      </c>
      <c r="AE1170" s="25">
        <v>1</v>
      </c>
      <c r="AF1170" s="25" t="s">
        <v>131</v>
      </c>
    </row>
    <row r="1171" spans="1:32" s="25" customFormat="1" x14ac:dyDescent="0.25">
      <c r="A1171" s="25" t="s">
        <v>188</v>
      </c>
      <c r="B1171" s="25">
        <f t="shared" si="33"/>
        <v>9260</v>
      </c>
      <c r="C1171" s="25" t="s">
        <v>12</v>
      </c>
      <c r="D1171" s="25">
        <v>0</v>
      </c>
      <c r="E1171" s="25">
        <v>0</v>
      </c>
      <c r="F1171" s="25">
        <v>256</v>
      </c>
      <c r="G1171" s="25">
        <v>222</v>
      </c>
      <c r="H1171" s="27">
        <v>0</v>
      </c>
      <c r="I1171" s="27">
        <v>0</v>
      </c>
      <c r="J1171" s="27">
        <v>0</v>
      </c>
      <c r="K1171" s="27">
        <v>0</v>
      </c>
      <c r="L1171" s="27">
        <v>1</v>
      </c>
      <c r="M1171" s="27">
        <v>0</v>
      </c>
      <c r="N1171" s="27">
        <v>0</v>
      </c>
      <c r="O1171" s="27">
        <v>0</v>
      </c>
      <c r="P1171" s="25">
        <v>700</v>
      </c>
      <c r="Q1171" s="25">
        <v>560</v>
      </c>
      <c r="R1171" s="25" t="s">
        <v>87</v>
      </c>
      <c r="S1171" s="25" t="s">
        <v>89</v>
      </c>
      <c r="T1171" s="25">
        <v>0</v>
      </c>
      <c r="U1171" s="25">
        <v>0</v>
      </c>
      <c r="V1171" s="25">
        <v>0</v>
      </c>
      <c r="W1171" s="25">
        <v>0</v>
      </c>
      <c r="X1171" s="25">
        <v>1</v>
      </c>
      <c r="Y1171" s="25">
        <v>0</v>
      </c>
      <c r="Z1171" s="25">
        <v>0</v>
      </c>
      <c r="AA1171" s="25">
        <v>0</v>
      </c>
      <c r="AB1171" s="25">
        <v>0</v>
      </c>
      <c r="AC1171" s="25">
        <v>0</v>
      </c>
      <c r="AD1171" s="25">
        <v>0</v>
      </c>
      <c r="AE1171" s="25">
        <v>1</v>
      </c>
      <c r="AF1171" s="25" t="s">
        <v>131</v>
      </c>
    </row>
    <row r="1172" spans="1:32" s="25" customFormat="1" x14ac:dyDescent="0.25">
      <c r="A1172" s="25" t="s">
        <v>188</v>
      </c>
      <c r="B1172" s="25">
        <f t="shared" si="33"/>
        <v>9270</v>
      </c>
      <c r="C1172" s="25" t="s">
        <v>12</v>
      </c>
      <c r="D1172" s="25">
        <v>0</v>
      </c>
      <c r="E1172" s="25">
        <v>0</v>
      </c>
      <c r="F1172" s="25">
        <v>256</v>
      </c>
      <c r="G1172" s="25">
        <v>222</v>
      </c>
      <c r="H1172" s="27">
        <v>0</v>
      </c>
      <c r="I1172" s="27">
        <v>0</v>
      </c>
      <c r="J1172" s="27">
        <v>0</v>
      </c>
      <c r="K1172" s="27">
        <v>0</v>
      </c>
      <c r="L1172" s="27">
        <v>1</v>
      </c>
      <c r="M1172" s="27">
        <v>0</v>
      </c>
      <c r="N1172" s="27">
        <v>0</v>
      </c>
      <c r="O1172" s="27">
        <v>0</v>
      </c>
      <c r="P1172" s="25">
        <v>700</v>
      </c>
      <c r="Q1172" s="25">
        <v>560</v>
      </c>
      <c r="R1172" s="25" t="s">
        <v>87</v>
      </c>
      <c r="S1172" s="25" t="s">
        <v>89</v>
      </c>
      <c r="T1172" s="25">
        <v>0</v>
      </c>
      <c r="U1172" s="25">
        <v>0</v>
      </c>
      <c r="V1172" s="25">
        <v>0</v>
      </c>
      <c r="W1172" s="25">
        <v>0</v>
      </c>
      <c r="X1172" s="25">
        <v>1</v>
      </c>
      <c r="Y1172" s="25">
        <v>0</v>
      </c>
      <c r="Z1172" s="25">
        <v>0</v>
      </c>
      <c r="AA1172" s="25">
        <v>0</v>
      </c>
      <c r="AB1172" s="25">
        <v>0</v>
      </c>
      <c r="AC1172" s="25">
        <v>0</v>
      </c>
      <c r="AD1172" s="25">
        <v>0</v>
      </c>
      <c r="AE1172" s="25">
        <v>1</v>
      </c>
      <c r="AF1172" s="25" t="s">
        <v>131</v>
      </c>
    </row>
    <row r="1173" spans="1:32" s="25" customFormat="1" x14ac:dyDescent="0.25">
      <c r="A1173" s="25" t="s">
        <v>188</v>
      </c>
      <c r="B1173" s="25">
        <f t="shared" si="33"/>
        <v>9280</v>
      </c>
      <c r="C1173" s="25" t="s">
        <v>12</v>
      </c>
      <c r="D1173" s="25">
        <v>0</v>
      </c>
      <c r="E1173" s="25">
        <v>0</v>
      </c>
      <c r="F1173" s="25">
        <v>256</v>
      </c>
      <c r="G1173" s="25">
        <v>222</v>
      </c>
      <c r="H1173" s="27">
        <v>0</v>
      </c>
      <c r="I1173" s="27">
        <v>0</v>
      </c>
      <c r="J1173" s="27">
        <v>0</v>
      </c>
      <c r="K1173" s="27">
        <v>0</v>
      </c>
      <c r="L1173" s="27">
        <v>1</v>
      </c>
      <c r="M1173" s="27">
        <v>0</v>
      </c>
      <c r="N1173" s="27">
        <v>0</v>
      </c>
      <c r="O1173" s="27">
        <v>0</v>
      </c>
      <c r="P1173" s="25">
        <v>700</v>
      </c>
      <c r="Q1173" s="25">
        <v>560</v>
      </c>
      <c r="R1173" s="25" t="s">
        <v>87</v>
      </c>
      <c r="S1173" s="25" t="s">
        <v>89</v>
      </c>
      <c r="T1173" s="25">
        <v>0</v>
      </c>
      <c r="U1173" s="25">
        <v>0</v>
      </c>
      <c r="V1173" s="25">
        <v>0</v>
      </c>
      <c r="W1173" s="25">
        <v>0</v>
      </c>
      <c r="X1173" s="25">
        <v>1</v>
      </c>
      <c r="Y1173" s="25">
        <v>0</v>
      </c>
      <c r="Z1173" s="25">
        <v>0</v>
      </c>
      <c r="AA1173" s="25">
        <v>0</v>
      </c>
      <c r="AB1173" s="25">
        <v>0</v>
      </c>
      <c r="AC1173" s="25">
        <v>0</v>
      </c>
      <c r="AD1173" s="25">
        <v>0</v>
      </c>
      <c r="AE1173" s="25">
        <v>1</v>
      </c>
      <c r="AF1173" s="25" t="s">
        <v>131</v>
      </c>
    </row>
    <row r="1174" spans="1:32" s="25" customFormat="1" x14ac:dyDescent="0.25">
      <c r="A1174" s="25" t="s">
        <v>188</v>
      </c>
      <c r="B1174" s="25">
        <f t="shared" si="33"/>
        <v>9290</v>
      </c>
      <c r="C1174" s="25" t="s">
        <v>12</v>
      </c>
      <c r="D1174" s="25">
        <v>0</v>
      </c>
      <c r="E1174" s="25">
        <v>0</v>
      </c>
      <c r="F1174" s="25">
        <v>256</v>
      </c>
      <c r="G1174" s="25">
        <v>222</v>
      </c>
      <c r="H1174" s="27">
        <v>0</v>
      </c>
      <c r="I1174" s="27">
        <v>0</v>
      </c>
      <c r="J1174" s="27">
        <v>0</v>
      </c>
      <c r="K1174" s="27">
        <v>0</v>
      </c>
      <c r="L1174" s="27">
        <v>1</v>
      </c>
      <c r="M1174" s="27">
        <v>0</v>
      </c>
      <c r="N1174" s="27">
        <v>0</v>
      </c>
      <c r="O1174" s="27">
        <v>0</v>
      </c>
      <c r="P1174" s="25">
        <v>700</v>
      </c>
      <c r="Q1174" s="25">
        <v>560</v>
      </c>
      <c r="R1174" s="25" t="s">
        <v>87</v>
      </c>
      <c r="S1174" s="25" t="s">
        <v>89</v>
      </c>
      <c r="T1174" s="25">
        <v>0</v>
      </c>
      <c r="U1174" s="25">
        <v>0</v>
      </c>
      <c r="V1174" s="25">
        <v>0</v>
      </c>
      <c r="W1174" s="25">
        <v>0</v>
      </c>
      <c r="X1174" s="25">
        <v>1</v>
      </c>
      <c r="Y1174" s="25">
        <v>0</v>
      </c>
      <c r="Z1174" s="25">
        <v>0</v>
      </c>
      <c r="AA1174" s="25">
        <v>0</v>
      </c>
      <c r="AB1174" s="25">
        <v>0</v>
      </c>
      <c r="AC1174" s="25">
        <v>0</v>
      </c>
      <c r="AD1174" s="25">
        <v>0</v>
      </c>
      <c r="AE1174" s="25">
        <v>1</v>
      </c>
      <c r="AF1174" s="25" t="s">
        <v>131</v>
      </c>
    </row>
    <row r="1175" spans="1:32" s="25" customFormat="1" x14ac:dyDescent="0.25">
      <c r="A1175" s="25" t="s">
        <v>188</v>
      </c>
      <c r="B1175" s="25">
        <f t="shared" si="33"/>
        <v>9300</v>
      </c>
      <c r="C1175" s="25" t="s">
        <v>12</v>
      </c>
      <c r="D1175" s="25">
        <v>0</v>
      </c>
      <c r="E1175" s="25">
        <v>0</v>
      </c>
      <c r="F1175" s="25">
        <v>256</v>
      </c>
      <c r="G1175" s="25">
        <v>222</v>
      </c>
      <c r="H1175" s="27">
        <v>0</v>
      </c>
      <c r="I1175" s="27">
        <v>0</v>
      </c>
      <c r="J1175" s="27">
        <v>0</v>
      </c>
      <c r="K1175" s="27">
        <v>0</v>
      </c>
      <c r="L1175" s="27">
        <v>1</v>
      </c>
      <c r="M1175" s="27">
        <v>0</v>
      </c>
      <c r="N1175" s="27">
        <v>0</v>
      </c>
      <c r="O1175" s="27">
        <v>0</v>
      </c>
      <c r="P1175" s="25">
        <v>700</v>
      </c>
      <c r="Q1175" s="25">
        <v>560</v>
      </c>
      <c r="R1175" s="25" t="s">
        <v>87</v>
      </c>
      <c r="S1175" s="25" t="s">
        <v>89</v>
      </c>
      <c r="T1175" s="25">
        <v>0</v>
      </c>
      <c r="U1175" s="25">
        <v>0</v>
      </c>
      <c r="V1175" s="25">
        <v>0</v>
      </c>
      <c r="W1175" s="25">
        <v>0</v>
      </c>
      <c r="X1175" s="25">
        <v>1</v>
      </c>
      <c r="Y1175" s="25">
        <v>0</v>
      </c>
      <c r="Z1175" s="25">
        <v>0</v>
      </c>
      <c r="AA1175" s="25">
        <v>0</v>
      </c>
      <c r="AB1175" s="25">
        <v>0</v>
      </c>
      <c r="AC1175" s="25">
        <v>0</v>
      </c>
      <c r="AD1175" s="25">
        <v>0</v>
      </c>
      <c r="AE1175" s="25">
        <v>1</v>
      </c>
      <c r="AF1175" s="25" t="s">
        <v>131</v>
      </c>
    </row>
    <row r="1176" spans="1:32" s="25" customFormat="1" x14ac:dyDescent="0.25">
      <c r="A1176" s="25" t="s">
        <v>188</v>
      </c>
      <c r="B1176" s="25">
        <f t="shared" si="33"/>
        <v>9310</v>
      </c>
      <c r="C1176" s="25" t="s">
        <v>12</v>
      </c>
      <c r="D1176" s="25">
        <v>0</v>
      </c>
      <c r="E1176" s="25">
        <v>0</v>
      </c>
      <c r="F1176" s="25">
        <v>256</v>
      </c>
      <c r="G1176" s="25">
        <v>222</v>
      </c>
      <c r="H1176" s="27">
        <v>0</v>
      </c>
      <c r="I1176" s="27">
        <v>0</v>
      </c>
      <c r="J1176" s="27">
        <v>0</v>
      </c>
      <c r="K1176" s="27">
        <v>0</v>
      </c>
      <c r="L1176" s="27">
        <v>1</v>
      </c>
      <c r="M1176" s="27">
        <v>0</v>
      </c>
      <c r="N1176" s="27">
        <v>0</v>
      </c>
      <c r="O1176" s="27">
        <v>0</v>
      </c>
      <c r="P1176" s="25">
        <v>700</v>
      </c>
      <c r="Q1176" s="25">
        <v>560</v>
      </c>
      <c r="R1176" s="25" t="s">
        <v>87</v>
      </c>
      <c r="S1176" s="25" t="s">
        <v>89</v>
      </c>
      <c r="T1176" s="25">
        <v>0</v>
      </c>
      <c r="U1176" s="25">
        <v>0</v>
      </c>
      <c r="V1176" s="25">
        <v>0</v>
      </c>
      <c r="W1176" s="25">
        <v>0</v>
      </c>
      <c r="X1176" s="25">
        <v>1</v>
      </c>
      <c r="Y1176" s="25">
        <v>0</v>
      </c>
      <c r="Z1176" s="25">
        <v>0</v>
      </c>
      <c r="AA1176" s="25">
        <v>0</v>
      </c>
      <c r="AB1176" s="25">
        <v>0</v>
      </c>
      <c r="AC1176" s="25">
        <v>0</v>
      </c>
      <c r="AD1176" s="25">
        <v>0</v>
      </c>
      <c r="AE1176" s="25">
        <v>1</v>
      </c>
      <c r="AF1176" s="25" t="s">
        <v>131</v>
      </c>
    </row>
    <row r="1177" spans="1:32" s="25" customFormat="1" x14ac:dyDescent="0.25">
      <c r="A1177" s="25" t="s">
        <v>188</v>
      </c>
      <c r="B1177" s="25">
        <f t="shared" si="33"/>
        <v>9320</v>
      </c>
      <c r="C1177" s="25" t="s">
        <v>12</v>
      </c>
      <c r="D1177" s="25">
        <v>0</v>
      </c>
      <c r="E1177" s="25">
        <v>0</v>
      </c>
      <c r="F1177" s="25">
        <v>256</v>
      </c>
      <c r="G1177" s="25">
        <v>222</v>
      </c>
      <c r="H1177" s="27">
        <v>0</v>
      </c>
      <c r="I1177" s="27">
        <v>0</v>
      </c>
      <c r="J1177" s="27">
        <v>0</v>
      </c>
      <c r="K1177" s="27">
        <v>0</v>
      </c>
      <c r="L1177" s="27">
        <v>1</v>
      </c>
      <c r="M1177" s="27">
        <v>0</v>
      </c>
      <c r="N1177" s="27">
        <v>0</v>
      </c>
      <c r="O1177" s="27">
        <v>0</v>
      </c>
      <c r="P1177" s="25">
        <v>700</v>
      </c>
      <c r="Q1177" s="25">
        <v>560</v>
      </c>
      <c r="R1177" s="25" t="s">
        <v>87</v>
      </c>
      <c r="S1177" s="25" t="s">
        <v>89</v>
      </c>
      <c r="T1177" s="25">
        <v>0</v>
      </c>
      <c r="U1177" s="25">
        <v>0</v>
      </c>
      <c r="V1177" s="25">
        <v>0</v>
      </c>
      <c r="W1177" s="25">
        <v>0</v>
      </c>
      <c r="X1177" s="25">
        <v>1</v>
      </c>
      <c r="Y1177" s="25">
        <v>0</v>
      </c>
      <c r="Z1177" s="25">
        <v>0</v>
      </c>
      <c r="AA1177" s="25">
        <v>0</v>
      </c>
      <c r="AB1177" s="25">
        <v>0</v>
      </c>
      <c r="AC1177" s="25">
        <v>0</v>
      </c>
      <c r="AD1177" s="25">
        <v>0</v>
      </c>
      <c r="AE1177" s="25">
        <v>1</v>
      </c>
      <c r="AF1177" s="25" t="s">
        <v>131</v>
      </c>
    </row>
    <row r="1178" spans="1:32" s="25" customFormat="1" x14ac:dyDescent="0.25">
      <c r="A1178" s="25" t="s">
        <v>188</v>
      </c>
      <c r="B1178" s="25">
        <f t="shared" si="33"/>
        <v>9330</v>
      </c>
      <c r="C1178" s="25" t="s">
        <v>12</v>
      </c>
      <c r="D1178" s="25">
        <v>0</v>
      </c>
      <c r="E1178" s="25">
        <v>0</v>
      </c>
      <c r="F1178" s="25">
        <v>256</v>
      </c>
      <c r="G1178" s="25">
        <v>222</v>
      </c>
      <c r="H1178" s="27">
        <v>0</v>
      </c>
      <c r="I1178" s="27">
        <v>0</v>
      </c>
      <c r="J1178" s="27">
        <v>0</v>
      </c>
      <c r="K1178" s="27">
        <v>0</v>
      </c>
      <c r="L1178" s="27">
        <v>1</v>
      </c>
      <c r="M1178" s="27">
        <v>0</v>
      </c>
      <c r="N1178" s="27">
        <v>0</v>
      </c>
      <c r="O1178" s="27">
        <v>0</v>
      </c>
      <c r="P1178" s="25">
        <v>700</v>
      </c>
      <c r="Q1178" s="25">
        <v>560</v>
      </c>
      <c r="R1178" s="25" t="s">
        <v>87</v>
      </c>
      <c r="S1178" s="25" t="s">
        <v>89</v>
      </c>
      <c r="T1178" s="25">
        <v>0</v>
      </c>
      <c r="U1178" s="25">
        <v>0</v>
      </c>
      <c r="V1178" s="25">
        <v>0</v>
      </c>
      <c r="W1178" s="25">
        <v>0</v>
      </c>
      <c r="X1178" s="25">
        <v>1</v>
      </c>
      <c r="Y1178" s="25">
        <v>0</v>
      </c>
      <c r="Z1178" s="25">
        <v>0</v>
      </c>
      <c r="AA1178" s="25">
        <v>0</v>
      </c>
      <c r="AB1178" s="25">
        <v>0</v>
      </c>
      <c r="AC1178" s="25">
        <v>0</v>
      </c>
      <c r="AD1178" s="25">
        <v>0</v>
      </c>
      <c r="AE1178" s="25">
        <v>1</v>
      </c>
      <c r="AF1178" s="25" t="s">
        <v>131</v>
      </c>
    </row>
    <row r="1179" spans="1:32" s="25" customFormat="1" x14ac:dyDescent="0.25">
      <c r="A1179" s="25" t="s">
        <v>188</v>
      </c>
      <c r="B1179" s="25">
        <f t="shared" si="33"/>
        <v>9340</v>
      </c>
      <c r="C1179" s="25" t="s">
        <v>12</v>
      </c>
      <c r="D1179" s="25">
        <v>0</v>
      </c>
      <c r="E1179" s="25">
        <v>0</v>
      </c>
      <c r="F1179" s="25">
        <v>256</v>
      </c>
      <c r="G1179" s="25">
        <v>222</v>
      </c>
      <c r="H1179" s="27">
        <v>0</v>
      </c>
      <c r="I1179" s="27">
        <v>0</v>
      </c>
      <c r="J1179" s="27">
        <v>0</v>
      </c>
      <c r="K1179" s="27">
        <v>0</v>
      </c>
      <c r="L1179" s="27">
        <v>1</v>
      </c>
      <c r="M1179" s="27">
        <v>0</v>
      </c>
      <c r="N1179" s="27">
        <v>0</v>
      </c>
      <c r="O1179" s="27">
        <v>0</v>
      </c>
      <c r="P1179" s="25">
        <v>700</v>
      </c>
      <c r="Q1179" s="25">
        <v>560</v>
      </c>
      <c r="R1179" s="25" t="s">
        <v>87</v>
      </c>
      <c r="S1179" s="25" t="s">
        <v>89</v>
      </c>
      <c r="T1179" s="25">
        <v>0</v>
      </c>
      <c r="U1179" s="25">
        <v>0</v>
      </c>
      <c r="V1179" s="25">
        <v>0</v>
      </c>
      <c r="W1179" s="25">
        <v>0</v>
      </c>
      <c r="X1179" s="25">
        <v>1</v>
      </c>
      <c r="Y1179" s="25">
        <v>0</v>
      </c>
      <c r="Z1179" s="25">
        <v>0</v>
      </c>
      <c r="AA1179" s="25">
        <v>0</v>
      </c>
      <c r="AB1179" s="25">
        <v>0</v>
      </c>
      <c r="AC1179" s="25">
        <v>0</v>
      </c>
      <c r="AD1179" s="25">
        <v>0</v>
      </c>
      <c r="AE1179" s="25">
        <v>1</v>
      </c>
      <c r="AF1179" s="25" t="s">
        <v>131</v>
      </c>
    </row>
    <row r="1180" spans="1:32" s="25" customFormat="1" x14ac:dyDescent="0.25">
      <c r="A1180" s="25" t="s">
        <v>188</v>
      </c>
      <c r="B1180" s="25">
        <f t="shared" si="33"/>
        <v>9350</v>
      </c>
      <c r="C1180" s="25" t="s">
        <v>12</v>
      </c>
      <c r="D1180" s="25">
        <v>0</v>
      </c>
      <c r="E1180" s="25">
        <v>0</v>
      </c>
      <c r="F1180" s="25">
        <v>256</v>
      </c>
      <c r="G1180" s="25">
        <v>222</v>
      </c>
      <c r="H1180" s="27">
        <v>0</v>
      </c>
      <c r="I1180" s="27">
        <v>0</v>
      </c>
      <c r="J1180" s="27">
        <v>0</v>
      </c>
      <c r="K1180" s="27">
        <v>0</v>
      </c>
      <c r="L1180" s="27">
        <v>1</v>
      </c>
      <c r="M1180" s="27">
        <v>0</v>
      </c>
      <c r="N1180" s="27">
        <v>0</v>
      </c>
      <c r="O1180" s="27">
        <v>0</v>
      </c>
      <c r="P1180" s="25">
        <v>700</v>
      </c>
      <c r="Q1180" s="25">
        <v>560</v>
      </c>
      <c r="R1180" s="25" t="s">
        <v>87</v>
      </c>
      <c r="S1180" s="25" t="s">
        <v>89</v>
      </c>
      <c r="T1180" s="25">
        <v>0</v>
      </c>
      <c r="U1180" s="25">
        <v>0</v>
      </c>
      <c r="V1180" s="25">
        <v>0</v>
      </c>
      <c r="W1180" s="25">
        <v>0</v>
      </c>
      <c r="X1180" s="25">
        <v>1</v>
      </c>
      <c r="Y1180" s="25">
        <v>0</v>
      </c>
      <c r="Z1180" s="25">
        <v>0</v>
      </c>
      <c r="AA1180" s="25">
        <v>0</v>
      </c>
      <c r="AB1180" s="25">
        <v>0</v>
      </c>
      <c r="AC1180" s="25">
        <v>0</v>
      </c>
      <c r="AD1180" s="25">
        <v>0</v>
      </c>
      <c r="AE1180" s="25">
        <v>1</v>
      </c>
      <c r="AF1180" s="25" t="s">
        <v>131</v>
      </c>
    </row>
    <row r="1181" spans="1:32" s="25" customFormat="1" x14ac:dyDescent="0.25">
      <c r="A1181" s="25" t="s">
        <v>188</v>
      </c>
      <c r="B1181" s="25">
        <f t="shared" si="33"/>
        <v>9360</v>
      </c>
      <c r="C1181" s="25" t="s">
        <v>12</v>
      </c>
      <c r="D1181" s="25">
        <v>0</v>
      </c>
      <c r="E1181" s="25">
        <v>0</v>
      </c>
      <c r="F1181" s="25">
        <v>256</v>
      </c>
      <c r="G1181" s="25">
        <v>222</v>
      </c>
      <c r="H1181" s="27">
        <v>0</v>
      </c>
      <c r="I1181" s="27">
        <v>0</v>
      </c>
      <c r="J1181" s="27">
        <v>0</v>
      </c>
      <c r="K1181" s="27">
        <v>0</v>
      </c>
      <c r="L1181" s="27">
        <v>1</v>
      </c>
      <c r="M1181" s="27">
        <v>0</v>
      </c>
      <c r="N1181" s="27">
        <v>0</v>
      </c>
      <c r="O1181" s="27">
        <v>0</v>
      </c>
      <c r="P1181" s="25">
        <v>700</v>
      </c>
      <c r="Q1181" s="25">
        <v>560</v>
      </c>
      <c r="R1181" s="25" t="s">
        <v>87</v>
      </c>
      <c r="S1181" s="25" t="s">
        <v>89</v>
      </c>
      <c r="T1181" s="25">
        <v>0</v>
      </c>
      <c r="U1181" s="25">
        <v>0</v>
      </c>
      <c r="V1181" s="25">
        <v>0</v>
      </c>
      <c r="W1181" s="25">
        <v>0</v>
      </c>
      <c r="X1181" s="25">
        <v>1</v>
      </c>
      <c r="Y1181" s="25">
        <v>0</v>
      </c>
      <c r="Z1181" s="25">
        <v>0</v>
      </c>
      <c r="AA1181" s="25">
        <v>0</v>
      </c>
      <c r="AB1181" s="25">
        <v>0</v>
      </c>
      <c r="AC1181" s="25">
        <v>0</v>
      </c>
      <c r="AD1181" s="25">
        <v>0</v>
      </c>
      <c r="AE1181" s="25">
        <v>1</v>
      </c>
      <c r="AF1181" s="25" t="s">
        <v>131</v>
      </c>
    </row>
    <row r="1182" spans="1:32" s="25" customFormat="1" x14ac:dyDescent="0.25">
      <c r="A1182" s="25" t="s">
        <v>188</v>
      </c>
      <c r="B1182" s="25">
        <f t="shared" si="33"/>
        <v>9370</v>
      </c>
      <c r="C1182" s="25" t="s">
        <v>12</v>
      </c>
      <c r="D1182" s="25">
        <v>0</v>
      </c>
      <c r="E1182" s="25">
        <v>0</v>
      </c>
      <c r="F1182" s="25">
        <v>256</v>
      </c>
      <c r="G1182" s="25">
        <v>222</v>
      </c>
      <c r="H1182" s="27">
        <v>0</v>
      </c>
      <c r="I1182" s="27">
        <v>0</v>
      </c>
      <c r="J1182" s="27">
        <v>0</v>
      </c>
      <c r="K1182" s="27">
        <v>0</v>
      </c>
      <c r="L1182" s="27">
        <v>1</v>
      </c>
      <c r="M1182" s="27">
        <v>0</v>
      </c>
      <c r="N1182" s="27">
        <v>0</v>
      </c>
      <c r="O1182" s="27">
        <v>0</v>
      </c>
      <c r="P1182" s="25">
        <v>700</v>
      </c>
      <c r="Q1182" s="25">
        <v>560</v>
      </c>
      <c r="R1182" s="25" t="s">
        <v>87</v>
      </c>
      <c r="S1182" s="25" t="s">
        <v>89</v>
      </c>
      <c r="T1182" s="25">
        <v>0</v>
      </c>
      <c r="U1182" s="25">
        <v>0</v>
      </c>
      <c r="V1182" s="25">
        <v>0</v>
      </c>
      <c r="W1182" s="25">
        <v>0</v>
      </c>
      <c r="X1182" s="25">
        <v>1</v>
      </c>
      <c r="Y1182" s="25">
        <v>0</v>
      </c>
      <c r="Z1182" s="25">
        <v>0</v>
      </c>
      <c r="AA1182" s="25">
        <v>0</v>
      </c>
      <c r="AB1182" s="25">
        <v>0</v>
      </c>
      <c r="AC1182" s="25">
        <v>0</v>
      </c>
      <c r="AD1182" s="25">
        <v>0</v>
      </c>
      <c r="AE1182" s="25">
        <v>1</v>
      </c>
      <c r="AF1182" s="25" t="s">
        <v>131</v>
      </c>
    </row>
    <row r="1183" spans="1:32" s="25" customFormat="1" x14ac:dyDescent="0.25">
      <c r="A1183" s="25" t="s">
        <v>188</v>
      </c>
      <c r="B1183" s="25">
        <f t="shared" si="33"/>
        <v>9380</v>
      </c>
      <c r="C1183" s="25" t="s">
        <v>12</v>
      </c>
      <c r="D1183" s="25">
        <v>0</v>
      </c>
      <c r="E1183" s="25">
        <v>0</v>
      </c>
      <c r="F1183" s="25">
        <v>256</v>
      </c>
      <c r="G1183" s="25">
        <v>222</v>
      </c>
      <c r="H1183" s="27">
        <v>0</v>
      </c>
      <c r="I1183" s="27">
        <v>0</v>
      </c>
      <c r="J1183" s="27">
        <v>0</v>
      </c>
      <c r="K1183" s="27">
        <v>0</v>
      </c>
      <c r="L1183" s="27">
        <v>1</v>
      </c>
      <c r="M1183" s="27">
        <v>0</v>
      </c>
      <c r="N1183" s="27">
        <v>0</v>
      </c>
      <c r="O1183" s="27">
        <v>0</v>
      </c>
      <c r="P1183" s="25">
        <v>700</v>
      </c>
      <c r="Q1183" s="25">
        <v>560</v>
      </c>
      <c r="R1183" s="25" t="s">
        <v>87</v>
      </c>
      <c r="S1183" s="25" t="s">
        <v>89</v>
      </c>
      <c r="T1183" s="25">
        <v>0</v>
      </c>
      <c r="U1183" s="25">
        <v>0</v>
      </c>
      <c r="V1183" s="25">
        <v>0</v>
      </c>
      <c r="W1183" s="25">
        <v>0</v>
      </c>
      <c r="X1183" s="25">
        <v>1</v>
      </c>
      <c r="Y1183" s="25">
        <v>0</v>
      </c>
      <c r="Z1183" s="25">
        <v>0</v>
      </c>
      <c r="AA1183" s="25">
        <v>0</v>
      </c>
      <c r="AB1183" s="25">
        <v>0</v>
      </c>
      <c r="AC1183" s="25">
        <v>0</v>
      </c>
      <c r="AD1183" s="25">
        <v>0</v>
      </c>
      <c r="AE1183" s="25">
        <v>1</v>
      </c>
      <c r="AF1183" s="25" t="s">
        <v>131</v>
      </c>
    </row>
    <row r="1184" spans="1:32" s="25" customFormat="1" x14ac:dyDescent="0.25">
      <c r="A1184" s="25" t="s">
        <v>188</v>
      </c>
      <c r="B1184" s="25">
        <f t="shared" si="33"/>
        <v>9390</v>
      </c>
      <c r="C1184" s="25" t="s">
        <v>12</v>
      </c>
      <c r="D1184" s="25">
        <v>0</v>
      </c>
      <c r="E1184" s="25">
        <v>0</v>
      </c>
      <c r="F1184" s="25">
        <v>256</v>
      </c>
      <c r="G1184" s="25">
        <v>222</v>
      </c>
      <c r="H1184" s="27">
        <v>0</v>
      </c>
      <c r="I1184" s="27">
        <v>0</v>
      </c>
      <c r="J1184" s="27">
        <v>0</v>
      </c>
      <c r="K1184" s="27">
        <v>0</v>
      </c>
      <c r="L1184" s="27">
        <v>1</v>
      </c>
      <c r="M1184" s="27">
        <v>0</v>
      </c>
      <c r="N1184" s="27">
        <v>0</v>
      </c>
      <c r="O1184" s="27">
        <v>0</v>
      </c>
      <c r="P1184" s="25">
        <v>700</v>
      </c>
      <c r="Q1184" s="25">
        <v>560</v>
      </c>
      <c r="R1184" s="25" t="s">
        <v>87</v>
      </c>
      <c r="S1184" s="25" t="s">
        <v>89</v>
      </c>
      <c r="T1184" s="25">
        <v>0</v>
      </c>
      <c r="U1184" s="25">
        <v>0</v>
      </c>
      <c r="V1184" s="25">
        <v>0</v>
      </c>
      <c r="W1184" s="25">
        <v>0</v>
      </c>
      <c r="X1184" s="25">
        <v>1</v>
      </c>
      <c r="Y1184" s="25">
        <v>0</v>
      </c>
      <c r="Z1184" s="25">
        <v>0</v>
      </c>
      <c r="AA1184" s="25">
        <v>0</v>
      </c>
      <c r="AB1184" s="25">
        <v>0</v>
      </c>
      <c r="AC1184" s="25">
        <v>0</v>
      </c>
      <c r="AD1184" s="25">
        <v>0</v>
      </c>
      <c r="AE1184" s="25">
        <v>1</v>
      </c>
      <c r="AF1184" s="25" t="s">
        <v>131</v>
      </c>
    </row>
    <row r="1185" spans="1:32" s="25" customFormat="1" x14ac:dyDescent="0.25">
      <c r="A1185" s="25" t="s">
        <v>188</v>
      </c>
      <c r="B1185" s="25">
        <f t="shared" si="33"/>
        <v>9400</v>
      </c>
      <c r="C1185" s="25" t="s">
        <v>12</v>
      </c>
      <c r="D1185" s="25">
        <v>0</v>
      </c>
      <c r="E1185" s="25">
        <v>0</v>
      </c>
      <c r="F1185" s="25">
        <v>256</v>
      </c>
      <c r="G1185" s="25">
        <v>222</v>
      </c>
      <c r="H1185" s="27">
        <v>0</v>
      </c>
      <c r="I1185" s="27">
        <v>0</v>
      </c>
      <c r="J1185" s="27">
        <v>0</v>
      </c>
      <c r="K1185" s="27">
        <v>0</v>
      </c>
      <c r="L1185" s="27">
        <v>1</v>
      </c>
      <c r="M1185" s="27">
        <v>0</v>
      </c>
      <c r="N1185" s="27">
        <v>0</v>
      </c>
      <c r="O1185" s="27">
        <v>0</v>
      </c>
      <c r="P1185" s="25">
        <v>700</v>
      </c>
      <c r="Q1185" s="25">
        <v>560</v>
      </c>
      <c r="R1185" s="25" t="s">
        <v>87</v>
      </c>
      <c r="S1185" s="25" t="s">
        <v>89</v>
      </c>
      <c r="T1185" s="25">
        <v>0</v>
      </c>
      <c r="U1185" s="25">
        <v>0</v>
      </c>
      <c r="V1185" s="25">
        <v>0</v>
      </c>
      <c r="W1185" s="25">
        <v>0</v>
      </c>
      <c r="X1185" s="25">
        <v>1</v>
      </c>
      <c r="Y1185" s="25">
        <v>0</v>
      </c>
      <c r="Z1185" s="25">
        <v>0</v>
      </c>
      <c r="AA1185" s="25">
        <v>0</v>
      </c>
      <c r="AB1185" s="25">
        <v>0</v>
      </c>
      <c r="AC1185" s="25">
        <v>0</v>
      </c>
      <c r="AD1185" s="25">
        <v>0</v>
      </c>
      <c r="AE1185" s="25">
        <v>1</v>
      </c>
      <c r="AF1185" s="25" t="s">
        <v>131</v>
      </c>
    </row>
    <row r="1186" spans="1:32" s="25" customFormat="1" x14ac:dyDescent="0.25">
      <c r="A1186" s="25" t="s">
        <v>188</v>
      </c>
      <c r="B1186" s="25">
        <f t="shared" si="33"/>
        <v>9410</v>
      </c>
      <c r="C1186" s="25" t="s">
        <v>12</v>
      </c>
      <c r="D1186" s="25">
        <v>0</v>
      </c>
      <c r="E1186" s="25">
        <v>0</v>
      </c>
      <c r="F1186" s="25">
        <v>256</v>
      </c>
      <c r="G1186" s="25">
        <v>222</v>
      </c>
      <c r="H1186" s="27">
        <v>0</v>
      </c>
      <c r="I1186" s="27">
        <v>0</v>
      </c>
      <c r="J1186" s="27">
        <v>0</v>
      </c>
      <c r="K1186" s="27">
        <v>0</v>
      </c>
      <c r="L1186" s="27">
        <v>1</v>
      </c>
      <c r="M1186" s="27">
        <v>0</v>
      </c>
      <c r="N1186" s="27">
        <v>0</v>
      </c>
      <c r="O1186" s="27">
        <v>0</v>
      </c>
      <c r="P1186" s="25">
        <v>700</v>
      </c>
      <c r="Q1186" s="25">
        <v>560</v>
      </c>
      <c r="R1186" s="25" t="s">
        <v>87</v>
      </c>
      <c r="S1186" s="25" t="s">
        <v>89</v>
      </c>
      <c r="T1186" s="25">
        <v>0</v>
      </c>
      <c r="U1186" s="25">
        <v>0</v>
      </c>
      <c r="V1186" s="25">
        <v>0</v>
      </c>
      <c r="W1186" s="25">
        <v>0</v>
      </c>
      <c r="X1186" s="25">
        <v>1</v>
      </c>
      <c r="Y1186" s="25">
        <v>0</v>
      </c>
      <c r="Z1186" s="25">
        <v>0</v>
      </c>
      <c r="AA1186" s="25">
        <v>0</v>
      </c>
      <c r="AB1186" s="25">
        <v>0</v>
      </c>
      <c r="AC1186" s="25">
        <v>0</v>
      </c>
      <c r="AD1186" s="25">
        <v>0</v>
      </c>
      <c r="AE1186" s="25">
        <v>1</v>
      </c>
      <c r="AF1186" s="25" t="s">
        <v>131</v>
      </c>
    </row>
    <row r="1187" spans="1:32" s="25" customFormat="1" x14ac:dyDescent="0.25">
      <c r="A1187" s="25" t="s">
        <v>188</v>
      </c>
      <c r="B1187" s="25">
        <f t="shared" si="33"/>
        <v>9420</v>
      </c>
      <c r="C1187" s="25" t="s">
        <v>12</v>
      </c>
      <c r="D1187" s="25">
        <v>0</v>
      </c>
      <c r="E1187" s="25">
        <v>0</v>
      </c>
      <c r="F1187" s="25">
        <v>256</v>
      </c>
      <c r="G1187" s="25">
        <v>222</v>
      </c>
      <c r="H1187" s="27">
        <v>0</v>
      </c>
      <c r="I1187" s="27">
        <v>0</v>
      </c>
      <c r="J1187" s="27">
        <v>0</v>
      </c>
      <c r="K1187" s="27">
        <v>0</v>
      </c>
      <c r="L1187" s="27">
        <v>1</v>
      </c>
      <c r="M1187" s="27">
        <v>0</v>
      </c>
      <c r="N1187" s="27">
        <v>0</v>
      </c>
      <c r="O1187" s="27">
        <v>0</v>
      </c>
      <c r="P1187" s="25">
        <v>700</v>
      </c>
      <c r="Q1187" s="25">
        <v>560</v>
      </c>
      <c r="R1187" s="25" t="s">
        <v>87</v>
      </c>
      <c r="S1187" s="25" t="s">
        <v>89</v>
      </c>
      <c r="T1187" s="25">
        <v>0</v>
      </c>
      <c r="U1187" s="25">
        <v>0</v>
      </c>
      <c r="V1187" s="25">
        <v>0</v>
      </c>
      <c r="W1187" s="25">
        <v>0</v>
      </c>
      <c r="X1187" s="25">
        <v>1</v>
      </c>
      <c r="Y1187" s="25">
        <v>0</v>
      </c>
      <c r="Z1187" s="25">
        <v>0</v>
      </c>
      <c r="AA1187" s="25">
        <v>0</v>
      </c>
      <c r="AB1187" s="25">
        <v>0</v>
      </c>
      <c r="AC1187" s="25">
        <v>0</v>
      </c>
      <c r="AD1187" s="25">
        <v>0</v>
      </c>
      <c r="AE1187" s="25">
        <v>1</v>
      </c>
      <c r="AF1187" s="25" t="s">
        <v>131</v>
      </c>
    </row>
    <row r="1188" spans="1:32" s="25" customFormat="1" x14ac:dyDescent="0.25">
      <c r="A1188" s="25" t="s">
        <v>188</v>
      </c>
      <c r="B1188" s="25">
        <f t="shared" si="33"/>
        <v>9430</v>
      </c>
      <c r="C1188" s="25" t="s">
        <v>12</v>
      </c>
      <c r="D1188" s="25">
        <v>0</v>
      </c>
      <c r="E1188" s="25">
        <v>0</v>
      </c>
      <c r="F1188" s="25">
        <v>256</v>
      </c>
      <c r="G1188" s="25">
        <v>222</v>
      </c>
      <c r="H1188" s="27">
        <v>0</v>
      </c>
      <c r="I1188" s="27">
        <v>0</v>
      </c>
      <c r="J1188" s="27">
        <v>0</v>
      </c>
      <c r="K1188" s="27">
        <v>0</v>
      </c>
      <c r="L1188" s="27">
        <v>1</v>
      </c>
      <c r="M1188" s="27">
        <v>0</v>
      </c>
      <c r="N1188" s="27">
        <v>0</v>
      </c>
      <c r="O1188" s="27">
        <v>0</v>
      </c>
      <c r="P1188" s="25">
        <v>700</v>
      </c>
      <c r="Q1188" s="25">
        <v>560</v>
      </c>
      <c r="R1188" s="25" t="s">
        <v>87</v>
      </c>
      <c r="S1188" s="25" t="s">
        <v>89</v>
      </c>
      <c r="T1188" s="25">
        <v>0</v>
      </c>
      <c r="U1188" s="25">
        <v>0</v>
      </c>
      <c r="V1188" s="25">
        <v>0</v>
      </c>
      <c r="W1188" s="25">
        <v>0</v>
      </c>
      <c r="X1188" s="25">
        <v>1</v>
      </c>
      <c r="Y1188" s="25">
        <v>0</v>
      </c>
      <c r="Z1188" s="25">
        <v>0</v>
      </c>
      <c r="AA1188" s="25">
        <v>0</v>
      </c>
      <c r="AB1188" s="25">
        <v>0</v>
      </c>
      <c r="AC1188" s="25">
        <v>0</v>
      </c>
      <c r="AD1188" s="25">
        <v>0</v>
      </c>
      <c r="AE1188" s="25">
        <v>1</v>
      </c>
      <c r="AF1188" s="25" t="s">
        <v>131</v>
      </c>
    </row>
    <row r="1189" spans="1:32" s="25" customFormat="1" x14ac:dyDescent="0.25">
      <c r="A1189" s="25" t="s">
        <v>188</v>
      </c>
      <c r="B1189" s="25">
        <f t="shared" si="33"/>
        <v>9440</v>
      </c>
      <c r="C1189" s="25" t="s">
        <v>12</v>
      </c>
      <c r="D1189" s="25">
        <v>0</v>
      </c>
      <c r="E1189" s="25">
        <v>0</v>
      </c>
      <c r="F1189" s="25">
        <v>256</v>
      </c>
      <c r="G1189" s="25">
        <v>222</v>
      </c>
      <c r="H1189" s="27">
        <v>0</v>
      </c>
      <c r="I1189" s="27">
        <v>0</v>
      </c>
      <c r="J1189" s="27">
        <v>0</v>
      </c>
      <c r="K1189" s="27">
        <v>0</v>
      </c>
      <c r="L1189" s="27">
        <v>1</v>
      </c>
      <c r="M1189" s="27">
        <v>0</v>
      </c>
      <c r="N1189" s="27">
        <v>0</v>
      </c>
      <c r="O1189" s="27">
        <v>0</v>
      </c>
      <c r="P1189" s="25">
        <v>700</v>
      </c>
      <c r="Q1189" s="25">
        <v>560</v>
      </c>
      <c r="R1189" s="25" t="s">
        <v>87</v>
      </c>
      <c r="S1189" s="25" t="s">
        <v>89</v>
      </c>
      <c r="T1189" s="25">
        <v>0</v>
      </c>
      <c r="U1189" s="25">
        <v>0</v>
      </c>
      <c r="V1189" s="25">
        <v>0</v>
      </c>
      <c r="W1189" s="25">
        <v>0</v>
      </c>
      <c r="X1189" s="25">
        <v>1</v>
      </c>
      <c r="Y1189" s="25">
        <v>0</v>
      </c>
      <c r="Z1189" s="25">
        <v>0</v>
      </c>
      <c r="AA1189" s="25">
        <v>0</v>
      </c>
      <c r="AB1189" s="25">
        <v>0</v>
      </c>
      <c r="AC1189" s="25">
        <v>0</v>
      </c>
      <c r="AD1189" s="25">
        <v>0</v>
      </c>
      <c r="AE1189" s="25">
        <v>1</v>
      </c>
      <c r="AF1189" s="25" t="s">
        <v>131</v>
      </c>
    </row>
    <row r="1190" spans="1:32" s="25" customFormat="1" x14ac:dyDescent="0.25">
      <c r="A1190" s="25" t="s">
        <v>188</v>
      </c>
      <c r="B1190" s="25">
        <f t="shared" si="33"/>
        <v>9450</v>
      </c>
      <c r="C1190" s="25" t="s">
        <v>12</v>
      </c>
      <c r="D1190" s="25">
        <v>0</v>
      </c>
      <c r="E1190" s="25">
        <v>0</v>
      </c>
      <c r="F1190" s="25">
        <v>256</v>
      </c>
      <c r="G1190" s="25">
        <v>222</v>
      </c>
      <c r="H1190" s="27">
        <v>0</v>
      </c>
      <c r="I1190" s="27">
        <v>0</v>
      </c>
      <c r="J1190" s="27">
        <v>0</v>
      </c>
      <c r="K1190" s="27">
        <v>0</v>
      </c>
      <c r="L1190" s="27">
        <v>1</v>
      </c>
      <c r="M1190" s="27">
        <v>0</v>
      </c>
      <c r="N1190" s="27">
        <v>0</v>
      </c>
      <c r="O1190" s="27">
        <v>0</v>
      </c>
      <c r="P1190" s="25">
        <v>700</v>
      </c>
      <c r="Q1190" s="25">
        <v>560</v>
      </c>
      <c r="R1190" s="25" t="s">
        <v>87</v>
      </c>
      <c r="S1190" s="25" t="s">
        <v>89</v>
      </c>
      <c r="T1190" s="25">
        <v>0</v>
      </c>
      <c r="U1190" s="25">
        <v>0</v>
      </c>
      <c r="V1190" s="25">
        <v>0</v>
      </c>
      <c r="W1190" s="25">
        <v>0</v>
      </c>
      <c r="X1190" s="25">
        <v>1</v>
      </c>
      <c r="Y1190" s="25">
        <v>0</v>
      </c>
      <c r="Z1190" s="25">
        <v>0</v>
      </c>
      <c r="AA1190" s="25">
        <v>0</v>
      </c>
      <c r="AB1190" s="25">
        <v>0</v>
      </c>
      <c r="AC1190" s="25">
        <v>0</v>
      </c>
      <c r="AD1190" s="25">
        <v>0</v>
      </c>
      <c r="AE1190" s="25">
        <v>1</v>
      </c>
      <c r="AF1190" s="25" t="s">
        <v>131</v>
      </c>
    </row>
    <row r="1191" spans="1:32" s="25" customFormat="1" x14ac:dyDescent="0.25">
      <c r="A1191" s="25" t="s">
        <v>188</v>
      </c>
      <c r="B1191" s="25">
        <f t="shared" si="33"/>
        <v>9460</v>
      </c>
      <c r="C1191" s="25" t="s">
        <v>12</v>
      </c>
      <c r="D1191" s="25">
        <v>0</v>
      </c>
      <c r="E1191" s="25">
        <v>0</v>
      </c>
      <c r="F1191" s="25">
        <v>256</v>
      </c>
      <c r="G1191" s="25">
        <v>222</v>
      </c>
      <c r="H1191" s="27">
        <v>0</v>
      </c>
      <c r="I1191" s="27">
        <v>0</v>
      </c>
      <c r="J1191" s="27">
        <v>0</v>
      </c>
      <c r="K1191" s="27">
        <v>0</v>
      </c>
      <c r="L1191" s="27">
        <v>1</v>
      </c>
      <c r="M1191" s="27">
        <v>0</v>
      </c>
      <c r="N1191" s="27">
        <v>0</v>
      </c>
      <c r="O1191" s="27">
        <v>0</v>
      </c>
      <c r="P1191" s="25">
        <v>700</v>
      </c>
      <c r="Q1191" s="25">
        <v>560</v>
      </c>
      <c r="R1191" s="25" t="s">
        <v>87</v>
      </c>
      <c r="S1191" s="25" t="s">
        <v>89</v>
      </c>
      <c r="T1191" s="25">
        <v>0</v>
      </c>
      <c r="U1191" s="25">
        <v>0</v>
      </c>
      <c r="V1191" s="25">
        <v>0</v>
      </c>
      <c r="W1191" s="25">
        <v>0</v>
      </c>
      <c r="X1191" s="25">
        <v>1</v>
      </c>
      <c r="Y1191" s="25">
        <v>0</v>
      </c>
      <c r="Z1191" s="25">
        <v>0</v>
      </c>
      <c r="AA1191" s="25">
        <v>0</v>
      </c>
      <c r="AB1191" s="25">
        <v>0</v>
      </c>
      <c r="AC1191" s="25">
        <v>0</v>
      </c>
      <c r="AD1191" s="25">
        <v>0</v>
      </c>
      <c r="AE1191" s="25">
        <v>1</v>
      </c>
      <c r="AF1191" s="25" t="s">
        <v>131</v>
      </c>
    </row>
    <row r="1192" spans="1:32" s="25" customFormat="1" x14ac:dyDescent="0.25">
      <c r="A1192" s="25" t="s">
        <v>188</v>
      </c>
      <c r="B1192" s="25">
        <f t="shared" si="33"/>
        <v>9470</v>
      </c>
      <c r="C1192" s="25" t="s">
        <v>12</v>
      </c>
      <c r="D1192" s="25">
        <v>0</v>
      </c>
      <c r="E1192" s="25">
        <v>0</v>
      </c>
      <c r="F1192" s="25">
        <v>256</v>
      </c>
      <c r="G1192" s="25">
        <v>222</v>
      </c>
      <c r="H1192" s="27">
        <v>0</v>
      </c>
      <c r="I1192" s="27">
        <v>0</v>
      </c>
      <c r="J1192" s="27">
        <v>0</v>
      </c>
      <c r="K1192" s="27">
        <v>0</v>
      </c>
      <c r="L1192" s="27">
        <v>1</v>
      </c>
      <c r="M1192" s="27">
        <v>0</v>
      </c>
      <c r="N1192" s="27">
        <v>0</v>
      </c>
      <c r="O1192" s="27">
        <v>0</v>
      </c>
      <c r="P1192" s="25">
        <v>700</v>
      </c>
      <c r="Q1192" s="25">
        <v>560</v>
      </c>
      <c r="R1192" s="25" t="s">
        <v>87</v>
      </c>
      <c r="S1192" s="25" t="s">
        <v>89</v>
      </c>
      <c r="T1192" s="25">
        <v>0</v>
      </c>
      <c r="U1192" s="25">
        <v>0</v>
      </c>
      <c r="V1192" s="25">
        <v>0</v>
      </c>
      <c r="W1192" s="25">
        <v>0</v>
      </c>
      <c r="X1192" s="25">
        <v>1</v>
      </c>
      <c r="Y1192" s="25">
        <v>0</v>
      </c>
      <c r="Z1192" s="25">
        <v>0</v>
      </c>
      <c r="AA1192" s="25">
        <v>0</v>
      </c>
      <c r="AB1192" s="25">
        <v>0</v>
      </c>
      <c r="AC1192" s="25">
        <v>0</v>
      </c>
      <c r="AD1192" s="25">
        <v>0</v>
      </c>
      <c r="AE1192" s="25">
        <v>1</v>
      </c>
      <c r="AF1192" s="25" t="s">
        <v>131</v>
      </c>
    </row>
    <row r="1193" spans="1:32" s="25" customFormat="1" x14ac:dyDescent="0.25">
      <c r="A1193" s="25" t="s">
        <v>188</v>
      </c>
      <c r="B1193" s="25">
        <f t="shared" si="33"/>
        <v>9480</v>
      </c>
      <c r="C1193" s="25" t="s">
        <v>12</v>
      </c>
      <c r="D1193" s="25">
        <v>0</v>
      </c>
      <c r="E1193" s="25">
        <v>0</v>
      </c>
      <c r="F1193" s="25">
        <v>256</v>
      </c>
      <c r="G1193" s="25">
        <v>222</v>
      </c>
      <c r="H1193" s="27">
        <v>0</v>
      </c>
      <c r="I1193" s="27">
        <v>0</v>
      </c>
      <c r="J1193" s="27">
        <v>0</v>
      </c>
      <c r="K1193" s="27">
        <v>0</v>
      </c>
      <c r="L1193" s="27">
        <v>1</v>
      </c>
      <c r="M1193" s="27">
        <v>0</v>
      </c>
      <c r="N1193" s="27">
        <v>0</v>
      </c>
      <c r="O1193" s="27">
        <v>0</v>
      </c>
      <c r="P1193" s="25">
        <v>700</v>
      </c>
      <c r="Q1193" s="25">
        <v>560</v>
      </c>
      <c r="R1193" s="25" t="s">
        <v>87</v>
      </c>
      <c r="S1193" s="25" t="s">
        <v>89</v>
      </c>
      <c r="T1193" s="25">
        <v>0</v>
      </c>
      <c r="U1193" s="25">
        <v>0</v>
      </c>
      <c r="V1193" s="25">
        <v>0</v>
      </c>
      <c r="W1193" s="25">
        <v>0</v>
      </c>
      <c r="X1193" s="25">
        <v>1</v>
      </c>
      <c r="Y1193" s="25">
        <v>0</v>
      </c>
      <c r="Z1193" s="25">
        <v>0</v>
      </c>
      <c r="AA1193" s="25">
        <v>0</v>
      </c>
      <c r="AB1193" s="25">
        <v>0</v>
      </c>
      <c r="AC1193" s="25">
        <v>0</v>
      </c>
      <c r="AD1193" s="25">
        <v>0</v>
      </c>
      <c r="AE1193" s="25">
        <v>1</v>
      </c>
      <c r="AF1193" s="25" t="s">
        <v>131</v>
      </c>
    </row>
    <row r="1194" spans="1:32" s="25" customFormat="1" x14ac:dyDescent="0.25">
      <c r="A1194" s="25" t="s">
        <v>188</v>
      </c>
      <c r="B1194" s="25">
        <f t="shared" si="33"/>
        <v>9490</v>
      </c>
      <c r="C1194" s="25" t="s">
        <v>12</v>
      </c>
      <c r="D1194" s="25">
        <v>0</v>
      </c>
      <c r="E1194" s="25">
        <v>0</v>
      </c>
      <c r="F1194" s="25">
        <v>256</v>
      </c>
      <c r="G1194" s="25">
        <v>222</v>
      </c>
      <c r="H1194" s="27">
        <v>0</v>
      </c>
      <c r="I1194" s="27">
        <v>0</v>
      </c>
      <c r="J1194" s="27">
        <v>0</v>
      </c>
      <c r="K1194" s="27">
        <v>0</v>
      </c>
      <c r="L1194" s="27">
        <v>1</v>
      </c>
      <c r="M1194" s="27">
        <v>0</v>
      </c>
      <c r="N1194" s="27">
        <v>0</v>
      </c>
      <c r="O1194" s="27">
        <v>0</v>
      </c>
      <c r="P1194" s="25">
        <v>700</v>
      </c>
      <c r="Q1194" s="25">
        <v>560</v>
      </c>
      <c r="R1194" s="25" t="s">
        <v>87</v>
      </c>
      <c r="S1194" s="25" t="s">
        <v>89</v>
      </c>
      <c r="T1194" s="25">
        <v>0</v>
      </c>
      <c r="U1194" s="25">
        <v>0</v>
      </c>
      <c r="V1194" s="25">
        <v>0</v>
      </c>
      <c r="W1194" s="25">
        <v>0</v>
      </c>
      <c r="X1194" s="25">
        <v>1</v>
      </c>
      <c r="Y1194" s="25">
        <v>0</v>
      </c>
      <c r="Z1194" s="25">
        <v>0</v>
      </c>
      <c r="AA1194" s="25">
        <v>0</v>
      </c>
      <c r="AB1194" s="25">
        <v>0</v>
      </c>
      <c r="AC1194" s="25">
        <v>0</v>
      </c>
      <c r="AD1194" s="25">
        <v>0</v>
      </c>
      <c r="AE1194" s="25">
        <v>1</v>
      </c>
      <c r="AF1194" s="25" t="s">
        <v>131</v>
      </c>
    </row>
    <row r="1195" spans="1:32" s="25" customFormat="1" x14ac:dyDescent="0.25">
      <c r="A1195" s="25" t="s">
        <v>188</v>
      </c>
      <c r="B1195" s="25">
        <f t="shared" si="33"/>
        <v>9500</v>
      </c>
      <c r="C1195" s="25" t="s">
        <v>12</v>
      </c>
      <c r="D1195" s="25">
        <v>0</v>
      </c>
      <c r="E1195" s="25">
        <v>0</v>
      </c>
      <c r="F1195" s="25">
        <v>256</v>
      </c>
      <c r="G1195" s="25">
        <v>222</v>
      </c>
      <c r="H1195" s="27">
        <v>0</v>
      </c>
      <c r="I1195" s="27">
        <v>0</v>
      </c>
      <c r="J1195" s="27">
        <v>0</v>
      </c>
      <c r="K1195" s="27">
        <v>0</v>
      </c>
      <c r="L1195" s="27">
        <v>1</v>
      </c>
      <c r="M1195" s="27">
        <v>0</v>
      </c>
      <c r="N1195" s="27">
        <v>0</v>
      </c>
      <c r="O1195" s="27">
        <v>0</v>
      </c>
      <c r="P1195" s="25">
        <v>700</v>
      </c>
      <c r="Q1195" s="25">
        <v>560</v>
      </c>
      <c r="R1195" s="25" t="s">
        <v>87</v>
      </c>
      <c r="S1195" s="25" t="s">
        <v>89</v>
      </c>
      <c r="T1195" s="25">
        <v>0</v>
      </c>
      <c r="U1195" s="25">
        <v>0</v>
      </c>
      <c r="V1195" s="25">
        <v>0</v>
      </c>
      <c r="W1195" s="25">
        <v>0</v>
      </c>
      <c r="X1195" s="25">
        <v>1</v>
      </c>
      <c r="Y1195" s="25">
        <v>0</v>
      </c>
      <c r="Z1195" s="25">
        <v>0</v>
      </c>
      <c r="AA1195" s="25">
        <v>0</v>
      </c>
      <c r="AB1195" s="25">
        <v>0</v>
      </c>
      <c r="AC1195" s="25">
        <v>0</v>
      </c>
      <c r="AD1195" s="25">
        <v>0</v>
      </c>
      <c r="AE1195" s="25">
        <v>1</v>
      </c>
      <c r="AF1195" s="25" t="s">
        <v>131</v>
      </c>
    </row>
    <row r="1196" spans="1:32" s="25" customFormat="1" x14ac:dyDescent="0.25">
      <c r="A1196" s="25" t="s">
        <v>188</v>
      </c>
      <c r="B1196" s="25">
        <f t="shared" si="33"/>
        <v>9510</v>
      </c>
      <c r="C1196" s="25" t="s">
        <v>12</v>
      </c>
      <c r="D1196" s="25">
        <v>0</v>
      </c>
      <c r="E1196" s="25">
        <v>0</v>
      </c>
      <c r="F1196" s="25">
        <v>256</v>
      </c>
      <c r="G1196" s="25">
        <v>222</v>
      </c>
      <c r="H1196" s="27">
        <v>0</v>
      </c>
      <c r="I1196" s="27">
        <v>0</v>
      </c>
      <c r="J1196" s="27">
        <v>0</v>
      </c>
      <c r="K1196" s="27">
        <v>0</v>
      </c>
      <c r="L1196" s="27">
        <v>1</v>
      </c>
      <c r="M1196" s="27">
        <v>0</v>
      </c>
      <c r="N1196" s="27">
        <v>0</v>
      </c>
      <c r="O1196" s="27">
        <v>0</v>
      </c>
      <c r="P1196" s="25">
        <v>700</v>
      </c>
      <c r="Q1196" s="25">
        <v>560</v>
      </c>
      <c r="R1196" s="25" t="s">
        <v>87</v>
      </c>
      <c r="S1196" s="25" t="s">
        <v>89</v>
      </c>
      <c r="T1196" s="25">
        <v>0</v>
      </c>
      <c r="U1196" s="25">
        <v>0</v>
      </c>
      <c r="V1196" s="25">
        <v>0</v>
      </c>
      <c r="W1196" s="25">
        <v>0</v>
      </c>
      <c r="X1196" s="25">
        <v>1</v>
      </c>
      <c r="Y1196" s="25">
        <v>0</v>
      </c>
      <c r="Z1196" s="25">
        <v>0</v>
      </c>
      <c r="AA1196" s="25">
        <v>0</v>
      </c>
      <c r="AB1196" s="25">
        <v>0</v>
      </c>
      <c r="AC1196" s="25">
        <v>0</v>
      </c>
      <c r="AD1196" s="25">
        <v>0</v>
      </c>
      <c r="AE1196" s="25">
        <v>1</v>
      </c>
      <c r="AF1196" s="25" t="s">
        <v>131</v>
      </c>
    </row>
    <row r="1197" spans="1:32" s="25" customFormat="1" x14ac:dyDescent="0.25">
      <c r="A1197" s="25" t="s">
        <v>188</v>
      </c>
      <c r="B1197" s="25">
        <f t="shared" si="33"/>
        <v>9520</v>
      </c>
      <c r="C1197" s="25" t="s">
        <v>12</v>
      </c>
      <c r="D1197" s="25">
        <v>0</v>
      </c>
      <c r="E1197" s="25">
        <v>0</v>
      </c>
      <c r="F1197" s="25">
        <v>256</v>
      </c>
      <c r="G1197" s="25">
        <v>222</v>
      </c>
      <c r="H1197" s="27">
        <v>0</v>
      </c>
      <c r="I1197" s="27">
        <v>0</v>
      </c>
      <c r="J1197" s="27">
        <v>0</v>
      </c>
      <c r="K1197" s="27">
        <v>0</v>
      </c>
      <c r="L1197" s="27">
        <v>1</v>
      </c>
      <c r="M1197" s="27">
        <v>0</v>
      </c>
      <c r="N1197" s="27">
        <v>0</v>
      </c>
      <c r="O1197" s="27">
        <v>0</v>
      </c>
      <c r="P1197" s="25">
        <v>700</v>
      </c>
      <c r="Q1197" s="25">
        <v>560</v>
      </c>
      <c r="R1197" s="25" t="s">
        <v>87</v>
      </c>
      <c r="S1197" s="25" t="s">
        <v>89</v>
      </c>
      <c r="T1197" s="25">
        <v>0</v>
      </c>
      <c r="U1197" s="25">
        <v>0</v>
      </c>
      <c r="V1197" s="25">
        <v>0</v>
      </c>
      <c r="W1197" s="25">
        <v>0</v>
      </c>
      <c r="X1197" s="25">
        <v>1</v>
      </c>
      <c r="Y1197" s="25">
        <v>0</v>
      </c>
      <c r="Z1197" s="25">
        <v>0</v>
      </c>
      <c r="AA1197" s="25">
        <v>0</v>
      </c>
      <c r="AB1197" s="25">
        <v>0</v>
      </c>
      <c r="AC1197" s="25">
        <v>0</v>
      </c>
      <c r="AD1197" s="25">
        <v>0</v>
      </c>
      <c r="AE1197" s="25">
        <v>1</v>
      </c>
      <c r="AF1197" s="25" t="s">
        <v>131</v>
      </c>
    </row>
    <row r="1198" spans="1:32" s="25" customFormat="1" x14ac:dyDescent="0.25">
      <c r="A1198" s="25" t="s">
        <v>188</v>
      </c>
      <c r="B1198" s="25">
        <f t="shared" si="33"/>
        <v>9530</v>
      </c>
      <c r="C1198" s="25" t="s">
        <v>12</v>
      </c>
      <c r="D1198" s="25">
        <v>0</v>
      </c>
      <c r="E1198" s="25">
        <v>0</v>
      </c>
      <c r="F1198" s="25">
        <v>256</v>
      </c>
      <c r="G1198" s="25">
        <v>222</v>
      </c>
      <c r="H1198" s="27">
        <v>0</v>
      </c>
      <c r="I1198" s="27">
        <v>0</v>
      </c>
      <c r="J1198" s="27">
        <v>0</v>
      </c>
      <c r="K1198" s="27">
        <v>0</v>
      </c>
      <c r="L1198" s="27">
        <v>1</v>
      </c>
      <c r="M1198" s="27">
        <v>0</v>
      </c>
      <c r="N1198" s="27">
        <v>0</v>
      </c>
      <c r="O1198" s="27">
        <v>0</v>
      </c>
      <c r="P1198" s="25">
        <v>700</v>
      </c>
      <c r="Q1198" s="25">
        <v>560</v>
      </c>
      <c r="R1198" s="25" t="s">
        <v>87</v>
      </c>
      <c r="S1198" s="25" t="s">
        <v>89</v>
      </c>
      <c r="T1198" s="25">
        <v>0</v>
      </c>
      <c r="U1198" s="25">
        <v>0</v>
      </c>
      <c r="V1198" s="25">
        <v>0</v>
      </c>
      <c r="W1198" s="25">
        <v>0</v>
      </c>
      <c r="X1198" s="25">
        <v>1</v>
      </c>
      <c r="Y1198" s="25">
        <v>0</v>
      </c>
      <c r="Z1198" s="25">
        <v>0</v>
      </c>
      <c r="AA1198" s="25">
        <v>0</v>
      </c>
      <c r="AB1198" s="25">
        <v>0</v>
      </c>
      <c r="AC1198" s="25">
        <v>0</v>
      </c>
      <c r="AD1198" s="25">
        <v>0</v>
      </c>
      <c r="AE1198" s="25">
        <v>1</v>
      </c>
      <c r="AF1198" s="25" t="s">
        <v>131</v>
      </c>
    </row>
    <row r="1199" spans="1:32" s="25" customFormat="1" x14ac:dyDescent="0.25">
      <c r="A1199" s="25" t="s">
        <v>188</v>
      </c>
      <c r="B1199" s="25">
        <f t="shared" si="33"/>
        <v>9540</v>
      </c>
      <c r="C1199" s="25" t="s">
        <v>12</v>
      </c>
      <c r="D1199" s="25">
        <v>0</v>
      </c>
      <c r="E1199" s="25">
        <v>0</v>
      </c>
      <c r="F1199" s="25">
        <v>256</v>
      </c>
      <c r="G1199" s="25">
        <v>222</v>
      </c>
      <c r="H1199" s="27">
        <v>0</v>
      </c>
      <c r="I1199" s="27">
        <v>0</v>
      </c>
      <c r="J1199" s="27">
        <v>0</v>
      </c>
      <c r="K1199" s="27">
        <v>0</v>
      </c>
      <c r="L1199" s="27">
        <v>1</v>
      </c>
      <c r="M1199" s="27">
        <v>0</v>
      </c>
      <c r="N1199" s="27">
        <v>0</v>
      </c>
      <c r="O1199" s="27">
        <v>0</v>
      </c>
      <c r="P1199" s="25">
        <v>700</v>
      </c>
      <c r="Q1199" s="25">
        <v>560</v>
      </c>
      <c r="R1199" s="25" t="s">
        <v>87</v>
      </c>
      <c r="S1199" s="25" t="s">
        <v>89</v>
      </c>
      <c r="T1199" s="25">
        <v>0</v>
      </c>
      <c r="U1199" s="25">
        <v>0</v>
      </c>
      <c r="V1199" s="25">
        <v>0</v>
      </c>
      <c r="W1199" s="25">
        <v>0</v>
      </c>
      <c r="X1199" s="25">
        <v>1</v>
      </c>
      <c r="Y1199" s="25">
        <v>0</v>
      </c>
      <c r="Z1199" s="25">
        <v>0</v>
      </c>
      <c r="AA1199" s="25">
        <v>0</v>
      </c>
      <c r="AB1199" s="25">
        <v>0</v>
      </c>
      <c r="AC1199" s="25">
        <v>0</v>
      </c>
      <c r="AD1199" s="25">
        <v>0</v>
      </c>
      <c r="AE1199" s="25">
        <v>1</v>
      </c>
      <c r="AF1199" s="25" t="s">
        <v>131</v>
      </c>
    </row>
    <row r="1200" spans="1:32" s="25" customFormat="1" x14ac:dyDescent="0.25">
      <c r="A1200" s="25" t="s">
        <v>188</v>
      </c>
      <c r="B1200" s="25">
        <f t="shared" si="33"/>
        <v>9550</v>
      </c>
      <c r="C1200" s="25" t="s">
        <v>12</v>
      </c>
      <c r="D1200" s="25">
        <v>0</v>
      </c>
      <c r="E1200" s="25">
        <v>0</v>
      </c>
      <c r="F1200" s="25">
        <v>256</v>
      </c>
      <c r="G1200" s="25">
        <v>222</v>
      </c>
      <c r="H1200" s="27">
        <v>0</v>
      </c>
      <c r="I1200" s="27">
        <v>0</v>
      </c>
      <c r="J1200" s="27">
        <v>0</v>
      </c>
      <c r="K1200" s="27">
        <v>0</v>
      </c>
      <c r="L1200" s="27">
        <v>1</v>
      </c>
      <c r="M1200" s="27">
        <v>0</v>
      </c>
      <c r="N1200" s="27">
        <v>0</v>
      </c>
      <c r="O1200" s="27">
        <v>0</v>
      </c>
      <c r="P1200" s="25">
        <v>700</v>
      </c>
      <c r="Q1200" s="25">
        <v>560</v>
      </c>
      <c r="R1200" s="25" t="s">
        <v>87</v>
      </c>
      <c r="S1200" s="25" t="s">
        <v>89</v>
      </c>
      <c r="T1200" s="25">
        <v>0</v>
      </c>
      <c r="U1200" s="25">
        <v>0</v>
      </c>
      <c r="V1200" s="25">
        <v>0</v>
      </c>
      <c r="W1200" s="25">
        <v>0</v>
      </c>
      <c r="X1200" s="25">
        <v>1</v>
      </c>
      <c r="Y1200" s="25">
        <v>0</v>
      </c>
      <c r="Z1200" s="25">
        <v>0</v>
      </c>
      <c r="AA1200" s="25">
        <v>0</v>
      </c>
      <c r="AB1200" s="25">
        <v>0</v>
      </c>
      <c r="AC1200" s="25">
        <v>0</v>
      </c>
      <c r="AD1200" s="25">
        <v>0</v>
      </c>
      <c r="AE1200" s="25">
        <v>1</v>
      </c>
      <c r="AF1200" s="25" t="s">
        <v>131</v>
      </c>
    </row>
    <row r="1201" spans="1:32" s="25" customFormat="1" x14ac:dyDescent="0.25">
      <c r="A1201" s="25" t="s">
        <v>188</v>
      </c>
      <c r="B1201" s="25">
        <f t="shared" si="33"/>
        <v>9560</v>
      </c>
      <c r="C1201" s="25" t="s">
        <v>12</v>
      </c>
      <c r="D1201" s="25">
        <v>0</v>
      </c>
      <c r="E1201" s="25">
        <v>0</v>
      </c>
      <c r="F1201" s="25">
        <v>256</v>
      </c>
      <c r="G1201" s="25">
        <v>222</v>
      </c>
      <c r="H1201" s="27">
        <v>0</v>
      </c>
      <c r="I1201" s="27">
        <v>0</v>
      </c>
      <c r="J1201" s="27">
        <v>0</v>
      </c>
      <c r="K1201" s="27">
        <v>0</v>
      </c>
      <c r="L1201" s="27">
        <v>1</v>
      </c>
      <c r="M1201" s="27">
        <v>0</v>
      </c>
      <c r="N1201" s="27">
        <v>0</v>
      </c>
      <c r="O1201" s="27">
        <v>0</v>
      </c>
      <c r="P1201" s="25">
        <v>700</v>
      </c>
      <c r="Q1201" s="25">
        <v>560</v>
      </c>
      <c r="R1201" s="25" t="s">
        <v>87</v>
      </c>
      <c r="S1201" s="25" t="s">
        <v>89</v>
      </c>
      <c r="T1201" s="25">
        <v>0</v>
      </c>
      <c r="U1201" s="25">
        <v>0</v>
      </c>
      <c r="V1201" s="25">
        <v>0</v>
      </c>
      <c r="W1201" s="25">
        <v>0</v>
      </c>
      <c r="X1201" s="25">
        <v>1</v>
      </c>
      <c r="Y1201" s="25">
        <v>0</v>
      </c>
      <c r="Z1201" s="25">
        <v>0</v>
      </c>
      <c r="AA1201" s="25">
        <v>0</v>
      </c>
      <c r="AB1201" s="25">
        <v>0</v>
      </c>
      <c r="AC1201" s="25">
        <v>0</v>
      </c>
      <c r="AD1201" s="25">
        <v>0</v>
      </c>
      <c r="AE1201" s="25">
        <v>1</v>
      </c>
      <c r="AF1201" s="25" t="s">
        <v>131</v>
      </c>
    </row>
    <row r="1202" spans="1:32" s="25" customFormat="1" x14ac:dyDescent="0.25">
      <c r="A1202" s="25" t="s">
        <v>188</v>
      </c>
      <c r="B1202" s="25">
        <f t="shared" si="33"/>
        <v>9570</v>
      </c>
      <c r="C1202" s="25" t="s">
        <v>12</v>
      </c>
      <c r="D1202" s="25">
        <v>0</v>
      </c>
      <c r="E1202" s="25">
        <v>0</v>
      </c>
      <c r="F1202" s="25">
        <v>256</v>
      </c>
      <c r="G1202" s="25">
        <v>222</v>
      </c>
      <c r="H1202" s="27">
        <v>0</v>
      </c>
      <c r="I1202" s="27">
        <v>0</v>
      </c>
      <c r="J1202" s="27">
        <v>0</v>
      </c>
      <c r="K1202" s="27">
        <v>0</v>
      </c>
      <c r="L1202" s="27">
        <v>1</v>
      </c>
      <c r="M1202" s="27">
        <v>0</v>
      </c>
      <c r="N1202" s="27">
        <v>0</v>
      </c>
      <c r="O1202" s="27">
        <v>0</v>
      </c>
      <c r="P1202" s="25">
        <v>700</v>
      </c>
      <c r="Q1202" s="25">
        <v>560</v>
      </c>
      <c r="R1202" s="25" t="s">
        <v>87</v>
      </c>
      <c r="S1202" s="25" t="s">
        <v>89</v>
      </c>
      <c r="T1202" s="25">
        <v>0</v>
      </c>
      <c r="U1202" s="25">
        <v>0</v>
      </c>
      <c r="V1202" s="25">
        <v>0</v>
      </c>
      <c r="W1202" s="25">
        <v>0</v>
      </c>
      <c r="X1202" s="25">
        <v>1</v>
      </c>
      <c r="Y1202" s="25">
        <v>0</v>
      </c>
      <c r="Z1202" s="25">
        <v>0</v>
      </c>
      <c r="AA1202" s="25">
        <v>0</v>
      </c>
      <c r="AB1202" s="25">
        <v>0</v>
      </c>
      <c r="AC1202" s="25">
        <v>0</v>
      </c>
      <c r="AD1202" s="25">
        <v>0</v>
      </c>
      <c r="AE1202" s="25">
        <v>1</v>
      </c>
      <c r="AF1202" s="25" t="s">
        <v>131</v>
      </c>
    </row>
    <row r="1203" spans="1:32" s="25" customFormat="1" x14ac:dyDescent="0.25">
      <c r="A1203" s="25" t="s">
        <v>188</v>
      </c>
      <c r="B1203" s="25">
        <f t="shared" si="33"/>
        <v>9580</v>
      </c>
      <c r="C1203" s="25" t="s">
        <v>12</v>
      </c>
      <c r="D1203" s="25">
        <v>0</v>
      </c>
      <c r="E1203" s="25">
        <v>0</v>
      </c>
      <c r="F1203" s="25">
        <v>256</v>
      </c>
      <c r="G1203" s="25">
        <v>222</v>
      </c>
      <c r="H1203" s="27">
        <v>0</v>
      </c>
      <c r="I1203" s="27">
        <v>0</v>
      </c>
      <c r="J1203" s="27">
        <v>0</v>
      </c>
      <c r="K1203" s="27">
        <v>0</v>
      </c>
      <c r="L1203" s="27">
        <v>1</v>
      </c>
      <c r="M1203" s="27">
        <v>0</v>
      </c>
      <c r="N1203" s="27">
        <v>0</v>
      </c>
      <c r="O1203" s="27">
        <v>0</v>
      </c>
      <c r="P1203" s="25">
        <v>700</v>
      </c>
      <c r="Q1203" s="25">
        <v>560</v>
      </c>
      <c r="R1203" s="25" t="s">
        <v>87</v>
      </c>
      <c r="S1203" s="25" t="s">
        <v>89</v>
      </c>
      <c r="T1203" s="25">
        <v>0</v>
      </c>
      <c r="U1203" s="25">
        <v>0</v>
      </c>
      <c r="V1203" s="25">
        <v>0</v>
      </c>
      <c r="W1203" s="25">
        <v>0</v>
      </c>
      <c r="X1203" s="25">
        <v>1</v>
      </c>
      <c r="Y1203" s="25">
        <v>0</v>
      </c>
      <c r="Z1203" s="25">
        <v>0</v>
      </c>
      <c r="AA1203" s="25">
        <v>0</v>
      </c>
      <c r="AB1203" s="25">
        <v>0</v>
      </c>
      <c r="AC1203" s="25">
        <v>0</v>
      </c>
      <c r="AD1203" s="25">
        <v>0</v>
      </c>
      <c r="AE1203" s="25">
        <v>1</v>
      </c>
      <c r="AF1203" s="25" t="s">
        <v>131</v>
      </c>
    </row>
    <row r="1204" spans="1:32" s="25" customFormat="1" x14ac:dyDescent="0.25">
      <c r="A1204" s="25" t="s">
        <v>188</v>
      </c>
      <c r="B1204" s="25">
        <f t="shared" si="33"/>
        <v>9590</v>
      </c>
      <c r="C1204" s="25" t="s">
        <v>12</v>
      </c>
      <c r="D1204" s="25">
        <v>0</v>
      </c>
      <c r="E1204" s="25">
        <v>0</v>
      </c>
      <c r="F1204" s="25">
        <v>256</v>
      </c>
      <c r="G1204" s="25">
        <v>222</v>
      </c>
      <c r="H1204" s="27">
        <v>0</v>
      </c>
      <c r="I1204" s="27">
        <v>0</v>
      </c>
      <c r="J1204" s="27">
        <v>0</v>
      </c>
      <c r="K1204" s="27">
        <v>0</v>
      </c>
      <c r="L1204" s="27">
        <v>1</v>
      </c>
      <c r="M1204" s="27">
        <v>0</v>
      </c>
      <c r="N1204" s="27">
        <v>0</v>
      </c>
      <c r="O1204" s="27">
        <v>0</v>
      </c>
      <c r="P1204" s="25">
        <v>700</v>
      </c>
      <c r="Q1204" s="25">
        <v>560</v>
      </c>
      <c r="R1204" s="25" t="s">
        <v>87</v>
      </c>
      <c r="S1204" s="25" t="s">
        <v>89</v>
      </c>
      <c r="T1204" s="25">
        <v>0</v>
      </c>
      <c r="U1204" s="25">
        <v>0</v>
      </c>
      <c r="V1204" s="25">
        <v>0</v>
      </c>
      <c r="W1204" s="25">
        <v>0</v>
      </c>
      <c r="X1204" s="25">
        <v>1</v>
      </c>
      <c r="Y1204" s="25">
        <v>0</v>
      </c>
      <c r="Z1204" s="25">
        <v>0</v>
      </c>
      <c r="AA1204" s="25">
        <v>0</v>
      </c>
      <c r="AB1204" s="25">
        <v>0</v>
      </c>
      <c r="AC1204" s="25">
        <v>0</v>
      </c>
      <c r="AD1204" s="25">
        <v>0</v>
      </c>
      <c r="AE1204" s="25">
        <v>1</v>
      </c>
      <c r="AF1204" s="25" t="s">
        <v>131</v>
      </c>
    </row>
    <row r="1205" spans="1:32" s="25" customFormat="1" x14ac:dyDescent="0.25">
      <c r="A1205" s="25" t="s">
        <v>188</v>
      </c>
      <c r="B1205" s="25">
        <f t="shared" si="33"/>
        <v>9600</v>
      </c>
      <c r="C1205" s="25" t="s">
        <v>12</v>
      </c>
      <c r="D1205" s="25">
        <v>0</v>
      </c>
      <c r="E1205" s="25">
        <v>0</v>
      </c>
      <c r="F1205" s="25">
        <v>256</v>
      </c>
      <c r="G1205" s="25">
        <v>222</v>
      </c>
      <c r="H1205" s="27">
        <v>0</v>
      </c>
      <c r="I1205" s="27">
        <v>0</v>
      </c>
      <c r="J1205" s="27">
        <v>0</v>
      </c>
      <c r="K1205" s="27">
        <v>0</v>
      </c>
      <c r="L1205" s="27">
        <v>1</v>
      </c>
      <c r="M1205" s="27">
        <v>0</v>
      </c>
      <c r="N1205" s="27">
        <v>0</v>
      </c>
      <c r="O1205" s="27">
        <v>0</v>
      </c>
      <c r="P1205" s="25">
        <v>700</v>
      </c>
      <c r="Q1205" s="25">
        <v>560</v>
      </c>
      <c r="R1205" s="25" t="s">
        <v>87</v>
      </c>
      <c r="S1205" s="25" t="s">
        <v>89</v>
      </c>
      <c r="T1205" s="25">
        <v>0</v>
      </c>
      <c r="U1205" s="25">
        <v>0</v>
      </c>
      <c r="V1205" s="25">
        <v>0</v>
      </c>
      <c r="W1205" s="25">
        <v>0</v>
      </c>
      <c r="X1205" s="25">
        <v>1</v>
      </c>
      <c r="Y1205" s="25">
        <v>0</v>
      </c>
      <c r="Z1205" s="25">
        <v>0</v>
      </c>
      <c r="AA1205" s="25">
        <v>0</v>
      </c>
      <c r="AB1205" s="25">
        <v>0</v>
      </c>
      <c r="AC1205" s="25">
        <v>0</v>
      </c>
      <c r="AD1205" s="25">
        <v>0</v>
      </c>
      <c r="AE1205" s="25">
        <v>1</v>
      </c>
      <c r="AF1205" s="25" t="s">
        <v>131</v>
      </c>
    </row>
    <row r="1206" spans="1:32" s="25" customFormat="1" x14ac:dyDescent="0.25">
      <c r="A1206" s="25" t="s">
        <v>188</v>
      </c>
      <c r="B1206" s="25">
        <f t="shared" si="33"/>
        <v>9610</v>
      </c>
      <c r="C1206" s="25" t="s">
        <v>12</v>
      </c>
      <c r="D1206" s="25">
        <v>0</v>
      </c>
      <c r="E1206" s="25">
        <v>0</v>
      </c>
      <c r="F1206" s="25">
        <v>256</v>
      </c>
      <c r="G1206" s="25">
        <v>222</v>
      </c>
      <c r="H1206" s="27">
        <v>0</v>
      </c>
      <c r="I1206" s="27">
        <v>0</v>
      </c>
      <c r="J1206" s="27">
        <v>0</v>
      </c>
      <c r="K1206" s="27">
        <v>0</v>
      </c>
      <c r="L1206" s="27">
        <v>1</v>
      </c>
      <c r="M1206" s="27">
        <v>0</v>
      </c>
      <c r="N1206" s="27">
        <v>0</v>
      </c>
      <c r="O1206" s="27">
        <v>0</v>
      </c>
      <c r="P1206" s="25">
        <v>700</v>
      </c>
      <c r="Q1206" s="25">
        <v>560</v>
      </c>
      <c r="R1206" s="25" t="s">
        <v>87</v>
      </c>
      <c r="S1206" s="25" t="s">
        <v>89</v>
      </c>
      <c r="T1206" s="25">
        <v>0</v>
      </c>
      <c r="U1206" s="25">
        <v>0</v>
      </c>
      <c r="V1206" s="25">
        <v>0</v>
      </c>
      <c r="W1206" s="25">
        <v>0</v>
      </c>
      <c r="X1206" s="25">
        <v>1</v>
      </c>
      <c r="Y1206" s="25">
        <v>0</v>
      </c>
      <c r="Z1206" s="25">
        <v>0</v>
      </c>
      <c r="AA1206" s="25">
        <v>0</v>
      </c>
      <c r="AB1206" s="25">
        <v>0</v>
      </c>
      <c r="AC1206" s="25">
        <v>0</v>
      </c>
      <c r="AD1206" s="25">
        <v>0</v>
      </c>
      <c r="AE1206" s="25">
        <v>1</v>
      </c>
      <c r="AF1206" s="25" t="s">
        <v>131</v>
      </c>
    </row>
    <row r="1207" spans="1:32" s="25" customFormat="1" x14ac:dyDescent="0.25">
      <c r="A1207" s="25" t="s">
        <v>188</v>
      </c>
      <c r="B1207" s="25">
        <f t="shared" si="33"/>
        <v>9620</v>
      </c>
      <c r="C1207" s="25" t="s">
        <v>12</v>
      </c>
      <c r="D1207" s="25">
        <v>0</v>
      </c>
      <c r="E1207" s="25">
        <v>0</v>
      </c>
      <c r="F1207" s="25">
        <v>256</v>
      </c>
      <c r="G1207" s="25">
        <v>222</v>
      </c>
      <c r="H1207" s="27">
        <v>0</v>
      </c>
      <c r="I1207" s="27">
        <v>0</v>
      </c>
      <c r="J1207" s="27">
        <v>0</v>
      </c>
      <c r="K1207" s="27">
        <v>0</v>
      </c>
      <c r="L1207" s="27">
        <v>1</v>
      </c>
      <c r="M1207" s="27">
        <v>0</v>
      </c>
      <c r="N1207" s="27">
        <v>0</v>
      </c>
      <c r="O1207" s="27">
        <v>0</v>
      </c>
      <c r="P1207" s="25">
        <v>700</v>
      </c>
      <c r="Q1207" s="25">
        <v>560</v>
      </c>
      <c r="R1207" s="25" t="s">
        <v>87</v>
      </c>
      <c r="S1207" s="25" t="s">
        <v>89</v>
      </c>
      <c r="T1207" s="25">
        <v>0</v>
      </c>
      <c r="U1207" s="25">
        <v>0</v>
      </c>
      <c r="V1207" s="25">
        <v>0</v>
      </c>
      <c r="W1207" s="25">
        <v>0</v>
      </c>
      <c r="X1207" s="25">
        <v>1</v>
      </c>
      <c r="Y1207" s="25">
        <v>0</v>
      </c>
      <c r="Z1207" s="25">
        <v>0</v>
      </c>
      <c r="AA1207" s="25">
        <v>0</v>
      </c>
      <c r="AB1207" s="25">
        <v>0</v>
      </c>
      <c r="AC1207" s="25">
        <v>0</v>
      </c>
      <c r="AD1207" s="25">
        <v>0</v>
      </c>
      <c r="AE1207" s="25">
        <v>1</v>
      </c>
      <c r="AF1207" s="25" t="s">
        <v>131</v>
      </c>
    </row>
    <row r="1208" spans="1:32" s="25" customFormat="1" x14ac:dyDescent="0.25">
      <c r="A1208" s="25" t="s">
        <v>188</v>
      </c>
      <c r="B1208" s="25">
        <f t="shared" si="33"/>
        <v>9630</v>
      </c>
      <c r="C1208" s="25" t="s">
        <v>12</v>
      </c>
      <c r="D1208" s="25">
        <v>0</v>
      </c>
      <c r="E1208" s="25">
        <v>0</v>
      </c>
      <c r="F1208" s="25">
        <v>256</v>
      </c>
      <c r="G1208" s="25">
        <v>222</v>
      </c>
      <c r="H1208" s="27">
        <v>0</v>
      </c>
      <c r="I1208" s="27">
        <v>0</v>
      </c>
      <c r="J1208" s="27">
        <v>0</v>
      </c>
      <c r="K1208" s="27">
        <v>0</v>
      </c>
      <c r="L1208" s="27">
        <v>1</v>
      </c>
      <c r="M1208" s="27">
        <v>0</v>
      </c>
      <c r="N1208" s="27">
        <v>0</v>
      </c>
      <c r="O1208" s="27">
        <v>0</v>
      </c>
      <c r="P1208" s="25">
        <v>700</v>
      </c>
      <c r="Q1208" s="25">
        <v>560</v>
      </c>
      <c r="R1208" s="25" t="s">
        <v>87</v>
      </c>
      <c r="S1208" s="25" t="s">
        <v>89</v>
      </c>
      <c r="T1208" s="25">
        <v>0</v>
      </c>
      <c r="U1208" s="25">
        <v>0</v>
      </c>
      <c r="V1208" s="25">
        <v>0</v>
      </c>
      <c r="W1208" s="25">
        <v>0</v>
      </c>
      <c r="X1208" s="25">
        <v>1</v>
      </c>
      <c r="Y1208" s="25">
        <v>0</v>
      </c>
      <c r="Z1208" s="25">
        <v>0</v>
      </c>
      <c r="AA1208" s="25">
        <v>0</v>
      </c>
      <c r="AB1208" s="25">
        <v>0</v>
      </c>
      <c r="AC1208" s="25">
        <v>0</v>
      </c>
      <c r="AD1208" s="25">
        <v>0</v>
      </c>
      <c r="AE1208" s="25">
        <v>1</v>
      </c>
      <c r="AF1208" s="25" t="s">
        <v>131</v>
      </c>
    </row>
    <row r="1209" spans="1:32" s="25" customFormat="1" x14ac:dyDescent="0.25">
      <c r="A1209" s="25" t="s">
        <v>188</v>
      </c>
      <c r="B1209" s="25">
        <f t="shared" si="33"/>
        <v>9640</v>
      </c>
      <c r="C1209" s="25" t="s">
        <v>12</v>
      </c>
      <c r="D1209" s="25">
        <v>0</v>
      </c>
      <c r="E1209" s="25">
        <v>0</v>
      </c>
      <c r="F1209" s="25">
        <v>256</v>
      </c>
      <c r="G1209" s="25">
        <v>222</v>
      </c>
      <c r="H1209" s="27">
        <v>0</v>
      </c>
      <c r="I1209" s="27">
        <v>0</v>
      </c>
      <c r="J1209" s="27">
        <v>0</v>
      </c>
      <c r="K1209" s="27">
        <v>0</v>
      </c>
      <c r="L1209" s="27">
        <v>1</v>
      </c>
      <c r="M1209" s="27">
        <v>0</v>
      </c>
      <c r="N1209" s="27">
        <v>0</v>
      </c>
      <c r="O1209" s="27">
        <v>0</v>
      </c>
      <c r="P1209" s="25">
        <v>700</v>
      </c>
      <c r="Q1209" s="25">
        <v>560</v>
      </c>
      <c r="R1209" s="25" t="s">
        <v>87</v>
      </c>
      <c r="S1209" s="25" t="s">
        <v>89</v>
      </c>
      <c r="T1209" s="25">
        <v>0</v>
      </c>
      <c r="U1209" s="25">
        <v>0</v>
      </c>
      <c r="V1209" s="25">
        <v>0</v>
      </c>
      <c r="W1209" s="25">
        <v>0</v>
      </c>
      <c r="X1209" s="25">
        <v>1</v>
      </c>
      <c r="Y1209" s="25">
        <v>0</v>
      </c>
      <c r="Z1209" s="25">
        <v>0</v>
      </c>
      <c r="AA1209" s="25">
        <v>0</v>
      </c>
      <c r="AB1209" s="25">
        <v>0</v>
      </c>
      <c r="AC1209" s="25">
        <v>0</v>
      </c>
      <c r="AD1209" s="25">
        <v>0</v>
      </c>
      <c r="AE1209" s="25">
        <v>1</v>
      </c>
      <c r="AF1209" s="25" t="s">
        <v>131</v>
      </c>
    </row>
    <row r="1210" spans="1:32" s="25" customFormat="1" x14ac:dyDescent="0.25">
      <c r="A1210" s="25" t="s">
        <v>188</v>
      </c>
      <c r="B1210" s="25">
        <f t="shared" si="33"/>
        <v>9650</v>
      </c>
      <c r="C1210" s="25" t="s">
        <v>12</v>
      </c>
      <c r="D1210" s="25">
        <v>0</v>
      </c>
      <c r="E1210" s="25">
        <v>0</v>
      </c>
      <c r="F1210" s="25">
        <v>256</v>
      </c>
      <c r="G1210" s="25">
        <v>222</v>
      </c>
      <c r="H1210" s="27">
        <v>0</v>
      </c>
      <c r="I1210" s="27">
        <v>0</v>
      </c>
      <c r="J1210" s="27">
        <v>0</v>
      </c>
      <c r="K1210" s="27">
        <v>0</v>
      </c>
      <c r="L1210" s="27">
        <v>1</v>
      </c>
      <c r="M1210" s="27">
        <v>0</v>
      </c>
      <c r="N1210" s="27">
        <v>0</v>
      </c>
      <c r="O1210" s="27">
        <v>0</v>
      </c>
      <c r="P1210" s="25">
        <v>700</v>
      </c>
      <c r="Q1210" s="25">
        <v>560</v>
      </c>
      <c r="R1210" s="25" t="s">
        <v>87</v>
      </c>
      <c r="S1210" s="25" t="s">
        <v>89</v>
      </c>
      <c r="T1210" s="25">
        <v>0</v>
      </c>
      <c r="U1210" s="25">
        <v>0</v>
      </c>
      <c r="V1210" s="25">
        <v>0</v>
      </c>
      <c r="W1210" s="25">
        <v>0</v>
      </c>
      <c r="X1210" s="25">
        <v>1</v>
      </c>
      <c r="Y1210" s="25">
        <v>0</v>
      </c>
      <c r="Z1210" s="25">
        <v>0</v>
      </c>
      <c r="AA1210" s="25">
        <v>0</v>
      </c>
      <c r="AB1210" s="25">
        <v>0</v>
      </c>
      <c r="AC1210" s="25">
        <v>0</v>
      </c>
      <c r="AD1210" s="25">
        <v>0</v>
      </c>
      <c r="AE1210" s="25">
        <v>1</v>
      </c>
      <c r="AF1210" s="25" t="s">
        <v>131</v>
      </c>
    </row>
    <row r="1211" spans="1:32" s="25" customFormat="1" x14ac:dyDescent="0.25">
      <c r="A1211" s="25" t="s">
        <v>188</v>
      </c>
      <c r="B1211" s="25">
        <f t="shared" si="33"/>
        <v>9660</v>
      </c>
      <c r="C1211" s="25" t="s">
        <v>12</v>
      </c>
      <c r="D1211" s="25">
        <v>0</v>
      </c>
      <c r="E1211" s="25">
        <v>0</v>
      </c>
      <c r="F1211" s="25">
        <v>256</v>
      </c>
      <c r="G1211" s="25">
        <v>222</v>
      </c>
      <c r="H1211" s="27">
        <v>0</v>
      </c>
      <c r="I1211" s="27">
        <v>0</v>
      </c>
      <c r="J1211" s="27">
        <v>0</v>
      </c>
      <c r="K1211" s="27">
        <v>0</v>
      </c>
      <c r="L1211" s="27">
        <v>1</v>
      </c>
      <c r="M1211" s="27">
        <v>0</v>
      </c>
      <c r="N1211" s="27">
        <v>0</v>
      </c>
      <c r="O1211" s="27">
        <v>0</v>
      </c>
      <c r="P1211" s="25">
        <v>700</v>
      </c>
      <c r="Q1211" s="25">
        <v>560</v>
      </c>
      <c r="R1211" s="25" t="s">
        <v>87</v>
      </c>
      <c r="S1211" s="25" t="s">
        <v>89</v>
      </c>
      <c r="T1211" s="25">
        <v>0</v>
      </c>
      <c r="U1211" s="25">
        <v>0</v>
      </c>
      <c r="V1211" s="25">
        <v>0</v>
      </c>
      <c r="W1211" s="25">
        <v>0</v>
      </c>
      <c r="X1211" s="25">
        <v>1</v>
      </c>
      <c r="Y1211" s="25">
        <v>0</v>
      </c>
      <c r="Z1211" s="25">
        <v>0</v>
      </c>
      <c r="AA1211" s="25">
        <v>0</v>
      </c>
      <c r="AB1211" s="25">
        <v>0</v>
      </c>
      <c r="AC1211" s="25">
        <v>0</v>
      </c>
      <c r="AD1211" s="25">
        <v>0</v>
      </c>
      <c r="AE1211" s="25">
        <v>1</v>
      </c>
      <c r="AF1211" s="25" t="s">
        <v>131</v>
      </c>
    </row>
    <row r="1212" spans="1:32" s="25" customFormat="1" x14ac:dyDescent="0.25">
      <c r="A1212" s="25" t="s">
        <v>188</v>
      </c>
      <c r="B1212" s="25">
        <f t="shared" si="33"/>
        <v>9670</v>
      </c>
      <c r="C1212" s="25" t="s">
        <v>12</v>
      </c>
      <c r="D1212" s="25">
        <v>0</v>
      </c>
      <c r="E1212" s="25">
        <v>0</v>
      </c>
      <c r="F1212" s="25">
        <v>256</v>
      </c>
      <c r="G1212" s="25">
        <v>222</v>
      </c>
      <c r="H1212" s="27">
        <v>0</v>
      </c>
      <c r="I1212" s="27">
        <v>0</v>
      </c>
      <c r="J1212" s="27">
        <v>0</v>
      </c>
      <c r="K1212" s="27">
        <v>0</v>
      </c>
      <c r="L1212" s="27">
        <v>1</v>
      </c>
      <c r="M1212" s="27">
        <v>0</v>
      </c>
      <c r="N1212" s="27">
        <v>0</v>
      </c>
      <c r="O1212" s="27">
        <v>0</v>
      </c>
      <c r="P1212" s="25">
        <v>700</v>
      </c>
      <c r="Q1212" s="25">
        <v>560</v>
      </c>
      <c r="R1212" s="25" t="s">
        <v>87</v>
      </c>
      <c r="S1212" s="25" t="s">
        <v>89</v>
      </c>
      <c r="T1212" s="25">
        <v>0</v>
      </c>
      <c r="U1212" s="25">
        <v>0</v>
      </c>
      <c r="V1212" s="25">
        <v>0</v>
      </c>
      <c r="W1212" s="25">
        <v>0</v>
      </c>
      <c r="X1212" s="25">
        <v>1</v>
      </c>
      <c r="Y1212" s="25">
        <v>0</v>
      </c>
      <c r="Z1212" s="25">
        <v>0</v>
      </c>
      <c r="AA1212" s="25">
        <v>0</v>
      </c>
      <c r="AB1212" s="25">
        <v>0</v>
      </c>
      <c r="AC1212" s="25">
        <v>0</v>
      </c>
      <c r="AD1212" s="25">
        <v>0</v>
      </c>
      <c r="AE1212" s="25">
        <v>1</v>
      </c>
      <c r="AF1212" s="25" t="s">
        <v>131</v>
      </c>
    </row>
    <row r="1213" spans="1:32" s="25" customFormat="1" x14ac:dyDescent="0.25">
      <c r="A1213" s="25" t="s">
        <v>188</v>
      </c>
      <c r="B1213" s="25">
        <f t="shared" si="33"/>
        <v>9680</v>
      </c>
      <c r="C1213" s="25" t="s">
        <v>12</v>
      </c>
      <c r="D1213" s="25">
        <v>0</v>
      </c>
      <c r="E1213" s="25">
        <v>0</v>
      </c>
      <c r="F1213" s="25">
        <v>256</v>
      </c>
      <c r="G1213" s="25">
        <v>222</v>
      </c>
      <c r="H1213" s="27">
        <v>0</v>
      </c>
      <c r="I1213" s="27">
        <v>0</v>
      </c>
      <c r="J1213" s="27">
        <v>0</v>
      </c>
      <c r="K1213" s="27">
        <v>0</v>
      </c>
      <c r="L1213" s="27">
        <v>1</v>
      </c>
      <c r="M1213" s="27">
        <v>0</v>
      </c>
      <c r="N1213" s="27">
        <v>0</v>
      </c>
      <c r="O1213" s="27">
        <v>0</v>
      </c>
      <c r="P1213" s="25">
        <v>700</v>
      </c>
      <c r="Q1213" s="25">
        <v>560</v>
      </c>
      <c r="R1213" s="25" t="s">
        <v>87</v>
      </c>
      <c r="S1213" s="25" t="s">
        <v>89</v>
      </c>
      <c r="T1213" s="25">
        <v>0</v>
      </c>
      <c r="U1213" s="25">
        <v>0</v>
      </c>
      <c r="V1213" s="25">
        <v>0</v>
      </c>
      <c r="W1213" s="25">
        <v>0</v>
      </c>
      <c r="X1213" s="25">
        <v>1</v>
      </c>
      <c r="Y1213" s="25">
        <v>0</v>
      </c>
      <c r="Z1213" s="25">
        <v>0</v>
      </c>
      <c r="AA1213" s="25">
        <v>0</v>
      </c>
      <c r="AB1213" s="25">
        <v>0</v>
      </c>
      <c r="AC1213" s="25">
        <v>0</v>
      </c>
      <c r="AD1213" s="25">
        <v>0</v>
      </c>
      <c r="AE1213" s="25">
        <v>1</v>
      </c>
      <c r="AF1213" s="25" t="s">
        <v>131</v>
      </c>
    </row>
    <row r="1214" spans="1:32" s="25" customFormat="1" x14ac:dyDescent="0.25">
      <c r="A1214" s="25" t="s">
        <v>188</v>
      </c>
      <c r="B1214" s="25">
        <f t="shared" si="33"/>
        <v>9690</v>
      </c>
      <c r="C1214" s="25" t="s">
        <v>12</v>
      </c>
      <c r="D1214" s="25">
        <v>0</v>
      </c>
      <c r="E1214" s="25">
        <v>0</v>
      </c>
      <c r="F1214" s="25">
        <v>256</v>
      </c>
      <c r="G1214" s="25">
        <v>222</v>
      </c>
      <c r="H1214" s="27">
        <v>0</v>
      </c>
      <c r="I1214" s="27">
        <v>0</v>
      </c>
      <c r="J1214" s="27">
        <v>0</v>
      </c>
      <c r="K1214" s="27">
        <v>0</v>
      </c>
      <c r="L1214" s="27">
        <v>1</v>
      </c>
      <c r="M1214" s="27">
        <v>0</v>
      </c>
      <c r="N1214" s="27">
        <v>0</v>
      </c>
      <c r="O1214" s="27">
        <v>0</v>
      </c>
      <c r="P1214" s="25">
        <v>700</v>
      </c>
      <c r="Q1214" s="25">
        <v>560</v>
      </c>
      <c r="R1214" s="25" t="s">
        <v>87</v>
      </c>
      <c r="S1214" s="25" t="s">
        <v>89</v>
      </c>
      <c r="T1214" s="25">
        <v>0</v>
      </c>
      <c r="U1214" s="25">
        <v>0</v>
      </c>
      <c r="V1214" s="25">
        <v>0</v>
      </c>
      <c r="W1214" s="25">
        <v>0</v>
      </c>
      <c r="X1214" s="25">
        <v>1</v>
      </c>
      <c r="Y1214" s="25">
        <v>0</v>
      </c>
      <c r="Z1214" s="25">
        <v>0</v>
      </c>
      <c r="AA1214" s="25">
        <v>0</v>
      </c>
      <c r="AB1214" s="25">
        <v>0</v>
      </c>
      <c r="AC1214" s="25">
        <v>0</v>
      </c>
      <c r="AD1214" s="25">
        <v>0</v>
      </c>
      <c r="AE1214" s="25">
        <v>1</v>
      </c>
      <c r="AF1214" s="25" t="s">
        <v>131</v>
      </c>
    </row>
    <row r="1215" spans="1:32" s="25" customFormat="1" x14ac:dyDescent="0.25">
      <c r="A1215" s="25" t="s">
        <v>188</v>
      </c>
      <c r="B1215" s="25">
        <f t="shared" si="33"/>
        <v>9700</v>
      </c>
      <c r="C1215" s="25" t="s">
        <v>12</v>
      </c>
      <c r="D1215" s="25">
        <v>0</v>
      </c>
      <c r="E1215" s="25">
        <v>0</v>
      </c>
      <c r="F1215" s="25">
        <v>256</v>
      </c>
      <c r="G1215" s="25">
        <v>222</v>
      </c>
      <c r="H1215" s="27">
        <v>0</v>
      </c>
      <c r="I1215" s="27">
        <v>0</v>
      </c>
      <c r="J1215" s="27">
        <v>0</v>
      </c>
      <c r="K1215" s="27">
        <v>0</v>
      </c>
      <c r="L1215" s="27">
        <v>1</v>
      </c>
      <c r="M1215" s="27">
        <v>0</v>
      </c>
      <c r="N1215" s="27">
        <v>0</v>
      </c>
      <c r="O1215" s="27">
        <v>0</v>
      </c>
      <c r="P1215" s="25">
        <v>700</v>
      </c>
      <c r="Q1215" s="25">
        <v>560</v>
      </c>
      <c r="R1215" s="25" t="s">
        <v>87</v>
      </c>
      <c r="S1215" s="25" t="s">
        <v>89</v>
      </c>
      <c r="T1215" s="25">
        <v>0</v>
      </c>
      <c r="U1215" s="25">
        <v>0</v>
      </c>
      <c r="V1215" s="25">
        <v>0</v>
      </c>
      <c r="W1215" s="25">
        <v>0</v>
      </c>
      <c r="X1215" s="25">
        <v>1</v>
      </c>
      <c r="Y1215" s="25">
        <v>0</v>
      </c>
      <c r="Z1215" s="25">
        <v>0</v>
      </c>
      <c r="AA1215" s="25">
        <v>0</v>
      </c>
      <c r="AB1215" s="25">
        <v>0</v>
      </c>
      <c r="AC1215" s="25">
        <v>0</v>
      </c>
      <c r="AD1215" s="25">
        <v>0</v>
      </c>
      <c r="AE1215" s="25">
        <v>1</v>
      </c>
      <c r="AF1215" s="25" t="s">
        <v>131</v>
      </c>
    </row>
    <row r="1216" spans="1:32" s="25" customFormat="1" x14ac:dyDescent="0.25">
      <c r="A1216" s="25" t="s">
        <v>188</v>
      </c>
      <c r="B1216" s="25">
        <f t="shared" si="33"/>
        <v>9710</v>
      </c>
      <c r="C1216" s="25" t="s">
        <v>12</v>
      </c>
      <c r="D1216" s="25">
        <v>0</v>
      </c>
      <c r="E1216" s="25">
        <v>0</v>
      </c>
      <c r="F1216" s="25">
        <v>256</v>
      </c>
      <c r="G1216" s="25">
        <v>222</v>
      </c>
      <c r="H1216" s="27">
        <v>0</v>
      </c>
      <c r="I1216" s="27">
        <v>0</v>
      </c>
      <c r="J1216" s="27">
        <v>0</v>
      </c>
      <c r="K1216" s="27">
        <v>0</v>
      </c>
      <c r="L1216" s="27">
        <v>1</v>
      </c>
      <c r="M1216" s="27">
        <v>0</v>
      </c>
      <c r="N1216" s="27">
        <v>0</v>
      </c>
      <c r="O1216" s="27">
        <v>0</v>
      </c>
      <c r="P1216" s="25">
        <v>700</v>
      </c>
      <c r="Q1216" s="25">
        <v>560</v>
      </c>
      <c r="R1216" s="25" t="s">
        <v>87</v>
      </c>
      <c r="S1216" s="25" t="s">
        <v>89</v>
      </c>
      <c r="T1216" s="25">
        <v>0</v>
      </c>
      <c r="U1216" s="25">
        <v>0</v>
      </c>
      <c r="V1216" s="25">
        <v>0</v>
      </c>
      <c r="W1216" s="25">
        <v>0</v>
      </c>
      <c r="X1216" s="25">
        <v>1</v>
      </c>
      <c r="Y1216" s="25">
        <v>0</v>
      </c>
      <c r="Z1216" s="25">
        <v>0</v>
      </c>
      <c r="AA1216" s="25">
        <v>0</v>
      </c>
      <c r="AB1216" s="25">
        <v>0</v>
      </c>
      <c r="AC1216" s="25">
        <v>0</v>
      </c>
      <c r="AD1216" s="25">
        <v>0</v>
      </c>
      <c r="AE1216" s="25">
        <v>1</v>
      </c>
      <c r="AF1216" s="25" t="s">
        <v>131</v>
      </c>
    </row>
    <row r="1217" spans="1:32" x14ac:dyDescent="0.25">
      <c r="A1217" t="s">
        <v>188</v>
      </c>
      <c r="B1217" s="25">
        <f t="shared" si="33"/>
        <v>9720</v>
      </c>
      <c r="C1217" t="s">
        <v>12</v>
      </c>
      <c r="D1217">
        <v>0</v>
      </c>
      <c r="E1217">
        <v>0</v>
      </c>
      <c r="F1217">
        <v>256</v>
      </c>
      <c r="G1217">
        <v>222</v>
      </c>
      <c r="H1217" s="27">
        <v>0</v>
      </c>
      <c r="I1217" s="27">
        <v>0</v>
      </c>
      <c r="J1217" s="27">
        <v>0</v>
      </c>
      <c r="K1217" s="27">
        <v>0</v>
      </c>
      <c r="L1217" s="27">
        <v>1</v>
      </c>
      <c r="M1217" s="27">
        <v>0</v>
      </c>
      <c r="N1217" s="27">
        <v>0</v>
      </c>
      <c r="O1217" s="27">
        <v>0</v>
      </c>
      <c r="P1217">
        <v>700</v>
      </c>
      <c r="Q1217">
        <v>560</v>
      </c>
      <c r="R1217" t="s">
        <v>87</v>
      </c>
      <c r="S1217" t="s">
        <v>89</v>
      </c>
      <c r="T1217">
        <v>0</v>
      </c>
      <c r="U1217">
        <v>0</v>
      </c>
      <c r="V1217">
        <v>0</v>
      </c>
      <c r="W1217">
        <v>0</v>
      </c>
      <c r="X1217">
        <v>1</v>
      </c>
      <c r="Y1217">
        <v>0</v>
      </c>
      <c r="Z1217">
        <v>0</v>
      </c>
      <c r="AA1217">
        <v>0</v>
      </c>
      <c r="AB1217">
        <v>0</v>
      </c>
      <c r="AC1217">
        <v>0</v>
      </c>
      <c r="AD1217">
        <v>0</v>
      </c>
      <c r="AE1217">
        <v>1</v>
      </c>
      <c r="AF1217" t="s">
        <v>131</v>
      </c>
    </row>
    <row r="1218" spans="1:32" x14ac:dyDescent="0.25">
      <c r="A1218" t="s">
        <v>188</v>
      </c>
      <c r="B1218" s="25">
        <f t="shared" si="33"/>
        <v>9730</v>
      </c>
      <c r="C1218" t="s">
        <v>12</v>
      </c>
      <c r="D1218" t="s">
        <v>13</v>
      </c>
      <c r="E1218" t="s">
        <v>13</v>
      </c>
      <c r="F1218" t="s">
        <v>13</v>
      </c>
      <c r="G1218" t="s">
        <v>13</v>
      </c>
      <c r="H1218" s="27" t="s">
        <v>13</v>
      </c>
      <c r="I1218" s="27" t="s">
        <v>13</v>
      </c>
      <c r="J1218" s="27" t="s">
        <v>13</v>
      </c>
      <c r="K1218" s="27" t="s">
        <v>13</v>
      </c>
      <c r="L1218" s="27" t="s">
        <v>13</v>
      </c>
      <c r="M1218" s="27" t="s">
        <v>13</v>
      </c>
      <c r="N1218" s="27" t="s">
        <v>13</v>
      </c>
      <c r="O1218" s="27" t="s">
        <v>13</v>
      </c>
      <c r="P1218">
        <v>700</v>
      </c>
      <c r="Q1218">
        <v>560</v>
      </c>
      <c r="R1218" t="s">
        <v>87</v>
      </c>
      <c r="S1218" t="s">
        <v>89</v>
      </c>
      <c r="T1218">
        <v>0</v>
      </c>
      <c r="U1218">
        <v>0</v>
      </c>
      <c r="V1218">
        <v>0</v>
      </c>
      <c r="W1218">
        <v>0</v>
      </c>
      <c r="X1218">
        <v>1</v>
      </c>
      <c r="Y1218">
        <v>0</v>
      </c>
      <c r="Z1218">
        <v>0</v>
      </c>
      <c r="AA1218">
        <v>0</v>
      </c>
      <c r="AB1218">
        <v>0</v>
      </c>
      <c r="AC1218">
        <v>0</v>
      </c>
      <c r="AD1218">
        <v>0</v>
      </c>
      <c r="AE1218">
        <v>1</v>
      </c>
      <c r="AF1218" t="s">
        <v>132</v>
      </c>
    </row>
    <row r="1219" spans="1:32" x14ac:dyDescent="0.25">
      <c r="A1219" t="s">
        <v>188</v>
      </c>
      <c r="B1219" s="25">
        <f t="shared" si="33"/>
        <v>9740</v>
      </c>
      <c r="C1219" t="s">
        <v>12</v>
      </c>
      <c r="D1219">
        <v>0</v>
      </c>
      <c r="E1219">
        <v>0</v>
      </c>
      <c r="F1219">
        <v>256</v>
      </c>
      <c r="G1219">
        <v>222</v>
      </c>
      <c r="H1219" s="27">
        <v>0</v>
      </c>
      <c r="I1219" s="27">
        <v>0</v>
      </c>
      <c r="J1219" s="27">
        <v>0</v>
      </c>
      <c r="K1219" s="27">
        <v>0</v>
      </c>
      <c r="L1219" s="27">
        <v>1</v>
      </c>
      <c r="M1219" s="27">
        <v>0</v>
      </c>
      <c r="N1219" s="27">
        <v>0</v>
      </c>
      <c r="O1219" s="27">
        <v>0</v>
      </c>
      <c r="P1219">
        <v>700</v>
      </c>
      <c r="Q1219">
        <v>560</v>
      </c>
      <c r="R1219" t="s">
        <v>87</v>
      </c>
      <c r="S1219" t="s">
        <v>89</v>
      </c>
      <c r="T1219">
        <v>0</v>
      </c>
      <c r="U1219">
        <v>0</v>
      </c>
      <c r="V1219">
        <v>0</v>
      </c>
      <c r="W1219">
        <v>0</v>
      </c>
      <c r="X1219">
        <v>1</v>
      </c>
      <c r="Y1219">
        <v>0</v>
      </c>
      <c r="Z1219">
        <v>0</v>
      </c>
      <c r="AA1219">
        <v>0</v>
      </c>
      <c r="AB1219">
        <v>0</v>
      </c>
      <c r="AC1219">
        <v>0</v>
      </c>
      <c r="AD1219">
        <v>0</v>
      </c>
      <c r="AE1219">
        <v>1</v>
      </c>
      <c r="AF1219" t="s">
        <v>132</v>
      </c>
    </row>
    <row r="1220" spans="1:32" s="25" customFormat="1" x14ac:dyDescent="0.25">
      <c r="A1220" s="25" t="s">
        <v>188</v>
      </c>
      <c r="B1220" s="25">
        <f t="shared" ref="B1220:B1272" si="34">B1219+10</f>
        <v>9750</v>
      </c>
      <c r="C1220" s="25" t="s">
        <v>12</v>
      </c>
      <c r="D1220" s="25">
        <v>0</v>
      </c>
      <c r="E1220" s="25">
        <v>0</v>
      </c>
      <c r="F1220" s="25">
        <v>256</v>
      </c>
      <c r="G1220" s="25">
        <v>222</v>
      </c>
      <c r="H1220" s="27">
        <v>0</v>
      </c>
      <c r="I1220" s="27">
        <v>0</v>
      </c>
      <c r="J1220" s="27">
        <v>0</v>
      </c>
      <c r="K1220" s="27">
        <v>0</v>
      </c>
      <c r="L1220" s="27">
        <v>1</v>
      </c>
      <c r="M1220" s="27">
        <v>0</v>
      </c>
      <c r="N1220" s="27">
        <v>0</v>
      </c>
      <c r="O1220" s="27">
        <v>0</v>
      </c>
      <c r="P1220" s="25">
        <v>700</v>
      </c>
      <c r="Q1220" s="25">
        <v>560</v>
      </c>
      <c r="R1220" s="25" t="s">
        <v>87</v>
      </c>
      <c r="S1220" s="25" t="s">
        <v>89</v>
      </c>
      <c r="T1220" s="25">
        <v>0</v>
      </c>
      <c r="U1220" s="25">
        <v>0</v>
      </c>
      <c r="V1220" s="25">
        <v>0</v>
      </c>
      <c r="W1220" s="25">
        <v>0</v>
      </c>
      <c r="X1220" s="25">
        <v>1</v>
      </c>
      <c r="Y1220" s="25">
        <v>0</v>
      </c>
      <c r="Z1220" s="25">
        <v>0</v>
      </c>
      <c r="AA1220" s="25">
        <v>0</v>
      </c>
      <c r="AB1220" s="25">
        <v>0</v>
      </c>
      <c r="AC1220" s="25">
        <v>0</v>
      </c>
      <c r="AD1220" s="25">
        <v>0</v>
      </c>
      <c r="AE1220" s="25">
        <v>1</v>
      </c>
      <c r="AF1220" s="25" t="s">
        <v>132</v>
      </c>
    </row>
    <row r="1221" spans="1:32" s="25" customFormat="1" x14ac:dyDescent="0.25">
      <c r="A1221" s="25" t="s">
        <v>188</v>
      </c>
      <c r="B1221" s="25">
        <f t="shared" si="34"/>
        <v>9760</v>
      </c>
      <c r="C1221" s="25" t="s">
        <v>12</v>
      </c>
      <c r="D1221" s="25">
        <v>0</v>
      </c>
      <c r="E1221" s="25">
        <v>0</v>
      </c>
      <c r="F1221" s="25">
        <v>256</v>
      </c>
      <c r="G1221" s="25">
        <v>222</v>
      </c>
      <c r="H1221" s="27">
        <v>0</v>
      </c>
      <c r="I1221" s="27">
        <v>0</v>
      </c>
      <c r="J1221" s="27">
        <v>0</v>
      </c>
      <c r="K1221" s="27">
        <v>0</v>
      </c>
      <c r="L1221" s="27">
        <v>1</v>
      </c>
      <c r="M1221" s="27">
        <v>0</v>
      </c>
      <c r="N1221" s="27">
        <v>0</v>
      </c>
      <c r="O1221" s="27">
        <v>0</v>
      </c>
      <c r="P1221" s="25">
        <v>700</v>
      </c>
      <c r="Q1221" s="25">
        <v>560</v>
      </c>
      <c r="R1221" s="25" t="s">
        <v>87</v>
      </c>
      <c r="S1221" s="25" t="s">
        <v>89</v>
      </c>
      <c r="T1221" s="25">
        <v>0</v>
      </c>
      <c r="U1221" s="25">
        <v>0</v>
      </c>
      <c r="V1221" s="25">
        <v>0</v>
      </c>
      <c r="W1221" s="25">
        <v>0</v>
      </c>
      <c r="X1221" s="25">
        <v>1</v>
      </c>
      <c r="Y1221" s="25">
        <v>0</v>
      </c>
      <c r="Z1221" s="25">
        <v>0</v>
      </c>
      <c r="AA1221" s="25">
        <v>0</v>
      </c>
      <c r="AB1221" s="25">
        <v>0</v>
      </c>
      <c r="AC1221" s="25">
        <v>0</v>
      </c>
      <c r="AD1221" s="25">
        <v>0</v>
      </c>
      <c r="AE1221" s="25">
        <v>1</v>
      </c>
      <c r="AF1221" s="25" t="s">
        <v>132</v>
      </c>
    </row>
    <row r="1222" spans="1:32" s="25" customFormat="1" x14ac:dyDescent="0.25">
      <c r="A1222" s="25" t="s">
        <v>188</v>
      </c>
      <c r="B1222" s="25">
        <f t="shared" si="34"/>
        <v>9770</v>
      </c>
      <c r="C1222" s="25" t="s">
        <v>12</v>
      </c>
      <c r="D1222" s="25">
        <v>0</v>
      </c>
      <c r="E1222" s="25">
        <v>0</v>
      </c>
      <c r="F1222" s="25">
        <v>256</v>
      </c>
      <c r="G1222" s="25">
        <v>222</v>
      </c>
      <c r="H1222" s="27">
        <v>0</v>
      </c>
      <c r="I1222" s="27">
        <v>0</v>
      </c>
      <c r="J1222" s="27">
        <v>0</v>
      </c>
      <c r="K1222" s="27">
        <v>0</v>
      </c>
      <c r="L1222" s="27">
        <v>1</v>
      </c>
      <c r="M1222" s="27">
        <v>0</v>
      </c>
      <c r="N1222" s="27">
        <v>0</v>
      </c>
      <c r="O1222" s="27">
        <v>0</v>
      </c>
      <c r="P1222" s="25">
        <v>700</v>
      </c>
      <c r="Q1222" s="25">
        <v>560</v>
      </c>
      <c r="R1222" s="25" t="s">
        <v>87</v>
      </c>
      <c r="S1222" s="25" t="s">
        <v>89</v>
      </c>
      <c r="T1222" s="25">
        <v>0</v>
      </c>
      <c r="U1222" s="25">
        <v>0</v>
      </c>
      <c r="V1222" s="25">
        <v>0</v>
      </c>
      <c r="W1222" s="25">
        <v>0</v>
      </c>
      <c r="X1222" s="25">
        <v>1</v>
      </c>
      <c r="Y1222" s="25">
        <v>0</v>
      </c>
      <c r="Z1222" s="25">
        <v>0</v>
      </c>
      <c r="AA1222" s="25">
        <v>0</v>
      </c>
      <c r="AB1222" s="25">
        <v>0</v>
      </c>
      <c r="AC1222" s="25">
        <v>0</v>
      </c>
      <c r="AD1222" s="25">
        <v>0</v>
      </c>
      <c r="AE1222" s="25">
        <v>1</v>
      </c>
      <c r="AF1222" s="25" t="s">
        <v>132</v>
      </c>
    </row>
    <row r="1223" spans="1:32" s="25" customFormat="1" x14ac:dyDescent="0.25">
      <c r="A1223" s="25" t="s">
        <v>188</v>
      </c>
      <c r="B1223" s="25">
        <f t="shared" si="34"/>
        <v>9780</v>
      </c>
      <c r="C1223" s="25" t="s">
        <v>12</v>
      </c>
      <c r="D1223" s="25">
        <v>0</v>
      </c>
      <c r="E1223" s="25">
        <v>0</v>
      </c>
      <c r="F1223" s="25">
        <v>256</v>
      </c>
      <c r="G1223" s="25">
        <v>222</v>
      </c>
      <c r="H1223" s="27">
        <v>0</v>
      </c>
      <c r="I1223" s="27">
        <v>0</v>
      </c>
      <c r="J1223" s="27">
        <v>0</v>
      </c>
      <c r="K1223" s="27">
        <v>0</v>
      </c>
      <c r="L1223" s="27">
        <v>1</v>
      </c>
      <c r="M1223" s="27">
        <v>0</v>
      </c>
      <c r="N1223" s="27">
        <v>0</v>
      </c>
      <c r="O1223" s="27">
        <v>0</v>
      </c>
      <c r="P1223" s="25">
        <v>700</v>
      </c>
      <c r="Q1223" s="25">
        <v>560</v>
      </c>
      <c r="R1223" s="25" t="s">
        <v>87</v>
      </c>
      <c r="S1223" s="25" t="s">
        <v>89</v>
      </c>
      <c r="T1223" s="25">
        <v>0</v>
      </c>
      <c r="U1223" s="25">
        <v>0</v>
      </c>
      <c r="V1223" s="25">
        <v>0</v>
      </c>
      <c r="W1223" s="25">
        <v>0</v>
      </c>
      <c r="X1223" s="25">
        <v>1</v>
      </c>
      <c r="Y1223" s="25">
        <v>0</v>
      </c>
      <c r="Z1223" s="25">
        <v>0</v>
      </c>
      <c r="AA1223" s="25">
        <v>0</v>
      </c>
      <c r="AB1223" s="25">
        <v>0</v>
      </c>
      <c r="AC1223" s="25">
        <v>0</v>
      </c>
      <c r="AD1223" s="25">
        <v>0</v>
      </c>
      <c r="AE1223" s="25">
        <v>1</v>
      </c>
      <c r="AF1223" s="25" t="s">
        <v>132</v>
      </c>
    </row>
    <row r="1224" spans="1:32" s="25" customFormat="1" x14ac:dyDescent="0.25">
      <c r="A1224" s="25" t="s">
        <v>188</v>
      </c>
      <c r="B1224" s="25">
        <f t="shared" si="34"/>
        <v>9790</v>
      </c>
      <c r="C1224" s="25" t="s">
        <v>12</v>
      </c>
      <c r="D1224" s="25">
        <v>0</v>
      </c>
      <c r="E1224" s="25">
        <v>0</v>
      </c>
      <c r="F1224" s="25">
        <v>256</v>
      </c>
      <c r="G1224" s="25">
        <v>222</v>
      </c>
      <c r="H1224" s="27">
        <v>0</v>
      </c>
      <c r="I1224" s="27">
        <v>0</v>
      </c>
      <c r="J1224" s="27">
        <v>0</v>
      </c>
      <c r="K1224" s="27">
        <v>0</v>
      </c>
      <c r="L1224" s="27">
        <v>1</v>
      </c>
      <c r="M1224" s="27">
        <v>0</v>
      </c>
      <c r="N1224" s="27">
        <v>0</v>
      </c>
      <c r="O1224" s="27">
        <v>0</v>
      </c>
      <c r="P1224" s="25">
        <v>700</v>
      </c>
      <c r="Q1224" s="25">
        <v>560</v>
      </c>
      <c r="R1224" s="25" t="s">
        <v>87</v>
      </c>
      <c r="S1224" s="25" t="s">
        <v>89</v>
      </c>
      <c r="T1224" s="25">
        <v>0</v>
      </c>
      <c r="U1224" s="25">
        <v>0</v>
      </c>
      <c r="V1224" s="25">
        <v>0</v>
      </c>
      <c r="W1224" s="25">
        <v>0</v>
      </c>
      <c r="X1224" s="25">
        <v>1</v>
      </c>
      <c r="Y1224" s="25">
        <v>0</v>
      </c>
      <c r="Z1224" s="25">
        <v>0</v>
      </c>
      <c r="AA1224" s="25">
        <v>0</v>
      </c>
      <c r="AB1224" s="25">
        <v>0</v>
      </c>
      <c r="AC1224" s="25">
        <v>0</v>
      </c>
      <c r="AD1224" s="25">
        <v>0</v>
      </c>
      <c r="AE1224" s="25">
        <v>1</v>
      </c>
      <c r="AF1224" s="25" t="s">
        <v>132</v>
      </c>
    </row>
    <row r="1225" spans="1:32" s="25" customFormat="1" x14ac:dyDescent="0.25">
      <c r="A1225" s="25" t="s">
        <v>188</v>
      </c>
      <c r="B1225" s="25">
        <f t="shared" si="34"/>
        <v>9800</v>
      </c>
      <c r="C1225" s="25" t="s">
        <v>12</v>
      </c>
      <c r="D1225" s="25">
        <v>0</v>
      </c>
      <c r="E1225" s="25">
        <v>0</v>
      </c>
      <c r="F1225" s="25">
        <v>256</v>
      </c>
      <c r="G1225" s="25">
        <v>222</v>
      </c>
      <c r="H1225" s="27">
        <v>0</v>
      </c>
      <c r="I1225" s="27">
        <v>0</v>
      </c>
      <c r="J1225" s="27">
        <v>0</v>
      </c>
      <c r="K1225" s="27">
        <v>0</v>
      </c>
      <c r="L1225" s="27">
        <v>1</v>
      </c>
      <c r="M1225" s="27">
        <v>0</v>
      </c>
      <c r="N1225" s="27">
        <v>0</v>
      </c>
      <c r="O1225" s="27">
        <v>0</v>
      </c>
      <c r="P1225" s="25">
        <v>700</v>
      </c>
      <c r="Q1225" s="25">
        <v>560</v>
      </c>
      <c r="R1225" s="25" t="s">
        <v>87</v>
      </c>
      <c r="S1225" s="25" t="s">
        <v>89</v>
      </c>
      <c r="T1225" s="25">
        <v>0</v>
      </c>
      <c r="U1225" s="25">
        <v>0</v>
      </c>
      <c r="V1225" s="25">
        <v>0</v>
      </c>
      <c r="W1225" s="25">
        <v>0</v>
      </c>
      <c r="X1225" s="25">
        <v>1</v>
      </c>
      <c r="Y1225" s="25">
        <v>0</v>
      </c>
      <c r="Z1225" s="25">
        <v>0</v>
      </c>
      <c r="AA1225" s="25">
        <v>0</v>
      </c>
      <c r="AB1225" s="25">
        <v>0</v>
      </c>
      <c r="AC1225" s="25">
        <v>0</v>
      </c>
      <c r="AD1225" s="25">
        <v>0</v>
      </c>
      <c r="AE1225" s="25">
        <v>1</v>
      </c>
      <c r="AF1225" s="25" t="s">
        <v>132</v>
      </c>
    </row>
    <row r="1226" spans="1:32" s="25" customFormat="1" x14ac:dyDescent="0.25">
      <c r="A1226" s="25" t="s">
        <v>188</v>
      </c>
      <c r="B1226" s="25">
        <f t="shared" si="34"/>
        <v>9810</v>
      </c>
      <c r="C1226" s="25" t="s">
        <v>12</v>
      </c>
      <c r="D1226" s="25">
        <v>0</v>
      </c>
      <c r="E1226" s="25">
        <v>0</v>
      </c>
      <c r="F1226" s="25">
        <v>256</v>
      </c>
      <c r="G1226" s="25">
        <v>222</v>
      </c>
      <c r="H1226" s="27">
        <v>0</v>
      </c>
      <c r="I1226" s="27">
        <v>0</v>
      </c>
      <c r="J1226" s="27">
        <v>0</v>
      </c>
      <c r="K1226" s="27">
        <v>0</v>
      </c>
      <c r="L1226" s="27">
        <v>1</v>
      </c>
      <c r="M1226" s="27">
        <v>0</v>
      </c>
      <c r="N1226" s="27">
        <v>0</v>
      </c>
      <c r="O1226" s="27">
        <v>0</v>
      </c>
      <c r="P1226" s="25">
        <v>700</v>
      </c>
      <c r="Q1226" s="25">
        <v>560</v>
      </c>
      <c r="R1226" s="25" t="s">
        <v>87</v>
      </c>
      <c r="S1226" s="25" t="s">
        <v>89</v>
      </c>
      <c r="T1226" s="25">
        <v>0</v>
      </c>
      <c r="U1226" s="25">
        <v>0</v>
      </c>
      <c r="V1226" s="25">
        <v>0</v>
      </c>
      <c r="W1226" s="25">
        <v>0</v>
      </c>
      <c r="X1226" s="25">
        <v>1</v>
      </c>
      <c r="Y1226" s="25">
        <v>0</v>
      </c>
      <c r="Z1226" s="25">
        <v>0</v>
      </c>
      <c r="AA1226" s="25">
        <v>0</v>
      </c>
      <c r="AB1226" s="25">
        <v>0</v>
      </c>
      <c r="AC1226" s="25">
        <v>0</v>
      </c>
      <c r="AD1226" s="25">
        <v>0</v>
      </c>
      <c r="AE1226" s="25">
        <v>1</v>
      </c>
      <c r="AF1226" s="25" t="s">
        <v>132</v>
      </c>
    </row>
    <row r="1227" spans="1:32" s="25" customFormat="1" x14ac:dyDescent="0.25">
      <c r="A1227" s="25" t="s">
        <v>188</v>
      </c>
      <c r="B1227" s="25">
        <f t="shared" si="34"/>
        <v>9820</v>
      </c>
      <c r="C1227" s="25" t="s">
        <v>12</v>
      </c>
      <c r="D1227" s="25">
        <v>0</v>
      </c>
      <c r="E1227" s="25">
        <v>0</v>
      </c>
      <c r="F1227" s="25">
        <v>256</v>
      </c>
      <c r="G1227" s="25">
        <v>222</v>
      </c>
      <c r="H1227" s="27">
        <v>0</v>
      </c>
      <c r="I1227" s="27">
        <v>0</v>
      </c>
      <c r="J1227" s="27">
        <v>0</v>
      </c>
      <c r="K1227" s="27">
        <v>0</v>
      </c>
      <c r="L1227" s="27">
        <v>1</v>
      </c>
      <c r="M1227" s="27">
        <v>0</v>
      </c>
      <c r="N1227" s="27">
        <v>0</v>
      </c>
      <c r="O1227" s="27">
        <v>0</v>
      </c>
      <c r="P1227" s="25">
        <v>700</v>
      </c>
      <c r="Q1227" s="25">
        <v>560</v>
      </c>
      <c r="R1227" s="25" t="s">
        <v>87</v>
      </c>
      <c r="S1227" s="25" t="s">
        <v>89</v>
      </c>
      <c r="T1227" s="25">
        <v>0</v>
      </c>
      <c r="U1227" s="25">
        <v>0</v>
      </c>
      <c r="V1227" s="25">
        <v>0</v>
      </c>
      <c r="W1227" s="25">
        <v>0</v>
      </c>
      <c r="X1227" s="25">
        <v>1</v>
      </c>
      <c r="Y1227" s="25">
        <v>0</v>
      </c>
      <c r="Z1227" s="25">
        <v>0</v>
      </c>
      <c r="AA1227" s="25">
        <v>0</v>
      </c>
      <c r="AB1227" s="25">
        <v>0</v>
      </c>
      <c r="AC1227" s="25">
        <v>0</v>
      </c>
      <c r="AD1227" s="25">
        <v>0</v>
      </c>
      <c r="AE1227" s="25">
        <v>1</v>
      </c>
      <c r="AF1227" s="25" t="s">
        <v>132</v>
      </c>
    </row>
    <row r="1228" spans="1:32" s="25" customFormat="1" x14ac:dyDescent="0.25">
      <c r="A1228" s="25" t="s">
        <v>188</v>
      </c>
      <c r="B1228" s="25">
        <f t="shared" si="34"/>
        <v>9830</v>
      </c>
      <c r="C1228" s="25" t="s">
        <v>12</v>
      </c>
      <c r="D1228" s="25">
        <v>0</v>
      </c>
      <c r="E1228" s="25">
        <v>0</v>
      </c>
      <c r="F1228" s="25">
        <v>256</v>
      </c>
      <c r="G1228" s="25">
        <v>222</v>
      </c>
      <c r="H1228" s="27">
        <v>0</v>
      </c>
      <c r="I1228" s="27">
        <v>0</v>
      </c>
      <c r="J1228" s="27">
        <v>0</v>
      </c>
      <c r="K1228" s="27">
        <v>0</v>
      </c>
      <c r="L1228" s="27">
        <v>1</v>
      </c>
      <c r="M1228" s="27">
        <v>0</v>
      </c>
      <c r="N1228" s="27">
        <v>0</v>
      </c>
      <c r="O1228" s="27">
        <v>0</v>
      </c>
      <c r="P1228" s="25">
        <v>700</v>
      </c>
      <c r="Q1228" s="25">
        <v>560</v>
      </c>
      <c r="R1228" s="25" t="s">
        <v>87</v>
      </c>
      <c r="S1228" s="25" t="s">
        <v>89</v>
      </c>
      <c r="T1228" s="25">
        <v>0</v>
      </c>
      <c r="U1228" s="25">
        <v>0</v>
      </c>
      <c r="V1228" s="25">
        <v>0</v>
      </c>
      <c r="W1228" s="25">
        <v>0</v>
      </c>
      <c r="X1228" s="25">
        <v>1</v>
      </c>
      <c r="Y1228" s="25">
        <v>0</v>
      </c>
      <c r="Z1228" s="25">
        <v>0</v>
      </c>
      <c r="AA1228" s="25">
        <v>0</v>
      </c>
      <c r="AB1228" s="25">
        <v>0</v>
      </c>
      <c r="AC1228" s="25">
        <v>0</v>
      </c>
      <c r="AD1228" s="25">
        <v>0</v>
      </c>
      <c r="AE1228" s="25">
        <v>1</v>
      </c>
      <c r="AF1228" s="25" t="s">
        <v>132</v>
      </c>
    </row>
    <row r="1229" spans="1:32" s="25" customFormat="1" x14ac:dyDescent="0.25">
      <c r="A1229" s="25" t="s">
        <v>188</v>
      </c>
      <c r="B1229" s="25">
        <f t="shared" si="34"/>
        <v>9840</v>
      </c>
      <c r="C1229" s="25" t="s">
        <v>12</v>
      </c>
      <c r="D1229" s="25">
        <v>0</v>
      </c>
      <c r="E1229" s="25">
        <v>0</v>
      </c>
      <c r="F1229" s="25">
        <v>256</v>
      </c>
      <c r="G1229" s="25">
        <v>222</v>
      </c>
      <c r="H1229" s="27">
        <v>0</v>
      </c>
      <c r="I1229" s="27">
        <v>0</v>
      </c>
      <c r="J1229" s="27">
        <v>0</v>
      </c>
      <c r="K1229" s="27">
        <v>0</v>
      </c>
      <c r="L1229" s="27">
        <v>1</v>
      </c>
      <c r="M1229" s="27">
        <v>0</v>
      </c>
      <c r="N1229" s="27">
        <v>0</v>
      </c>
      <c r="O1229" s="27">
        <v>0</v>
      </c>
      <c r="P1229" s="25">
        <v>700</v>
      </c>
      <c r="Q1229" s="25">
        <v>560</v>
      </c>
      <c r="R1229" s="25" t="s">
        <v>87</v>
      </c>
      <c r="S1229" s="25" t="s">
        <v>89</v>
      </c>
      <c r="T1229" s="25">
        <v>0</v>
      </c>
      <c r="U1229" s="25">
        <v>0</v>
      </c>
      <c r="V1229" s="25">
        <v>0</v>
      </c>
      <c r="W1229" s="25">
        <v>0</v>
      </c>
      <c r="X1229" s="25">
        <v>1</v>
      </c>
      <c r="Y1229" s="25">
        <v>0</v>
      </c>
      <c r="Z1229" s="25">
        <v>0</v>
      </c>
      <c r="AA1229" s="25">
        <v>0</v>
      </c>
      <c r="AB1229" s="25">
        <v>0</v>
      </c>
      <c r="AC1229" s="25">
        <v>0</v>
      </c>
      <c r="AD1229" s="25">
        <v>0</v>
      </c>
      <c r="AE1229" s="25">
        <v>1</v>
      </c>
      <c r="AF1229" s="25" t="s">
        <v>132</v>
      </c>
    </row>
    <row r="1230" spans="1:32" s="25" customFormat="1" x14ac:dyDescent="0.25">
      <c r="A1230" s="25" t="s">
        <v>188</v>
      </c>
      <c r="B1230" s="25">
        <f t="shared" si="34"/>
        <v>9850</v>
      </c>
      <c r="C1230" s="25" t="s">
        <v>12</v>
      </c>
      <c r="D1230" s="25">
        <v>0</v>
      </c>
      <c r="E1230" s="25">
        <v>0</v>
      </c>
      <c r="F1230" s="25">
        <v>256</v>
      </c>
      <c r="G1230" s="25">
        <v>222</v>
      </c>
      <c r="H1230" s="27">
        <v>0</v>
      </c>
      <c r="I1230" s="27">
        <v>0</v>
      </c>
      <c r="J1230" s="27">
        <v>0</v>
      </c>
      <c r="K1230" s="27">
        <v>0</v>
      </c>
      <c r="L1230" s="27">
        <v>1</v>
      </c>
      <c r="M1230" s="27">
        <v>0</v>
      </c>
      <c r="N1230" s="27">
        <v>0</v>
      </c>
      <c r="O1230" s="27">
        <v>0</v>
      </c>
      <c r="P1230" s="25">
        <v>700</v>
      </c>
      <c r="Q1230" s="25">
        <v>560</v>
      </c>
      <c r="R1230" s="25" t="s">
        <v>87</v>
      </c>
      <c r="S1230" s="25" t="s">
        <v>89</v>
      </c>
      <c r="T1230" s="25">
        <v>0</v>
      </c>
      <c r="U1230" s="25">
        <v>0</v>
      </c>
      <c r="V1230" s="25">
        <v>0</v>
      </c>
      <c r="W1230" s="25">
        <v>0</v>
      </c>
      <c r="X1230" s="25">
        <v>1</v>
      </c>
      <c r="Y1230" s="25">
        <v>0</v>
      </c>
      <c r="Z1230" s="25">
        <v>0</v>
      </c>
      <c r="AA1230" s="25">
        <v>0</v>
      </c>
      <c r="AB1230" s="25">
        <v>0</v>
      </c>
      <c r="AC1230" s="25">
        <v>0</v>
      </c>
      <c r="AD1230" s="25">
        <v>0</v>
      </c>
      <c r="AE1230" s="25">
        <v>1</v>
      </c>
      <c r="AF1230" s="25" t="s">
        <v>132</v>
      </c>
    </row>
    <row r="1231" spans="1:32" s="25" customFormat="1" x14ac:dyDescent="0.25">
      <c r="A1231" s="25" t="s">
        <v>188</v>
      </c>
      <c r="B1231" s="25">
        <f t="shared" si="34"/>
        <v>9860</v>
      </c>
      <c r="C1231" s="25" t="s">
        <v>12</v>
      </c>
      <c r="D1231" s="25">
        <v>0</v>
      </c>
      <c r="E1231" s="25">
        <v>0</v>
      </c>
      <c r="F1231" s="25">
        <v>256</v>
      </c>
      <c r="G1231" s="25">
        <v>222</v>
      </c>
      <c r="H1231" s="27">
        <v>0</v>
      </c>
      <c r="I1231" s="27">
        <v>0</v>
      </c>
      <c r="J1231" s="27">
        <v>0</v>
      </c>
      <c r="K1231" s="27">
        <v>0</v>
      </c>
      <c r="L1231" s="27">
        <v>1</v>
      </c>
      <c r="M1231" s="27">
        <v>0</v>
      </c>
      <c r="N1231" s="27">
        <v>0</v>
      </c>
      <c r="O1231" s="27">
        <v>0</v>
      </c>
      <c r="P1231" s="25">
        <v>700</v>
      </c>
      <c r="Q1231" s="25">
        <v>560</v>
      </c>
      <c r="R1231" s="25" t="s">
        <v>87</v>
      </c>
      <c r="S1231" s="25" t="s">
        <v>89</v>
      </c>
      <c r="T1231" s="25">
        <v>0</v>
      </c>
      <c r="U1231" s="25">
        <v>0</v>
      </c>
      <c r="V1231" s="25">
        <v>0</v>
      </c>
      <c r="W1231" s="25">
        <v>0</v>
      </c>
      <c r="X1231" s="25">
        <v>1</v>
      </c>
      <c r="Y1231" s="25">
        <v>0</v>
      </c>
      <c r="Z1231" s="25">
        <v>0</v>
      </c>
      <c r="AA1231" s="25">
        <v>0</v>
      </c>
      <c r="AB1231" s="25">
        <v>0</v>
      </c>
      <c r="AC1231" s="25">
        <v>0</v>
      </c>
      <c r="AD1231" s="25">
        <v>0</v>
      </c>
      <c r="AE1231" s="25">
        <v>1</v>
      </c>
      <c r="AF1231" s="25" t="s">
        <v>132</v>
      </c>
    </row>
    <row r="1232" spans="1:32" s="25" customFormat="1" x14ac:dyDescent="0.25">
      <c r="A1232" s="25" t="s">
        <v>188</v>
      </c>
      <c r="B1232" s="25">
        <f t="shared" si="34"/>
        <v>9870</v>
      </c>
      <c r="C1232" s="25" t="s">
        <v>12</v>
      </c>
      <c r="D1232" s="25">
        <v>0</v>
      </c>
      <c r="E1232" s="25">
        <v>0</v>
      </c>
      <c r="F1232" s="25">
        <v>256</v>
      </c>
      <c r="G1232" s="25">
        <v>222</v>
      </c>
      <c r="H1232" s="27">
        <v>0</v>
      </c>
      <c r="I1232" s="27">
        <v>0</v>
      </c>
      <c r="J1232" s="27">
        <v>0</v>
      </c>
      <c r="K1232" s="27">
        <v>0</v>
      </c>
      <c r="L1232" s="27">
        <v>1</v>
      </c>
      <c r="M1232" s="27">
        <v>0</v>
      </c>
      <c r="N1232" s="27">
        <v>0</v>
      </c>
      <c r="O1232" s="27">
        <v>0</v>
      </c>
      <c r="P1232" s="25">
        <v>700</v>
      </c>
      <c r="Q1232" s="25">
        <v>560</v>
      </c>
      <c r="R1232" s="25" t="s">
        <v>87</v>
      </c>
      <c r="S1232" s="25" t="s">
        <v>89</v>
      </c>
      <c r="T1232" s="25">
        <v>0</v>
      </c>
      <c r="U1232" s="25">
        <v>0</v>
      </c>
      <c r="V1232" s="25">
        <v>0</v>
      </c>
      <c r="W1232" s="25">
        <v>0</v>
      </c>
      <c r="X1232" s="25">
        <v>1</v>
      </c>
      <c r="Y1232" s="25">
        <v>0</v>
      </c>
      <c r="Z1232" s="25">
        <v>0</v>
      </c>
      <c r="AA1232" s="25">
        <v>0</v>
      </c>
      <c r="AB1232" s="25">
        <v>0</v>
      </c>
      <c r="AC1232" s="25">
        <v>0</v>
      </c>
      <c r="AD1232" s="25">
        <v>0</v>
      </c>
      <c r="AE1232" s="25">
        <v>1</v>
      </c>
      <c r="AF1232" s="25" t="s">
        <v>132</v>
      </c>
    </row>
    <row r="1233" spans="1:32" s="25" customFormat="1" x14ac:dyDescent="0.25">
      <c r="A1233" s="25" t="s">
        <v>188</v>
      </c>
      <c r="B1233" s="25">
        <f t="shared" si="34"/>
        <v>9880</v>
      </c>
      <c r="C1233" s="25" t="s">
        <v>12</v>
      </c>
      <c r="D1233" s="25">
        <v>0</v>
      </c>
      <c r="E1233" s="25">
        <v>0</v>
      </c>
      <c r="F1233" s="25">
        <v>256</v>
      </c>
      <c r="G1233" s="25">
        <v>222</v>
      </c>
      <c r="H1233" s="27">
        <v>0</v>
      </c>
      <c r="I1233" s="27">
        <v>0</v>
      </c>
      <c r="J1233" s="27">
        <v>0</v>
      </c>
      <c r="K1233" s="27">
        <v>0</v>
      </c>
      <c r="L1233" s="27">
        <v>1</v>
      </c>
      <c r="M1233" s="27">
        <v>0</v>
      </c>
      <c r="N1233" s="27">
        <v>0</v>
      </c>
      <c r="O1233" s="27">
        <v>0</v>
      </c>
      <c r="P1233" s="25">
        <v>700</v>
      </c>
      <c r="Q1233" s="25">
        <v>560</v>
      </c>
      <c r="R1233" s="25" t="s">
        <v>87</v>
      </c>
      <c r="S1233" s="25" t="s">
        <v>89</v>
      </c>
      <c r="T1233" s="25">
        <v>0</v>
      </c>
      <c r="U1233" s="25">
        <v>0</v>
      </c>
      <c r="V1233" s="25">
        <v>0</v>
      </c>
      <c r="W1233" s="25">
        <v>0</v>
      </c>
      <c r="X1233" s="25">
        <v>1</v>
      </c>
      <c r="Y1233" s="25">
        <v>0</v>
      </c>
      <c r="Z1233" s="25">
        <v>0</v>
      </c>
      <c r="AA1233" s="25">
        <v>0</v>
      </c>
      <c r="AB1233" s="25">
        <v>0</v>
      </c>
      <c r="AC1233" s="25">
        <v>0</v>
      </c>
      <c r="AD1233" s="25">
        <v>0</v>
      </c>
      <c r="AE1233" s="25">
        <v>1</v>
      </c>
      <c r="AF1233" s="25" t="s">
        <v>132</v>
      </c>
    </row>
    <row r="1234" spans="1:32" s="25" customFormat="1" x14ac:dyDescent="0.25">
      <c r="A1234" s="25" t="s">
        <v>188</v>
      </c>
      <c r="B1234" s="25">
        <f t="shared" si="34"/>
        <v>9890</v>
      </c>
      <c r="C1234" s="25" t="s">
        <v>12</v>
      </c>
      <c r="D1234" s="25">
        <v>0</v>
      </c>
      <c r="E1234" s="25">
        <v>0</v>
      </c>
      <c r="F1234" s="25">
        <v>256</v>
      </c>
      <c r="G1234" s="25">
        <v>222</v>
      </c>
      <c r="H1234" s="27">
        <v>0</v>
      </c>
      <c r="I1234" s="27">
        <v>0</v>
      </c>
      <c r="J1234" s="27">
        <v>0</v>
      </c>
      <c r="K1234" s="27">
        <v>0</v>
      </c>
      <c r="L1234" s="27">
        <v>1</v>
      </c>
      <c r="M1234" s="27">
        <v>0</v>
      </c>
      <c r="N1234" s="27">
        <v>0</v>
      </c>
      <c r="O1234" s="27">
        <v>0</v>
      </c>
      <c r="P1234" s="25">
        <v>700</v>
      </c>
      <c r="Q1234" s="25">
        <v>560</v>
      </c>
      <c r="R1234" s="25" t="s">
        <v>87</v>
      </c>
      <c r="S1234" s="25" t="s">
        <v>89</v>
      </c>
      <c r="T1234" s="25">
        <v>0</v>
      </c>
      <c r="U1234" s="25">
        <v>0</v>
      </c>
      <c r="V1234" s="25">
        <v>0</v>
      </c>
      <c r="W1234" s="25">
        <v>0</v>
      </c>
      <c r="X1234" s="25">
        <v>1</v>
      </c>
      <c r="Y1234" s="25">
        <v>0</v>
      </c>
      <c r="Z1234" s="25">
        <v>0</v>
      </c>
      <c r="AA1234" s="25">
        <v>0</v>
      </c>
      <c r="AB1234" s="25">
        <v>0</v>
      </c>
      <c r="AC1234" s="25">
        <v>0</v>
      </c>
      <c r="AD1234" s="25">
        <v>0</v>
      </c>
      <c r="AE1234" s="25">
        <v>1</v>
      </c>
      <c r="AF1234" s="25" t="s">
        <v>132</v>
      </c>
    </row>
    <row r="1235" spans="1:32" s="25" customFormat="1" x14ac:dyDescent="0.25">
      <c r="A1235" s="25" t="s">
        <v>188</v>
      </c>
      <c r="B1235" s="25">
        <f t="shared" si="34"/>
        <v>9900</v>
      </c>
      <c r="C1235" s="25" t="s">
        <v>12</v>
      </c>
      <c r="D1235" s="25">
        <v>0</v>
      </c>
      <c r="E1235" s="25">
        <v>0</v>
      </c>
      <c r="F1235" s="25">
        <v>256</v>
      </c>
      <c r="G1235" s="25">
        <v>222</v>
      </c>
      <c r="H1235" s="27">
        <v>0</v>
      </c>
      <c r="I1235" s="27">
        <v>0</v>
      </c>
      <c r="J1235" s="27">
        <v>0</v>
      </c>
      <c r="K1235" s="27">
        <v>0</v>
      </c>
      <c r="L1235" s="27">
        <v>1</v>
      </c>
      <c r="M1235" s="27">
        <v>0</v>
      </c>
      <c r="N1235" s="27">
        <v>0</v>
      </c>
      <c r="O1235" s="27">
        <v>0</v>
      </c>
      <c r="P1235" s="25">
        <v>700</v>
      </c>
      <c r="Q1235" s="25">
        <v>560</v>
      </c>
      <c r="R1235" s="25" t="s">
        <v>87</v>
      </c>
      <c r="S1235" s="25" t="s">
        <v>89</v>
      </c>
      <c r="T1235" s="25">
        <v>0</v>
      </c>
      <c r="U1235" s="25">
        <v>0</v>
      </c>
      <c r="V1235" s="25">
        <v>0</v>
      </c>
      <c r="W1235" s="25">
        <v>0</v>
      </c>
      <c r="X1235" s="25">
        <v>1</v>
      </c>
      <c r="Y1235" s="25">
        <v>0</v>
      </c>
      <c r="Z1235" s="25">
        <v>0</v>
      </c>
      <c r="AA1235" s="25">
        <v>0</v>
      </c>
      <c r="AB1235" s="25">
        <v>0</v>
      </c>
      <c r="AC1235" s="25">
        <v>0</v>
      </c>
      <c r="AD1235" s="25">
        <v>0</v>
      </c>
      <c r="AE1235" s="25">
        <v>1</v>
      </c>
      <c r="AF1235" s="25" t="s">
        <v>132</v>
      </c>
    </row>
    <row r="1236" spans="1:32" s="25" customFormat="1" x14ac:dyDescent="0.25">
      <c r="A1236" s="25" t="s">
        <v>188</v>
      </c>
      <c r="B1236" s="25">
        <f t="shared" si="34"/>
        <v>9910</v>
      </c>
      <c r="C1236" s="25" t="s">
        <v>12</v>
      </c>
      <c r="D1236" s="25">
        <v>0</v>
      </c>
      <c r="E1236" s="25">
        <v>0</v>
      </c>
      <c r="F1236" s="25">
        <v>256</v>
      </c>
      <c r="G1236" s="25">
        <v>222</v>
      </c>
      <c r="H1236" s="27">
        <v>0</v>
      </c>
      <c r="I1236" s="27">
        <v>0</v>
      </c>
      <c r="J1236" s="27">
        <v>0</v>
      </c>
      <c r="K1236" s="27">
        <v>0</v>
      </c>
      <c r="L1236" s="27">
        <v>1</v>
      </c>
      <c r="M1236" s="27">
        <v>0</v>
      </c>
      <c r="N1236" s="27">
        <v>0</v>
      </c>
      <c r="O1236" s="27">
        <v>0</v>
      </c>
      <c r="P1236" s="25">
        <v>700</v>
      </c>
      <c r="Q1236" s="25">
        <v>560</v>
      </c>
      <c r="R1236" s="25" t="s">
        <v>87</v>
      </c>
      <c r="S1236" s="25" t="s">
        <v>89</v>
      </c>
      <c r="T1236" s="25">
        <v>0</v>
      </c>
      <c r="U1236" s="25">
        <v>0</v>
      </c>
      <c r="V1236" s="25">
        <v>0</v>
      </c>
      <c r="W1236" s="25">
        <v>0</v>
      </c>
      <c r="X1236" s="25">
        <v>1</v>
      </c>
      <c r="Y1236" s="25">
        <v>0</v>
      </c>
      <c r="Z1236" s="25">
        <v>0</v>
      </c>
      <c r="AA1236" s="25">
        <v>0</v>
      </c>
      <c r="AB1236" s="25">
        <v>0</v>
      </c>
      <c r="AC1236" s="25">
        <v>0</v>
      </c>
      <c r="AD1236" s="25">
        <v>0</v>
      </c>
      <c r="AE1236" s="25">
        <v>1</v>
      </c>
      <c r="AF1236" s="25" t="s">
        <v>132</v>
      </c>
    </row>
    <row r="1237" spans="1:32" s="25" customFormat="1" x14ac:dyDescent="0.25">
      <c r="A1237" s="25" t="s">
        <v>188</v>
      </c>
      <c r="B1237" s="25">
        <f t="shared" si="34"/>
        <v>9920</v>
      </c>
      <c r="C1237" s="25" t="s">
        <v>12</v>
      </c>
      <c r="D1237" s="25">
        <v>0</v>
      </c>
      <c r="E1237" s="25">
        <v>0</v>
      </c>
      <c r="F1237" s="25">
        <v>256</v>
      </c>
      <c r="G1237" s="25">
        <v>222</v>
      </c>
      <c r="H1237" s="27">
        <v>0</v>
      </c>
      <c r="I1237" s="27">
        <v>0</v>
      </c>
      <c r="J1237" s="27">
        <v>0</v>
      </c>
      <c r="K1237" s="27">
        <v>0</v>
      </c>
      <c r="L1237" s="27">
        <v>1</v>
      </c>
      <c r="M1237" s="27">
        <v>0</v>
      </c>
      <c r="N1237" s="27">
        <v>0</v>
      </c>
      <c r="O1237" s="27">
        <v>0</v>
      </c>
      <c r="P1237" s="25">
        <v>700</v>
      </c>
      <c r="Q1237" s="25">
        <v>560</v>
      </c>
      <c r="R1237" s="25" t="s">
        <v>87</v>
      </c>
      <c r="S1237" s="25" t="s">
        <v>89</v>
      </c>
      <c r="T1237" s="25">
        <v>0</v>
      </c>
      <c r="U1237" s="25">
        <v>0</v>
      </c>
      <c r="V1237" s="25">
        <v>0</v>
      </c>
      <c r="W1237" s="25">
        <v>0</v>
      </c>
      <c r="X1237" s="25">
        <v>1</v>
      </c>
      <c r="Y1237" s="25">
        <v>0</v>
      </c>
      <c r="Z1237" s="25">
        <v>0</v>
      </c>
      <c r="AA1237" s="25">
        <v>0</v>
      </c>
      <c r="AB1237" s="25">
        <v>0</v>
      </c>
      <c r="AC1237" s="25">
        <v>0</v>
      </c>
      <c r="AD1237" s="25">
        <v>0</v>
      </c>
      <c r="AE1237" s="25">
        <v>1</v>
      </c>
      <c r="AF1237" s="25" t="s">
        <v>132</v>
      </c>
    </row>
    <row r="1238" spans="1:32" s="25" customFormat="1" x14ac:dyDescent="0.25">
      <c r="A1238" s="25" t="s">
        <v>188</v>
      </c>
      <c r="B1238" s="25">
        <f t="shared" si="34"/>
        <v>9930</v>
      </c>
      <c r="C1238" s="25" t="s">
        <v>12</v>
      </c>
      <c r="D1238" s="25">
        <v>0</v>
      </c>
      <c r="E1238" s="25">
        <v>0</v>
      </c>
      <c r="F1238" s="25">
        <v>256</v>
      </c>
      <c r="G1238" s="25">
        <v>222</v>
      </c>
      <c r="H1238" s="27">
        <v>0</v>
      </c>
      <c r="I1238" s="27">
        <v>0</v>
      </c>
      <c r="J1238" s="27">
        <v>0</v>
      </c>
      <c r="K1238" s="27">
        <v>0</v>
      </c>
      <c r="L1238" s="27">
        <v>1</v>
      </c>
      <c r="M1238" s="27">
        <v>0</v>
      </c>
      <c r="N1238" s="27">
        <v>0</v>
      </c>
      <c r="O1238" s="27">
        <v>0</v>
      </c>
      <c r="P1238" s="25">
        <v>700</v>
      </c>
      <c r="Q1238" s="25">
        <v>560</v>
      </c>
      <c r="R1238" s="25" t="s">
        <v>87</v>
      </c>
      <c r="S1238" s="25" t="s">
        <v>89</v>
      </c>
      <c r="T1238" s="25">
        <v>0</v>
      </c>
      <c r="U1238" s="25">
        <v>0</v>
      </c>
      <c r="V1238" s="25">
        <v>0</v>
      </c>
      <c r="W1238" s="25">
        <v>0</v>
      </c>
      <c r="X1238" s="25">
        <v>1</v>
      </c>
      <c r="Y1238" s="25">
        <v>0</v>
      </c>
      <c r="Z1238" s="25">
        <v>0</v>
      </c>
      <c r="AA1238" s="25">
        <v>0</v>
      </c>
      <c r="AB1238" s="25">
        <v>0</v>
      </c>
      <c r="AC1238" s="25">
        <v>0</v>
      </c>
      <c r="AD1238" s="25">
        <v>0</v>
      </c>
      <c r="AE1238" s="25">
        <v>1</v>
      </c>
      <c r="AF1238" s="25" t="s">
        <v>132</v>
      </c>
    </row>
    <row r="1239" spans="1:32" s="25" customFormat="1" x14ac:dyDescent="0.25">
      <c r="A1239" s="25" t="s">
        <v>188</v>
      </c>
      <c r="B1239" s="25">
        <f t="shared" si="34"/>
        <v>9940</v>
      </c>
      <c r="C1239" s="25" t="s">
        <v>12</v>
      </c>
      <c r="D1239" s="25">
        <v>0</v>
      </c>
      <c r="E1239" s="25">
        <v>0</v>
      </c>
      <c r="F1239" s="25">
        <v>256</v>
      </c>
      <c r="G1239" s="25">
        <v>222</v>
      </c>
      <c r="H1239" s="27">
        <v>0</v>
      </c>
      <c r="I1239" s="27">
        <v>0</v>
      </c>
      <c r="J1239" s="27">
        <v>0</v>
      </c>
      <c r="K1239" s="27">
        <v>0</v>
      </c>
      <c r="L1239" s="27">
        <v>1</v>
      </c>
      <c r="M1239" s="27">
        <v>0</v>
      </c>
      <c r="N1239" s="27">
        <v>0</v>
      </c>
      <c r="O1239" s="27">
        <v>0</v>
      </c>
      <c r="P1239" s="25">
        <v>700</v>
      </c>
      <c r="Q1239" s="25">
        <v>560</v>
      </c>
      <c r="R1239" s="25" t="s">
        <v>87</v>
      </c>
      <c r="S1239" s="25" t="s">
        <v>89</v>
      </c>
      <c r="T1239" s="25">
        <v>0</v>
      </c>
      <c r="U1239" s="25">
        <v>0</v>
      </c>
      <c r="V1239" s="25">
        <v>0</v>
      </c>
      <c r="W1239" s="25">
        <v>0</v>
      </c>
      <c r="X1239" s="25">
        <v>1</v>
      </c>
      <c r="Y1239" s="25">
        <v>0</v>
      </c>
      <c r="Z1239" s="25">
        <v>0</v>
      </c>
      <c r="AA1239" s="25">
        <v>0</v>
      </c>
      <c r="AB1239" s="25">
        <v>0</v>
      </c>
      <c r="AC1239" s="25">
        <v>0</v>
      </c>
      <c r="AD1239" s="25">
        <v>0</v>
      </c>
      <c r="AE1239" s="25">
        <v>1</v>
      </c>
      <c r="AF1239" s="25" t="s">
        <v>132</v>
      </c>
    </row>
    <row r="1240" spans="1:32" s="25" customFormat="1" x14ac:dyDescent="0.25">
      <c r="A1240" s="25" t="s">
        <v>188</v>
      </c>
      <c r="B1240" s="25">
        <f t="shared" si="34"/>
        <v>9950</v>
      </c>
      <c r="C1240" s="25" t="s">
        <v>12</v>
      </c>
      <c r="D1240" s="25">
        <v>0</v>
      </c>
      <c r="E1240" s="25">
        <v>0</v>
      </c>
      <c r="F1240" s="25">
        <v>256</v>
      </c>
      <c r="G1240" s="25">
        <v>222</v>
      </c>
      <c r="H1240" s="27">
        <v>0</v>
      </c>
      <c r="I1240" s="27">
        <v>0</v>
      </c>
      <c r="J1240" s="27">
        <v>0</v>
      </c>
      <c r="K1240" s="27">
        <v>0</v>
      </c>
      <c r="L1240" s="27">
        <v>1</v>
      </c>
      <c r="M1240" s="27">
        <v>0</v>
      </c>
      <c r="N1240" s="27">
        <v>0</v>
      </c>
      <c r="O1240" s="27">
        <v>0</v>
      </c>
      <c r="P1240" s="25">
        <v>700</v>
      </c>
      <c r="Q1240" s="25">
        <v>560</v>
      </c>
      <c r="R1240" s="25" t="s">
        <v>87</v>
      </c>
      <c r="S1240" s="25" t="s">
        <v>89</v>
      </c>
      <c r="T1240" s="25">
        <v>0</v>
      </c>
      <c r="U1240" s="25">
        <v>0</v>
      </c>
      <c r="V1240" s="25">
        <v>0</v>
      </c>
      <c r="W1240" s="25">
        <v>0</v>
      </c>
      <c r="X1240" s="25">
        <v>1</v>
      </c>
      <c r="Y1240" s="25">
        <v>0</v>
      </c>
      <c r="Z1240" s="25">
        <v>0</v>
      </c>
      <c r="AA1240" s="25">
        <v>0</v>
      </c>
      <c r="AB1240" s="25">
        <v>0</v>
      </c>
      <c r="AC1240" s="25">
        <v>0</v>
      </c>
      <c r="AD1240" s="25">
        <v>0</v>
      </c>
      <c r="AE1240" s="25">
        <v>1</v>
      </c>
      <c r="AF1240" s="25" t="s">
        <v>132</v>
      </c>
    </row>
    <row r="1241" spans="1:32" s="25" customFormat="1" x14ac:dyDescent="0.25">
      <c r="A1241" s="25" t="s">
        <v>188</v>
      </c>
      <c r="B1241" s="25">
        <f t="shared" si="34"/>
        <v>9960</v>
      </c>
      <c r="C1241" s="25" t="s">
        <v>12</v>
      </c>
      <c r="D1241" s="25">
        <v>0</v>
      </c>
      <c r="E1241" s="25">
        <v>0</v>
      </c>
      <c r="F1241" s="25">
        <v>256</v>
      </c>
      <c r="G1241" s="25">
        <v>222</v>
      </c>
      <c r="H1241" s="27">
        <v>0</v>
      </c>
      <c r="I1241" s="27">
        <v>0</v>
      </c>
      <c r="J1241" s="27">
        <v>0</v>
      </c>
      <c r="K1241" s="27">
        <v>0</v>
      </c>
      <c r="L1241" s="27">
        <v>1</v>
      </c>
      <c r="M1241" s="27">
        <v>0</v>
      </c>
      <c r="N1241" s="27">
        <v>0</v>
      </c>
      <c r="O1241" s="27">
        <v>0</v>
      </c>
      <c r="P1241" s="25">
        <v>700</v>
      </c>
      <c r="Q1241" s="25">
        <v>560</v>
      </c>
      <c r="R1241" s="25" t="s">
        <v>87</v>
      </c>
      <c r="S1241" s="25" t="s">
        <v>89</v>
      </c>
      <c r="T1241" s="25">
        <v>0</v>
      </c>
      <c r="U1241" s="25">
        <v>0</v>
      </c>
      <c r="V1241" s="25">
        <v>0</v>
      </c>
      <c r="W1241" s="25">
        <v>0</v>
      </c>
      <c r="X1241" s="25">
        <v>1</v>
      </c>
      <c r="Y1241" s="25">
        <v>0</v>
      </c>
      <c r="Z1241" s="25">
        <v>0</v>
      </c>
      <c r="AA1241" s="25">
        <v>0</v>
      </c>
      <c r="AB1241" s="25">
        <v>0</v>
      </c>
      <c r="AC1241" s="25">
        <v>0</v>
      </c>
      <c r="AD1241" s="25">
        <v>0</v>
      </c>
      <c r="AE1241" s="25">
        <v>1</v>
      </c>
      <c r="AF1241" s="25" t="s">
        <v>132</v>
      </c>
    </row>
    <row r="1242" spans="1:32" s="25" customFormat="1" x14ac:dyDescent="0.25">
      <c r="A1242" s="25" t="s">
        <v>188</v>
      </c>
      <c r="B1242" s="25">
        <f t="shared" si="34"/>
        <v>9970</v>
      </c>
      <c r="C1242" s="25" t="s">
        <v>12</v>
      </c>
      <c r="D1242" s="25">
        <v>0</v>
      </c>
      <c r="E1242" s="25">
        <v>0</v>
      </c>
      <c r="F1242" s="25">
        <v>256</v>
      </c>
      <c r="G1242" s="25">
        <v>222</v>
      </c>
      <c r="H1242" s="27">
        <v>0</v>
      </c>
      <c r="I1242" s="27">
        <v>0</v>
      </c>
      <c r="J1242" s="27">
        <v>0</v>
      </c>
      <c r="K1242" s="27">
        <v>0</v>
      </c>
      <c r="L1242" s="27">
        <v>1</v>
      </c>
      <c r="M1242" s="27">
        <v>0</v>
      </c>
      <c r="N1242" s="27">
        <v>0</v>
      </c>
      <c r="O1242" s="27">
        <v>0</v>
      </c>
      <c r="P1242" s="25">
        <v>700</v>
      </c>
      <c r="Q1242" s="25">
        <v>560</v>
      </c>
      <c r="R1242" s="25" t="s">
        <v>87</v>
      </c>
      <c r="S1242" s="25" t="s">
        <v>89</v>
      </c>
      <c r="T1242" s="25">
        <v>0</v>
      </c>
      <c r="U1242" s="25">
        <v>0</v>
      </c>
      <c r="V1242" s="25">
        <v>0</v>
      </c>
      <c r="W1242" s="25">
        <v>0</v>
      </c>
      <c r="X1242" s="25">
        <v>1</v>
      </c>
      <c r="Y1242" s="25">
        <v>0</v>
      </c>
      <c r="Z1242" s="25">
        <v>0</v>
      </c>
      <c r="AA1242" s="25">
        <v>0</v>
      </c>
      <c r="AB1242" s="25">
        <v>0</v>
      </c>
      <c r="AC1242" s="25">
        <v>0</v>
      </c>
      <c r="AD1242" s="25">
        <v>0</v>
      </c>
      <c r="AE1242" s="25">
        <v>1</v>
      </c>
      <c r="AF1242" s="25" t="s">
        <v>132</v>
      </c>
    </row>
    <row r="1243" spans="1:32" s="25" customFormat="1" x14ac:dyDescent="0.25">
      <c r="A1243" s="25" t="s">
        <v>188</v>
      </c>
      <c r="B1243" s="25">
        <f t="shared" si="34"/>
        <v>9980</v>
      </c>
      <c r="C1243" s="25" t="s">
        <v>12</v>
      </c>
      <c r="D1243" s="25">
        <v>0</v>
      </c>
      <c r="E1243" s="25">
        <v>0</v>
      </c>
      <c r="F1243" s="25">
        <v>256</v>
      </c>
      <c r="G1243" s="25">
        <v>222</v>
      </c>
      <c r="H1243" s="27">
        <v>0</v>
      </c>
      <c r="I1243" s="27">
        <v>0</v>
      </c>
      <c r="J1243" s="27">
        <v>0</v>
      </c>
      <c r="K1243" s="27">
        <v>0</v>
      </c>
      <c r="L1243" s="27">
        <v>1</v>
      </c>
      <c r="M1243" s="27">
        <v>0</v>
      </c>
      <c r="N1243" s="27">
        <v>0</v>
      </c>
      <c r="O1243" s="27">
        <v>0</v>
      </c>
      <c r="P1243" s="25">
        <v>700</v>
      </c>
      <c r="Q1243" s="25">
        <v>560</v>
      </c>
      <c r="R1243" s="25" t="s">
        <v>87</v>
      </c>
      <c r="S1243" s="25" t="s">
        <v>89</v>
      </c>
      <c r="T1243" s="25">
        <v>0</v>
      </c>
      <c r="U1243" s="25">
        <v>0</v>
      </c>
      <c r="V1243" s="25">
        <v>0</v>
      </c>
      <c r="W1243" s="25">
        <v>0</v>
      </c>
      <c r="X1243" s="25">
        <v>1</v>
      </c>
      <c r="Y1243" s="25">
        <v>0</v>
      </c>
      <c r="Z1243" s="25">
        <v>0</v>
      </c>
      <c r="AA1243" s="25">
        <v>0</v>
      </c>
      <c r="AB1243" s="25">
        <v>0</v>
      </c>
      <c r="AC1243" s="25">
        <v>0</v>
      </c>
      <c r="AD1243" s="25">
        <v>0</v>
      </c>
      <c r="AE1243" s="25">
        <v>1</v>
      </c>
      <c r="AF1243" s="25" t="s">
        <v>132</v>
      </c>
    </row>
    <row r="1244" spans="1:32" s="25" customFormat="1" x14ac:dyDescent="0.25">
      <c r="A1244" s="25" t="s">
        <v>188</v>
      </c>
      <c r="B1244" s="25">
        <f t="shared" si="34"/>
        <v>9990</v>
      </c>
      <c r="C1244" s="25" t="s">
        <v>12</v>
      </c>
      <c r="D1244" s="25">
        <v>0</v>
      </c>
      <c r="E1244" s="25">
        <v>0</v>
      </c>
      <c r="F1244" s="25">
        <v>256</v>
      </c>
      <c r="G1244" s="25">
        <v>222</v>
      </c>
      <c r="H1244" s="27">
        <v>0</v>
      </c>
      <c r="I1244" s="27">
        <v>0</v>
      </c>
      <c r="J1244" s="27">
        <v>0</v>
      </c>
      <c r="K1244" s="27">
        <v>0</v>
      </c>
      <c r="L1244" s="27">
        <v>1</v>
      </c>
      <c r="M1244" s="27">
        <v>0</v>
      </c>
      <c r="N1244" s="27">
        <v>0</v>
      </c>
      <c r="O1244" s="27">
        <v>0</v>
      </c>
      <c r="P1244" s="25">
        <v>700</v>
      </c>
      <c r="Q1244" s="25">
        <v>560</v>
      </c>
      <c r="R1244" s="25" t="s">
        <v>87</v>
      </c>
      <c r="S1244" s="25" t="s">
        <v>89</v>
      </c>
      <c r="T1244" s="25">
        <v>0</v>
      </c>
      <c r="U1244" s="25">
        <v>0</v>
      </c>
      <c r="V1244" s="25">
        <v>0</v>
      </c>
      <c r="W1244" s="25">
        <v>0</v>
      </c>
      <c r="X1244" s="25">
        <v>1</v>
      </c>
      <c r="Y1244" s="25">
        <v>0</v>
      </c>
      <c r="Z1244" s="25">
        <v>0</v>
      </c>
      <c r="AA1244" s="25">
        <v>0</v>
      </c>
      <c r="AB1244" s="25">
        <v>0</v>
      </c>
      <c r="AC1244" s="25">
        <v>0</v>
      </c>
      <c r="AD1244" s="25">
        <v>0</v>
      </c>
      <c r="AE1244" s="25">
        <v>1</v>
      </c>
      <c r="AF1244" s="25" t="s">
        <v>132</v>
      </c>
    </row>
    <row r="1245" spans="1:32" s="25" customFormat="1" x14ac:dyDescent="0.25">
      <c r="A1245" s="25" t="s">
        <v>188</v>
      </c>
      <c r="B1245" s="25">
        <f t="shared" si="34"/>
        <v>10000</v>
      </c>
      <c r="C1245" s="25" t="s">
        <v>12</v>
      </c>
      <c r="D1245" s="25">
        <v>0</v>
      </c>
      <c r="E1245" s="25">
        <v>0</v>
      </c>
      <c r="F1245" s="25">
        <v>256</v>
      </c>
      <c r="G1245" s="25">
        <v>222</v>
      </c>
      <c r="H1245" s="27">
        <v>0</v>
      </c>
      <c r="I1245" s="27">
        <v>0</v>
      </c>
      <c r="J1245" s="27">
        <v>0</v>
      </c>
      <c r="K1245" s="27">
        <v>0</v>
      </c>
      <c r="L1245" s="27">
        <v>1</v>
      </c>
      <c r="M1245" s="27">
        <v>0</v>
      </c>
      <c r="N1245" s="27">
        <v>0</v>
      </c>
      <c r="O1245" s="27">
        <v>0</v>
      </c>
      <c r="P1245" s="25">
        <v>700</v>
      </c>
      <c r="Q1245" s="25">
        <v>560</v>
      </c>
      <c r="R1245" s="25" t="s">
        <v>87</v>
      </c>
      <c r="S1245" s="25" t="s">
        <v>89</v>
      </c>
      <c r="T1245" s="25">
        <v>0</v>
      </c>
      <c r="U1245" s="25">
        <v>0</v>
      </c>
      <c r="V1245" s="25">
        <v>0</v>
      </c>
      <c r="W1245" s="25">
        <v>0</v>
      </c>
      <c r="X1245" s="25">
        <v>1</v>
      </c>
      <c r="Y1245" s="25">
        <v>0</v>
      </c>
      <c r="Z1245" s="25">
        <v>0</v>
      </c>
      <c r="AA1245" s="25">
        <v>0</v>
      </c>
      <c r="AB1245" s="25">
        <v>0</v>
      </c>
      <c r="AC1245" s="25">
        <v>0</v>
      </c>
      <c r="AD1245" s="25">
        <v>0</v>
      </c>
      <c r="AE1245" s="25">
        <v>1</v>
      </c>
      <c r="AF1245" s="25" t="s">
        <v>132</v>
      </c>
    </row>
    <row r="1246" spans="1:32" s="25" customFormat="1" x14ac:dyDescent="0.25">
      <c r="A1246" s="25" t="s">
        <v>188</v>
      </c>
      <c r="B1246" s="25">
        <f t="shared" si="34"/>
        <v>10010</v>
      </c>
      <c r="C1246" s="25" t="s">
        <v>12</v>
      </c>
      <c r="D1246" s="25">
        <v>0</v>
      </c>
      <c r="E1246" s="25">
        <v>0</v>
      </c>
      <c r="F1246" s="25">
        <v>256</v>
      </c>
      <c r="G1246" s="25">
        <v>222</v>
      </c>
      <c r="H1246" s="27">
        <v>0</v>
      </c>
      <c r="I1246" s="27">
        <v>0</v>
      </c>
      <c r="J1246" s="27">
        <v>0</v>
      </c>
      <c r="K1246" s="27">
        <v>0</v>
      </c>
      <c r="L1246" s="27">
        <v>1</v>
      </c>
      <c r="M1246" s="27">
        <v>0</v>
      </c>
      <c r="N1246" s="27">
        <v>0</v>
      </c>
      <c r="O1246" s="27">
        <v>0</v>
      </c>
      <c r="P1246" s="25">
        <v>700</v>
      </c>
      <c r="Q1246" s="25">
        <v>560</v>
      </c>
      <c r="R1246" s="25" t="s">
        <v>87</v>
      </c>
      <c r="S1246" s="25" t="s">
        <v>89</v>
      </c>
      <c r="T1246" s="25">
        <v>0</v>
      </c>
      <c r="U1246" s="25">
        <v>0</v>
      </c>
      <c r="V1246" s="25">
        <v>0</v>
      </c>
      <c r="W1246" s="25">
        <v>0</v>
      </c>
      <c r="X1246" s="25">
        <v>1</v>
      </c>
      <c r="Y1246" s="25">
        <v>0</v>
      </c>
      <c r="Z1246" s="25">
        <v>0</v>
      </c>
      <c r="AA1246" s="25">
        <v>0</v>
      </c>
      <c r="AB1246" s="25">
        <v>0</v>
      </c>
      <c r="AC1246" s="25">
        <v>0</v>
      </c>
      <c r="AD1246" s="25">
        <v>0</v>
      </c>
      <c r="AE1246" s="25">
        <v>1</v>
      </c>
      <c r="AF1246" s="25" t="s">
        <v>132</v>
      </c>
    </row>
    <row r="1247" spans="1:32" s="25" customFormat="1" x14ac:dyDescent="0.25">
      <c r="A1247" s="25" t="s">
        <v>188</v>
      </c>
      <c r="B1247" s="25">
        <f t="shared" si="34"/>
        <v>10020</v>
      </c>
      <c r="C1247" s="25" t="s">
        <v>12</v>
      </c>
      <c r="D1247" s="25">
        <v>0</v>
      </c>
      <c r="E1247" s="25">
        <v>0</v>
      </c>
      <c r="F1247" s="25">
        <v>256</v>
      </c>
      <c r="G1247" s="25">
        <v>222</v>
      </c>
      <c r="H1247" s="27">
        <v>0</v>
      </c>
      <c r="I1247" s="27">
        <v>0</v>
      </c>
      <c r="J1247" s="27">
        <v>0</v>
      </c>
      <c r="K1247" s="27">
        <v>0</v>
      </c>
      <c r="L1247" s="27">
        <v>1</v>
      </c>
      <c r="M1247" s="27">
        <v>0</v>
      </c>
      <c r="N1247" s="27">
        <v>0</v>
      </c>
      <c r="O1247" s="27">
        <v>0</v>
      </c>
      <c r="P1247" s="25">
        <v>700</v>
      </c>
      <c r="Q1247" s="25">
        <v>560</v>
      </c>
      <c r="R1247" s="25" t="s">
        <v>87</v>
      </c>
      <c r="S1247" s="25" t="s">
        <v>89</v>
      </c>
      <c r="T1247" s="25">
        <v>0</v>
      </c>
      <c r="U1247" s="25">
        <v>0</v>
      </c>
      <c r="V1247" s="25">
        <v>0</v>
      </c>
      <c r="W1247" s="25">
        <v>0</v>
      </c>
      <c r="X1247" s="25">
        <v>1</v>
      </c>
      <c r="Y1247" s="25">
        <v>0</v>
      </c>
      <c r="Z1247" s="25">
        <v>0</v>
      </c>
      <c r="AA1247" s="25">
        <v>0</v>
      </c>
      <c r="AB1247" s="25">
        <v>0</v>
      </c>
      <c r="AC1247" s="25">
        <v>0</v>
      </c>
      <c r="AD1247" s="25">
        <v>0</v>
      </c>
      <c r="AE1247" s="25">
        <v>1</v>
      </c>
      <c r="AF1247" s="25" t="s">
        <v>132</v>
      </c>
    </row>
    <row r="1248" spans="1:32" s="25" customFormat="1" x14ac:dyDescent="0.25">
      <c r="A1248" s="25" t="s">
        <v>188</v>
      </c>
      <c r="B1248" s="25">
        <f t="shared" si="34"/>
        <v>10030</v>
      </c>
      <c r="C1248" s="25" t="s">
        <v>12</v>
      </c>
      <c r="D1248" s="25">
        <v>0</v>
      </c>
      <c r="E1248" s="25">
        <v>0</v>
      </c>
      <c r="F1248" s="25">
        <v>256</v>
      </c>
      <c r="G1248" s="25">
        <v>222</v>
      </c>
      <c r="H1248" s="27">
        <v>0</v>
      </c>
      <c r="I1248" s="27">
        <v>0</v>
      </c>
      <c r="J1248" s="27">
        <v>0</v>
      </c>
      <c r="K1248" s="27">
        <v>0</v>
      </c>
      <c r="L1248" s="27">
        <v>1</v>
      </c>
      <c r="M1248" s="27">
        <v>0</v>
      </c>
      <c r="N1248" s="27">
        <v>0</v>
      </c>
      <c r="O1248" s="27">
        <v>0</v>
      </c>
      <c r="P1248" s="25">
        <v>700</v>
      </c>
      <c r="Q1248" s="25">
        <v>560</v>
      </c>
      <c r="R1248" s="25" t="s">
        <v>87</v>
      </c>
      <c r="S1248" s="25" t="s">
        <v>89</v>
      </c>
      <c r="T1248" s="25">
        <v>0</v>
      </c>
      <c r="U1248" s="25">
        <v>0</v>
      </c>
      <c r="V1248" s="25">
        <v>0</v>
      </c>
      <c r="W1248" s="25">
        <v>0</v>
      </c>
      <c r="X1248" s="25">
        <v>1</v>
      </c>
      <c r="Y1248" s="25">
        <v>0</v>
      </c>
      <c r="Z1248" s="25">
        <v>0</v>
      </c>
      <c r="AA1248" s="25">
        <v>0</v>
      </c>
      <c r="AB1248" s="25">
        <v>0</v>
      </c>
      <c r="AC1248" s="25">
        <v>0</v>
      </c>
      <c r="AD1248" s="25">
        <v>0</v>
      </c>
      <c r="AE1248" s="25">
        <v>1</v>
      </c>
      <c r="AF1248" s="25" t="s">
        <v>132</v>
      </c>
    </row>
    <row r="1249" spans="1:32" s="25" customFormat="1" x14ac:dyDescent="0.25">
      <c r="A1249" s="25" t="s">
        <v>188</v>
      </c>
      <c r="B1249" s="25">
        <f t="shared" si="34"/>
        <v>10040</v>
      </c>
      <c r="C1249" s="25" t="s">
        <v>12</v>
      </c>
      <c r="D1249" s="25">
        <v>0</v>
      </c>
      <c r="E1249" s="25">
        <v>0</v>
      </c>
      <c r="F1249" s="25">
        <v>256</v>
      </c>
      <c r="G1249" s="25">
        <v>222</v>
      </c>
      <c r="H1249" s="27">
        <v>0</v>
      </c>
      <c r="I1249" s="27">
        <v>0</v>
      </c>
      <c r="J1249" s="27">
        <v>0</v>
      </c>
      <c r="K1249" s="27">
        <v>0</v>
      </c>
      <c r="L1249" s="27">
        <v>1</v>
      </c>
      <c r="M1249" s="27">
        <v>0</v>
      </c>
      <c r="N1249" s="27">
        <v>0</v>
      </c>
      <c r="O1249" s="27">
        <v>0</v>
      </c>
      <c r="P1249" s="25">
        <v>700</v>
      </c>
      <c r="Q1249" s="25">
        <v>560</v>
      </c>
      <c r="R1249" s="25" t="s">
        <v>87</v>
      </c>
      <c r="S1249" s="25" t="s">
        <v>89</v>
      </c>
      <c r="T1249" s="25">
        <v>0</v>
      </c>
      <c r="U1249" s="25">
        <v>0</v>
      </c>
      <c r="V1249" s="25">
        <v>0</v>
      </c>
      <c r="W1249" s="25">
        <v>0</v>
      </c>
      <c r="X1249" s="25">
        <v>1</v>
      </c>
      <c r="Y1249" s="25">
        <v>0</v>
      </c>
      <c r="Z1249" s="25">
        <v>0</v>
      </c>
      <c r="AA1249" s="25">
        <v>0</v>
      </c>
      <c r="AB1249" s="25">
        <v>0</v>
      </c>
      <c r="AC1249" s="25">
        <v>0</v>
      </c>
      <c r="AD1249" s="25">
        <v>0</v>
      </c>
      <c r="AE1249" s="25">
        <v>1</v>
      </c>
      <c r="AF1249" s="25" t="s">
        <v>132</v>
      </c>
    </row>
    <row r="1250" spans="1:32" s="25" customFormat="1" x14ac:dyDescent="0.25">
      <c r="A1250" s="25" t="s">
        <v>188</v>
      </c>
      <c r="B1250" s="25">
        <f t="shared" si="34"/>
        <v>10050</v>
      </c>
      <c r="C1250" s="25" t="s">
        <v>12</v>
      </c>
      <c r="D1250" s="25">
        <v>0</v>
      </c>
      <c r="E1250" s="25">
        <v>0</v>
      </c>
      <c r="F1250" s="25">
        <v>256</v>
      </c>
      <c r="G1250" s="25">
        <v>222</v>
      </c>
      <c r="H1250" s="27">
        <v>0</v>
      </c>
      <c r="I1250" s="27">
        <v>0</v>
      </c>
      <c r="J1250" s="27">
        <v>0</v>
      </c>
      <c r="K1250" s="27">
        <v>0</v>
      </c>
      <c r="L1250" s="27">
        <v>1</v>
      </c>
      <c r="M1250" s="27">
        <v>0</v>
      </c>
      <c r="N1250" s="27">
        <v>0</v>
      </c>
      <c r="O1250" s="27">
        <v>0</v>
      </c>
      <c r="P1250" s="25">
        <v>700</v>
      </c>
      <c r="Q1250" s="25">
        <v>560</v>
      </c>
      <c r="R1250" s="25" t="s">
        <v>87</v>
      </c>
      <c r="S1250" s="25" t="s">
        <v>89</v>
      </c>
      <c r="T1250" s="25">
        <v>0</v>
      </c>
      <c r="U1250" s="25">
        <v>0</v>
      </c>
      <c r="V1250" s="25">
        <v>0</v>
      </c>
      <c r="W1250" s="25">
        <v>0</v>
      </c>
      <c r="X1250" s="25">
        <v>1</v>
      </c>
      <c r="Y1250" s="25">
        <v>0</v>
      </c>
      <c r="Z1250" s="25">
        <v>0</v>
      </c>
      <c r="AA1250" s="25">
        <v>0</v>
      </c>
      <c r="AB1250" s="25">
        <v>0</v>
      </c>
      <c r="AC1250" s="25">
        <v>0</v>
      </c>
      <c r="AD1250" s="25">
        <v>0</v>
      </c>
      <c r="AE1250" s="25">
        <v>1</v>
      </c>
      <c r="AF1250" s="25" t="s">
        <v>132</v>
      </c>
    </row>
    <row r="1251" spans="1:32" s="25" customFormat="1" x14ac:dyDescent="0.25">
      <c r="A1251" s="25" t="s">
        <v>188</v>
      </c>
      <c r="B1251" s="25">
        <f t="shared" si="34"/>
        <v>10060</v>
      </c>
      <c r="C1251" s="25" t="s">
        <v>12</v>
      </c>
      <c r="D1251" s="25">
        <v>0</v>
      </c>
      <c r="E1251" s="25">
        <v>0</v>
      </c>
      <c r="F1251" s="25">
        <v>256</v>
      </c>
      <c r="G1251" s="25">
        <v>222</v>
      </c>
      <c r="H1251" s="27">
        <v>0</v>
      </c>
      <c r="I1251" s="27">
        <v>0</v>
      </c>
      <c r="J1251" s="27">
        <v>0</v>
      </c>
      <c r="K1251" s="27">
        <v>0</v>
      </c>
      <c r="L1251" s="27">
        <v>1</v>
      </c>
      <c r="M1251" s="27">
        <v>0</v>
      </c>
      <c r="N1251" s="27">
        <v>0</v>
      </c>
      <c r="O1251" s="27">
        <v>0</v>
      </c>
      <c r="P1251" s="25">
        <v>700</v>
      </c>
      <c r="Q1251" s="25">
        <v>560</v>
      </c>
      <c r="R1251" s="25" t="s">
        <v>87</v>
      </c>
      <c r="S1251" s="25" t="s">
        <v>89</v>
      </c>
      <c r="T1251" s="25">
        <v>0</v>
      </c>
      <c r="U1251" s="25">
        <v>0</v>
      </c>
      <c r="V1251" s="25">
        <v>0</v>
      </c>
      <c r="W1251" s="25">
        <v>0</v>
      </c>
      <c r="X1251" s="25">
        <v>1</v>
      </c>
      <c r="Y1251" s="25">
        <v>0</v>
      </c>
      <c r="Z1251" s="25">
        <v>0</v>
      </c>
      <c r="AA1251" s="25">
        <v>0</v>
      </c>
      <c r="AB1251" s="25">
        <v>0</v>
      </c>
      <c r="AC1251" s="25">
        <v>0</v>
      </c>
      <c r="AD1251" s="25">
        <v>0</v>
      </c>
      <c r="AE1251" s="25">
        <v>1</v>
      </c>
      <c r="AF1251" s="25" t="s">
        <v>132</v>
      </c>
    </row>
    <row r="1252" spans="1:32" s="25" customFormat="1" x14ac:dyDescent="0.25">
      <c r="A1252" s="25" t="s">
        <v>188</v>
      </c>
      <c r="B1252" s="25">
        <f t="shared" si="34"/>
        <v>10070</v>
      </c>
      <c r="C1252" s="25" t="s">
        <v>12</v>
      </c>
      <c r="D1252" s="25">
        <v>0</v>
      </c>
      <c r="E1252" s="25">
        <v>0</v>
      </c>
      <c r="F1252" s="25">
        <v>256</v>
      </c>
      <c r="G1252" s="25">
        <v>222</v>
      </c>
      <c r="H1252" s="27">
        <v>0</v>
      </c>
      <c r="I1252" s="27">
        <v>0</v>
      </c>
      <c r="J1252" s="27">
        <v>0</v>
      </c>
      <c r="K1252" s="27">
        <v>0</v>
      </c>
      <c r="L1252" s="27">
        <v>1</v>
      </c>
      <c r="M1252" s="27">
        <v>0</v>
      </c>
      <c r="N1252" s="27">
        <v>0</v>
      </c>
      <c r="O1252" s="27">
        <v>0</v>
      </c>
      <c r="P1252" s="25">
        <v>700</v>
      </c>
      <c r="Q1252" s="25">
        <v>560</v>
      </c>
      <c r="R1252" s="25" t="s">
        <v>87</v>
      </c>
      <c r="S1252" s="25" t="s">
        <v>89</v>
      </c>
      <c r="T1252" s="25">
        <v>0</v>
      </c>
      <c r="U1252" s="25">
        <v>0</v>
      </c>
      <c r="V1252" s="25">
        <v>0</v>
      </c>
      <c r="W1252" s="25">
        <v>0</v>
      </c>
      <c r="X1252" s="25">
        <v>1</v>
      </c>
      <c r="Y1252" s="25">
        <v>0</v>
      </c>
      <c r="Z1252" s="25">
        <v>0</v>
      </c>
      <c r="AA1252" s="25">
        <v>0</v>
      </c>
      <c r="AB1252" s="25">
        <v>0</v>
      </c>
      <c r="AC1252" s="25">
        <v>0</v>
      </c>
      <c r="AD1252" s="25">
        <v>0</v>
      </c>
      <c r="AE1252" s="25">
        <v>1</v>
      </c>
      <c r="AF1252" s="25" t="s">
        <v>132</v>
      </c>
    </row>
    <row r="1253" spans="1:32" s="25" customFormat="1" x14ac:dyDescent="0.25">
      <c r="A1253" s="25" t="s">
        <v>188</v>
      </c>
      <c r="B1253" s="25">
        <f t="shared" si="34"/>
        <v>10080</v>
      </c>
      <c r="C1253" s="25" t="s">
        <v>12</v>
      </c>
      <c r="D1253" s="25">
        <v>0</v>
      </c>
      <c r="E1253" s="25">
        <v>0</v>
      </c>
      <c r="F1253" s="25">
        <v>256</v>
      </c>
      <c r="G1253" s="25">
        <v>222</v>
      </c>
      <c r="H1253" s="27">
        <v>0</v>
      </c>
      <c r="I1253" s="27">
        <v>0</v>
      </c>
      <c r="J1253" s="27">
        <v>0</v>
      </c>
      <c r="K1253" s="27">
        <v>0</v>
      </c>
      <c r="L1253" s="27">
        <v>1</v>
      </c>
      <c r="M1253" s="27">
        <v>0</v>
      </c>
      <c r="N1253" s="27">
        <v>0</v>
      </c>
      <c r="O1253" s="27">
        <v>0</v>
      </c>
      <c r="P1253" s="25">
        <v>700</v>
      </c>
      <c r="Q1253" s="25">
        <v>560</v>
      </c>
      <c r="R1253" s="25" t="s">
        <v>87</v>
      </c>
      <c r="S1253" s="25" t="s">
        <v>89</v>
      </c>
      <c r="T1253" s="25">
        <v>0</v>
      </c>
      <c r="U1253" s="25">
        <v>0</v>
      </c>
      <c r="V1253" s="25">
        <v>0</v>
      </c>
      <c r="W1253" s="25">
        <v>0</v>
      </c>
      <c r="X1253" s="25">
        <v>1</v>
      </c>
      <c r="Y1253" s="25">
        <v>0</v>
      </c>
      <c r="Z1253" s="25">
        <v>0</v>
      </c>
      <c r="AA1253" s="25">
        <v>0</v>
      </c>
      <c r="AB1253" s="25">
        <v>0</v>
      </c>
      <c r="AC1253" s="25">
        <v>0</v>
      </c>
      <c r="AD1253" s="25">
        <v>0</v>
      </c>
      <c r="AE1253" s="25">
        <v>1</v>
      </c>
      <c r="AF1253" s="25" t="s">
        <v>132</v>
      </c>
    </row>
    <row r="1254" spans="1:32" s="25" customFormat="1" x14ac:dyDescent="0.25">
      <c r="A1254" s="25" t="s">
        <v>188</v>
      </c>
      <c r="B1254" s="25">
        <f t="shared" si="34"/>
        <v>10090</v>
      </c>
      <c r="C1254" s="25" t="s">
        <v>12</v>
      </c>
      <c r="D1254" s="25">
        <v>0</v>
      </c>
      <c r="E1254" s="25">
        <v>0</v>
      </c>
      <c r="F1254" s="25">
        <v>256</v>
      </c>
      <c r="G1254" s="25">
        <v>222</v>
      </c>
      <c r="H1254" s="27">
        <v>0</v>
      </c>
      <c r="I1254" s="27">
        <v>0</v>
      </c>
      <c r="J1254" s="27">
        <v>0</v>
      </c>
      <c r="K1254" s="27">
        <v>0</v>
      </c>
      <c r="L1254" s="27">
        <v>1</v>
      </c>
      <c r="M1254" s="27">
        <v>0</v>
      </c>
      <c r="N1254" s="27">
        <v>0</v>
      </c>
      <c r="O1254" s="27">
        <v>0</v>
      </c>
      <c r="P1254" s="25">
        <v>700</v>
      </c>
      <c r="Q1254" s="25">
        <v>560</v>
      </c>
      <c r="R1254" s="25" t="s">
        <v>87</v>
      </c>
      <c r="S1254" s="25" t="s">
        <v>89</v>
      </c>
      <c r="T1254" s="25">
        <v>0</v>
      </c>
      <c r="U1254" s="25">
        <v>0</v>
      </c>
      <c r="V1254" s="25">
        <v>0</v>
      </c>
      <c r="W1254" s="25">
        <v>0</v>
      </c>
      <c r="X1254" s="25">
        <v>1</v>
      </c>
      <c r="Y1254" s="25">
        <v>0</v>
      </c>
      <c r="Z1254" s="25">
        <v>0</v>
      </c>
      <c r="AA1254" s="25">
        <v>0</v>
      </c>
      <c r="AB1254" s="25">
        <v>0</v>
      </c>
      <c r="AC1254" s="25">
        <v>0</v>
      </c>
      <c r="AD1254" s="25">
        <v>0</v>
      </c>
      <c r="AE1254" s="25">
        <v>1</v>
      </c>
      <c r="AF1254" s="25" t="s">
        <v>132</v>
      </c>
    </row>
    <row r="1255" spans="1:32" s="25" customFormat="1" x14ac:dyDescent="0.25">
      <c r="A1255" s="25" t="s">
        <v>188</v>
      </c>
      <c r="B1255" s="25">
        <f t="shared" si="34"/>
        <v>10100</v>
      </c>
      <c r="C1255" s="25" t="s">
        <v>12</v>
      </c>
      <c r="D1255" s="25">
        <v>0</v>
      </c>
      <c r="E1255" s="25">
        <v>0</v>
      </c>
      <c r="F1255" s="25">
        <v>256</v>
      </c>
      <c r="G1255" s="25">
        <v>222</v>
      </c>
      <c r="H1255" s="27">
        <v>0</v>
      </c>
      <c r="I1255" s="27">
        <v>0</v>
      </c>
      <c r="J1255" s="27">
        <v>0</v>
      </c>
      <c r="K1255" s="27">
        <v>0</v>
      </c>
      <c r="L1255" s="27">
        <v>1</v>
      </c>
      <c r="M1255" s="27">
        <v>0</v>
      </c>
      <c r="N1255" s="27">
        <v>0</v>
      </c>
      <c r="O1255" s="27">
        <v>0</v>
      </c>
      <c r="P1255" s="25">
        <v>700</v>
      </c>
      <c r="Q1255" s="25">
        <v>560</v>
      </c>
      <c r="R1255" s="25" t="s">
        <v>87</v>
      </c>
      <c r="S1255" s="25" t="s">
        <v>89</v>
      </c>
      <c r="T1255" s="25">
        <v>0</v>
      </c>
      <c r="U1255" s="25">
        <v>0</v>
      </c>
      <c r="V1255" s="25">
        <v>0</v>
      </c>
      <c r="W1255" s="25">
        <v>0</v>
      </c>
      <c r="X1255" s="25">
        <v>1</v>
      </c>
      <c r="Y1255" s="25">
        <v>0</v>
      </c>
      <c r="Z1255" s="25">
        <v>0</v>
      </c>
      <c r="AA1255" s="25">
        <v>0</v>
      </c>
      <c r="AB1255" s="25">
        <v>0</v>
      </c>
      <c r="AC1255" s="25">
        <v>0</v>
      </c>
      <c r="AD1255" s="25">
        <v>0</v>
      </c>
      <c r="AE1255" s="25">
        <v>1</v>
      </c>
      <c r="AF1255" s="25" t="s">
        <v>132</v>
      </c>
    </row>
    <row r="1256" spans="1:32" s="25" customFormat="1" x14ac:dyDescent="0.25">
      <c r="A1256" s="25" t="s">
        <v>188</v>
      </c>
      <c r="B1256" s="25">
        <f t="shared" si="34"/>
        <v>10110</v>
      </c>
      <c r="C1256" s="25" t="s">
        <v>12</v>
      </c>
      <c r="D1256" s="25">
        <v>0</v>
      </c>
      <c r="E1256" s="25">
        <v>0</v>
      </c>
      <c r="F1256" s="25">
        <v>256</v>
      </c>
      <c r="G1256" s="25">
        <v>222</v>
      </c>
      <c r="H1256" s="27">
        <v>0</v>
      </c>
      <c r="I1256" s="27">
        <v>0</v>
      </c>
      <c r="J1256" s="27">
        <v>0</v>
      </c>
      <c r="K1256" s="27">
        <v>0</v>
      </c>
      <c r="L1256" s="27">
        <v>1</v>
      </c>
      <c r="M1256" s="27">
        <v>0</v>
      </c>
      <c r="N1256" s="27">
        <v>0</v>
      </c>
      <c r="O1256" s="27">
        <v>0</v>
      </c>
      <c r="P1256" s="25">
        <v>700</v>
      </c>
      <c r="Q1256" s="25">
        <v>560</v>
      </c>
      <c r="R1256" s="25" t="s">
        <v>87</v>
      </c>
      <c r="S1256" s="25" t="s">
        <v>89</v>
      </c>
      <c r="T1256" s="25">
        <v>0</v>
      </c>
      <c r="U1256" s="25">
        <v>0</v>
      </c>
      <c r="V1256" s="25">
        <v>0</v>
      </c>
      <c r="W1256" s="25">
        <v>0</v>
      </c>
      <c r="X1256" s="25">
        <v>1</v>
      </c>
      <c r="Y1256" s="25">
        <v>0</v>
      </c>
      <c r="Z1256" s="25">
        <v>0</v>
      </c>
      <c r="AA1256" s="25">
        <v>0</v>
      </c>
      <c r="AB1256" s="25">
        <v>0</v>
      </c>
      <c r="AC1256" s="25">
        <v>0</v>
      </c>
      <c r="AD1256" s="25">
        <v>0</v>
      </c>
      <c r="AE1256" s="25">
        <v>1</v>
      </c>
      <c r="AF1256" s="25" t="s">
        <v>132</v>
      </c>
    </row>
    <row r="1257" spans="1:32" s="25" customFormat="1" x14ac:dyDescent="0.25">
      <c r="A1257" s="25" t="s">
        <v>188</v>
      </c>
      <c r="B1257" s="25">
        <f t="shared" si="34"/>
        <v>10120</v>
      </c>
      <c r="C1257" s="25" t="s">
        <v>12</v>
      </c>
      <c r="D1257" s="25">
        <v>0</v>
      </c>
      <c r="E1257" s="25">
        <v>0</v>
      </c>
      <c r="F1257" s="25">
        <v>256</v>
      </c>
      <c r="G1257" s="25">
        <v>222</v>
      </c>
      <c r="H1257" s="27">
        <v>0</v>
      </c>
      <c r="I1257" s="27">
        <v>0</v>
      </c>
      <c r="J1257" s="27">
        <v>0</v>
      </c>
      <c r="K1257" s="27">
        <v>0</v>
      </c>
      <c r="L1257" s="27">
        <v>1</v>
      </c>
      <c r="M1257" s="27">
        <v>0</v>
      </c>
      <c r="N1257" s="27">
        <v>0</v>
      </c>
      <c r="O1257" s="27">
        <v>0</v>
      </c>
      <c r="P1257" s="25">
        <v>700</v>
      </c>
      <c r="Q1257" s="25">
        <v>560</v>
      </c>
      <c r="R1257" s="25" t="s">
        <v>87</v>
      </c>
      <c r="S1257" s="25" t="s">
        <v>89</v>
      </c>
      <c r="T1257" s="25">
        <v>0</v>
      </c>
      <c r="U1257" s="25">
        <v>0</v>
      </c>
      <c r="V1257" s="25">
        <v>0</v>
      </c>
      <c r="W1257" s="25">
        <v>0</v>
      </c>
      <c r="X1257" s="25">
        <v>1</v>
      </c>
      <c r="Y1257" s="25">
        <v>0</v>
      </c>
      <c r="Z1257" s="25">
        <v>0</v>
      </c>
      <c r="AA1257" s="25">
        <v>0</v>
      </c>
      <c r="AB1257" s="25">
        <v>0</v>
      </c>
      <c r="AC1257" s="25">
        <v>0</v>
      </c>
      <c r="AD1257" s="25">
        <v>0</v>
      </c>
      <c r="AE1257" s="25">
        <v>1</v>
      </c>
      <c r="AF1257" s="25" t="s">
        <v>132</v>
      </c>
    </row>
    <row r="1258" spans="1:32" s="25" customFormat="1" x14ac:dyDescent="0.25">
      <c r="A1258" s="25" t="s">
        <v>188</v>
      </c>
      <c r="B1258" s="25">
        <f t="shared" si="34"/>
        <v>10130</v>
      </c>
      <c r="C1258" s="25" t="s">
        <v>12</v>
      </c>
      <c r="D1258" s="25">
        <v>0</v>
      </c>
      <c r="E1258" s="25">
        <v>0</v>
      </c>
      <c r="F1258" s="25">
        <v>256</v>
      </c>
      <c r="G1258" s="25">
        <v>222</v>
      </c>
      <c r="H1258" s="27">
        <v>0</v>
      </c>
      <c r="I1258" s="27">
        <v>0</v>
      </c>
      <c r="J1258" s="27">
        <v>0</v>
      </c>
      <c r="K1258" s="27">
        <v>0</v>
      </c>
      <c r="L1258" s="27">
        <v>1</v>
      </c>
      <c r="M1258" s="27">
        <v>0</v>
      </c>
      <c r="N1258" s="27">
        <v>0</v>
      </c>
      <c r="O1258" s="27">
        <v>0</v>
      </c>
      <c r="P1258" s="25">
        <v>700</v>
      </c>
      <c r="Q1258" s="25">
        <v>560</v>
      </c>
      <c r="R1258" s="25" t="s">
        <v>87</v>
      </c>
      <c r="S1258" s="25" t="s">
        <v>89</v>
      </c>
      <c r="T1258" s="25">
        <v>0</v>
      </c>
      <c r="U1258" s="25">
        <v>0</v>
      </c>
      <c r="V1258" s="25">
        <v>0</v>
      </c>
      <c r="W1258" s="25">
        <v>0</v>
      </c>
      <c r="X1258" s="25">
        <v>1</v>
      </c>
      <c r="Y1258" s="25">
        <v>0</v>
      </c>
      <c r="Z1258" s="25">
        <v>0</v>
      </c>
      <c r="AA1258" s="25">
        <v>0</v>
      </c>
      <c r="AB1258" s="25">
        <v>0</v>
      </c>
      <c r="AC1258" s="25">
        <v>0</v>
      </c>
      <c r="AD1258" s="25">
        <v>0</v>
      </c>
      <c r="AE1258" s="25">
        <v>1</v>
      </c>
      <c r="AF1258" s="25" t="s">
        <v>132</v>
      </c>
    </row>
    <row r="1259" spans="1:32" s="25" customFormat="1" x14ac:dyDescent="0.25">
      <c r="A1259" s="25" t="s">
        <v>188</v>
      </c>
      <c r="B1259" s="25">
        <f t="shared" si="34"/>
        <v>10140</v>
      </c>
      <c r="C1259" s="25" t="s">
        <v>12</v>
      </c>
      <c r="D1259" s="25">
        <v>0</v>
      </c>
      <c r="E1259" s="25">
        <v>0</v>
      </c>
      <c r="F1259" s="25">
        <v>256</v>
      </c>
      <c r="G1259" s="25">
        <v>222</v>
      </c>
      <c r="H1259" s="27">
        <v>0</v>
      </c>
      <c r="I1259" s="27">
        <v>0</v>
      </c>
      <c r="J1259" s="27">
        <v>0</v>
      </c>
      <c r="K1259" s="27">
        <v>0</v>
      </c>
      <c r="L1259" s="27">
        <v>1</v>
      </c>
      <c r="M1259" s="27">
        <v>0</v>
      </c>
      <c r="N1259" s="27">
        <v>0</v>
      </c>
      <c r="O1259" s="27">
        <v>0</v>
      </c>
      <c r="P1259" s="25">
        <v>700</v>
      </c>
      <c r="Q1259" s="25">
        <v>560</v>
      </c>
      <c r="R1259" s="25" t="s">
        <v>87</v>
      </c>
      <c r="S1259" s="25" t="s">
        <v>89</v>
      </c>
      <c r="T1259" s="25">
        <v>0</v>
      </c>
      <c r="U1259" s="25">
        <v>0</v>
      </c>
      <c r="V1259" s="25">
        <v>0</v>
      </c>
      <c r="W1259" s="25">
        <v>0</v>
      </c>
      <c r="X1259" s="25">
        <v>1</v>
      </c>
      <c r="Y1259" s="25">
        <v>0</v>
      </c>
      <c r="Z1259" s="25">
        <v>0</v>
      </c>
      <c r="AA1259" s="25">
        <v>0</v>
      </c>
      <c r="AB1259" s="25">
        <v>0</v>
      </c>
      <c r="AC1259" s="25">
        <v>0</v>
      </c>
      <c r="AD1259" s="25">
        <v>0</v>
      </c>
      <c r="AE1259" s="25">
        <v>1</v>
      </c>
      <c r="AF1259" s="25" t="s">
        <v>132</v>
      </c>
    </row>
    <row r="1260" spans="1:32" s="25" customFormat="1" x14ac:dyDescent="0.25">
      <c r="A1260" s="25" t="s">
        <v>188</v>
      </c>
      <c r="B1260" s="25">
        <f t="shared" si="34"/>
        <v>10150</v>
      </c>
      <c r="C1260" s="25" t="s">
        <v>12</v>
      </c>
      <c r="D1260" s="25">
        <v>0</v>
      </c>
      <c r="E1260" s="25">
        <v>0</v>
      </c>
      <c r="F1260" s="25">
        <v>256</v>
      </c>
      <c r="G1260" s="25">
        <v>222</v>
      </c>
      <c r="H1260" s="27">
        <v>0</v>
      </c>
      <c r="I1260" s="27">
        <v>0</v>
      </c>
      <c r="J1260" s="27">
        <v>0</v>
      </c>
      <c r="K1260" s="27">
        <v>0</v>
      </c>
      <c r="L1260" s="27">
        <v>1</v>
      </c>
      <c r="M1260" s="27">
        <v>0</v>
      </c>
      <c r="N1260" s="27">
        <v>0</v>
      </c>
      <c r="O1260" s="27">
        <v>0</v>
      </c>
      <c r="P1260" s="25">
        <v>700</v>
      </c>
      <c r="Q1260" s="25">
        <v>560</v>
      </c>
      <c r="R1260" s="25" t="s">
        <v>87</v>
      </c>
      <c r="S1260" s="25" t="s">
        <v>89</v>
      </c>
      <c r="T1260" s="25">
        <v>0</v>
      </c>
      <c r="U1260" s="25">
        <v>0</v>
      </c>
      <c r="V1260" s="25">
        <v>0</v>
      </c>
      <c r="W1260" s="25">
        <v>0</v>
      </c>
      <c r="X1260" s="25">
        <v>1</v>
      </c>
      <c r="Y1260" s="25">
        <v>0</v>
      </c>
      <c r="Z1260" s="25">
        <v>0</v>
      </c>
      <c r="AA1260" s="25">
        <v>0</v>
      </c>
      <c r="AB1260" s="25">
        <v>0</v>
      </c>
      <c r="AC1260" s="25">
        <v>0</v>
      </c>
      <c r="AD1260" s="25">
        <v>0</v>
      </c>
      <c r="AE1260" s="25">
        <v>1</v>
      </c>
      <c r="AF1260" s="25" t="s">
        <v>132</v>
      </c>
    </row>
    <row r="1261" spans="1:32" s="25" customFormat="1" x14ac:dyDescent="0.25">
      <c r="A1261" s="25" t="s">
        <v>188</v>
      </c>
      <c r="B1261" s="25">
        <f t="shared" si="34"/>
        <v>10160</v>
      </c>
      <c r="C1261" s="25" t="s">
        <v>12</v>
      </c>
      <c r="D1261" s="25">
        <v>0</v>
      </c>
      <c r="E1261" s="25">
        <v>0</v>
      </c>
      <c r="F1261" s="25">
        <v>256</v>
      </c>
      <c r="G1261" s="25">
        <v>222</v>
      </c>
      <c r="H1261" s="27">
        <v>0</v>
      </c>
      <c r="I1261" s="27">
        <v>0</v>
      </c>
      <c r="J1261" s="27">
        <v>0</v>
      </c>
      <c r="K1261" s="27">
        <v>0</v>
      </c>
      <c r="L1261" s="27">
        <v>1</v>
      </c>
      <c r="M1261" s="27">
        <v>0</v>
      </c>
      <c r="N1261" s="27">
        <v>0</v>
      </c>
      <c r="O1261" s="27">
        <v>0</v>
      </c>
      <c r="P1261" s="25">
        <v>700</v>
      </c>
      <c r="Q1261" s="25">
        <v>560</v>
      </c>
      <c r="R1261" s="25" t="s">
        <v>87</v>
      </c>
      <c r="S1261" s="25" t="s">
        <v>89</v>
      </c>
      <c r="T1261" s="25">
        <v>0</v>
      </c>
      <c r="U1261" s="25">
        <v>0</v>
      </c>
      <c r="V1261" s="25">
        <v>0</v>
      </c>
      <c r="W1261" s="25">
        <v>0</v>
      </c>
      <c r="X1261" s="25">
        <v>1</v>
      </c>
      <c r="Y1261" s="25">
        <v>0</v>
      </c>
      <c r="Z1261" s="25">
        <v>0</v>
      </c>
      <c r="AA1261" s="25">
        <v>0</v>
      </c>
      <c r="AB1261" s="25">
        <v>0</v>
      </c>
      <c r="AC1261" s="25">
        <v>0</v>
      </c>
      <c r="AD1261" s="25">
        <v>0</v>
      </c>
      <c r="AE1261" s="25">
        <v>1</v>
      </c>
      <c r="AF1261" s="25" t="s">
        <v>132</v>
      </c>
    </row>
    <row r="1262" spans="1:32" s="25" customFormat="1" x14ac:dyDescent="0.25">
      <c r="A1262" s="25" t="s">
        <v>188</v>
      </c>
      <c r="B1262" s="25">
        <f t="shared" si="34"/>
        <v>10170</v>
      </c>
      <c r="C1262" s="25" t="s">
        <v>12</v>
      </c>
      <c r="D1262" s="25">
        <v>0</v>
      </c>
      <c r="E1262" s="25">
        <v>0</v>
      </c>
      <c r="F1262" s="25">
        <v>256</v>
      </c>
      <c r="G1262" s="25">
        <v>222</v>
      </c>
      <c r="H1262" s="27">
        <v>0</v>
      </c>
      <c r="I1262" s="27">
        <v>0</v>
      </c>
      <c r="J1262" s="27">
        <v>0</v>
      </c>
      <c r="K1262" s="27">
        <v>0</v>
      </c>
      <c r="L1262" s="27">
        <v>1</v>
      </c>
      <c r="M1262" s="27">
        <v>0</v>
      </c>
      <c r="N1262" s="27">
        <v>0</v>
      </c>
      <c r="O1262" s="27">
        <v>0</v>
      </c>
      <c r="P1262" s="25">
        <v>700</v>
      </c>
      <c r="Q1262" s="25">
        <v>560</v>
      </c>
      <c r="R1262" s="25" t="s">
        <v>87</v>
      </c>
      <c r="S1262" s="25" t="s">
        <v>89</v>
      </c>
      <c r="T1262" s="25">
        <v>0</v>
      </c>
      <c r="U1262" s="25">
        <v>0</v>
      </c>
      <c r="V1262" s="25">
        <v>0</v>
      </c>
      <c r="W1262" s="25">
        <v>0</v>
      </c>
      <c r="X1262" s="25">
        <v>1</v>
      </c>
      <c r="Y1262" s="25">
        <v>0</v>
      </c>
      <c r="Z1262" s="25">
        <v>0</v>
      </c>
      <c r="AA1262" s="25">
        <v>0</v>
      </c>
      <c r="AB1262" s="25">
        <v>0</v>
      </c>
      <c r="AC1262" s="25">
        <v>0</v>
      </c>
      <c r="AD1262" s="25">
        <v>0</v>
      </c>
      <c r="AE1262" s="25">
        <v>1</v>
      </c>
      <c r="AF1262" s="25" t="s">
        <v>132</v>
      </c>
    </row>
    <row r="1263" spans="1:32" s="25" customFormat="1" x14ac:dyDescent="0.25">
      <c r="A1263" s="25" t="s">
        <v>188</v>
      </c>
      <c r="B1263" s="25">
        <f t="shared" si="34"/>
        <v>10180</v>
      </c>
      <c r="C1263" s="25" t="s">
        <v>12</v>
      </c>
      <c r="D1263" s="25">
        <v>0</v>
      </c>
      <c r="E1263" s="25">
        <v>0</v>
      </c>
      <c r="F1263" s="25">
        <v>256</v>
      </c>
      <c r="G1263" s="25">
        <v>222</v>
      </c>
      <c r="H1263" s="27">
        <v>0</v>
      </c>
      <c r="I1263" s="27">
        <v>0</v>
      </c>
      <c r="J1263" s="27">
        <v>0</v>
      </c>
      <c r="K1263" s="27">
        <v>0</v>
      </c>
      <c r="L1263" s="27">
        <v>1</v>
      </c>
      <c r="M1263" s="27">
        <v>0</v>
      </c>
      <c r="N1263" s="27">
        <v>0</v>
      </c>
      <c r="O1263" s="27">
        <v>0</v>
      </c>
      <c r="P1263" s="25">
        <v>700</v>
      </c>
      <c r="Q1263" s="25">
        <v>560</v>
      </c>
      <c r="R1263" s="25" t="s">
        <v>87</v>
      </c>
      <c r="S1263" s="25" t="s">
        <v>89</v>
      </c>
      <c r="T1263" s="25">
        <v>0</v>
      </c>
      <c r="U1263" s="25">
        <v>0</v>
      </c>
      <c r="V1263" s="25">
        <v>0</v>
      </c>
      <c r="W1263" s="25">
        <v>0</v>
      </c>
      <c r="X1263" s="25">
        <v>1</v>
      </c>
      <c r="Y1263" s="25">
        <v>0</v>
      </c>
      <c r="Z1263" s="25">
        <v>0</v>
      </c>
      <c r="AA1263" s="25">
        <v>0</v>
      </c>
      <c r="AB1263" s="25">
        <v>0</v>
      </c>
      <c r="AC1263" s="25">
        <v>0</v>
      </c>
      <c r="AD1263" s="25">
        <v>0</v>
      </c>
      <c r="AE1263" s="25">
        <v>1</v>
      </c>
      <c r="AF1263" s="25" t="s">
        <v>132</v>
      </c>
    </row>
    <row r="1264" spans="1:32" s="25" customFormat="1" x14ac:dyDescent="0.25">
      <c r="A1264" s="25" t="s">
        <v>188</v>
      </c>
      <c r="B1264" s="25">
        <f t="shared" si="34"/>
        <v>10190</v>
      </c>
      <c r="C1264" s="25" t="s">
        <v>12</v>
      </c>
      <c r="D1264" s="25">
        <v>0</v>
      </c>
      <c r="E1264" s="25">
        <v>0</v>
      </c>
      <c r="F1264" s="25">
        <v>256</v>
      </c>
      <c r="G1264" s="25">
        <v>222</v>
      </c>
      <c r="H1264" s="27">
        <v>0</v>
      </c>
      <c r="I1264" s="27">
        <v>0</v>
      </c>
      <c r="J1264" s="27">
        <v>0</v>
      </c>
      <c r="K1264" s="27">
        <v>0</v>
      </c>
      <c r="L1264" s="27">
        <v>1</v>
      </c>
      <c r="M1264" s="27">
        <v>0</v>
      </c>
      <c r="N1264" s="27">
        <v>0</v>
      </c>
      <c r="O1264" s="27">
        <v>0</v>
      </c>
      <c r="P1264" s="25">
        <v>700</v>
      </c>
      <c r="Q1264" s="25">
        <v>560</v>
      </c>
      <c r="R1264" s="25" t="s">
        <v>87</v>
      </c>
      <c r="S1264" s="25" t="s">
        <v>89</v>
      </c>
      <c r="T1264" s="25">
        <v>0</v>
      </c>
      <c r="U1264" s="25">
        <v>0</v>
      </c>
      <c r="V1264" s="25">
        <v>0</v>
      </c>
      <c r="W1264" s="25">
        <v>0</v>
      </c>
      <c r="X1264" s="25">
        <v>1</v>
      </c>
      <c r="Y1264" s="25">
        <v>0</v>
      </c>
      <c r="Z1264" s="25">
        <v>0</v>
      </c>
      <c r="AA1264" s="25">
        <v>0</v>
      </c>
      <c r="AB1264" s="25">
        <v>0</v>
      </c>
      <c r="AC1264" s="25">
        <v>0</v>
      </c>
      <c r="AD1264" s="25">
        <v>0</v>
      </c>
      <c r="AE1264" s="25">
        <v>1</v>
      </c>
      <c r="AF1264" s="25" t="s">
        <v>132</v>
      </c>
    </row>
    <row r="1265" spans="1:32" s="25" customFormat="1" x14ac:dyDescent="0.25">
      <c r="A1265" s="25" t="s">
        <v>188</v>
      </c>
      <c r="B1265" s="25">
        <f t="shared" si="34"/>
        <v>10200</v>
      </c>
      <c r="C1265" s="25" t="s">
        <v>12</v>
      </c>
      <c r="D1265" s="25">
        <v>0</v>
      </c>
      <c r="E1265" s="25">
        <v>0</v>
      </c>
      <c r="F1265" s="25">
        <v>256</v>
      </c>
      <c r="G1265" s="25">
        <v>222</v>
      </c>
      <c r="H1265" s="27">
        <v>0</v>
      </c>
      <c r="I1265" s="27">
        <v>0</v>
      </c>
      <c r="J1265" s="27">
        <v>0</v>
      </c>
      <c r="K1265" s="27">
        <v>0</v>
      </c>
      <c r="L1265" s="27">
        <v>1</v>
      </c>
      <c r="M1265" s="27">
        <v>0</v>
      </c>
      <c r="N1265" s="27">
        <v>0</v>
      </c>
      <c r="O1265" s="27">
        <v>0</v>
      </c>
      <c r="P1265" s="25">
        <v>700</v>
      </c>
      <c r="Q1265" s="25">
        <v>560</v>
      </c>
      <c r="R1265" s="25" t="s">
        <v>87</v>
      </c>
      <c r="S1265" s="25" t="s">
        <v>89</v>
      </c>
      <c r="T1265" s="25">
        <v>0</v>
      </c>
      <c r="U1265" s="25">
        <v>0</v>
      </c>
      <c r="V1265" s="25">
        <v>0</v>
      </c>
      <c r="W1265" s="25">
        <v>0</v>
      </c>
      <c r="X1265" s="25">
        <v>1</v>
      </c>
      <c r="Y1265" s="25">
        <v>0</v>
      </c>
      <c r="Z1265" s="25">
        <v>0</v>
      </c>
      <c r="AA1265" s="25">
        <v>0</v>
      </c>
      <c r="AB1265" s="25">
        <v>0</v>
      </c>
      <c r="AC1265" s="25">
        <v>0</v>
      </c>
      <c r="AD1265" s="25">
        <v>0</v>
      </c>
      <c r="AE1265" s="25">
        <v>1</v>
      </c>
      <c r="AF1265" s="25" t="s">
        <v>132</v>
      </c>
    </row>
    <row r="1266" spans="1:32" s="25" customFormat="1" x14ac:dyDescent="0.25">
      <c r="A1266" s="25" t="s">
        <v>188</v>
      </c>
      <c r="B1266" s="25">
        <f t="shared" si="34"/>
        <v>10210</v>
      </c>
      <c r="C1266" s="25" t="s">
        <v>12</v>
      </c>
      <c r="D1266" s="25">
        <v>0</v>
      </c>
      <c r="E1266" s="25">
        <v>0</v>
      </c>
      <c r="F1266" s="25">
        <v>256</v>
      </c>
      <c r="G1266" s="25">
        <v>222</v>
      </c>
      <c r="H1266" s="27">
        <v>0</v>
      </c>
      <c r="I1266" s="27">
        <v>0</v>
      </c>
      <c r="J1266" s="27">
        <v>0</v>
      </c>
      <c r="K1266" s="27">
        <v>0</v>
      </c>
      <c r="L1266" s="27">
        <v>1</v>
      </c>
      <c r="M1266" s="27">
        <v>0</v>
      </c>
      <c r="N1266" s="27">
        <v>0</v>
      </c>
      <c r="O1266" s="27">
        <v>0</v>
      </c>
      <c r="P1266" s="25">
        <v>700</v>
      </c>
      <c r="Q1266" s="25">
        <v>560</v>
      </c>
      <c r="R1266" s="25" t="s">
        <v>87</v>
      </c>
      <c r="S1266" s="25" t="s">
        <v>89</v>
      </c>
      <c r="T1266" s="25">
        <v>0</v>
      </c>
      <c r="U1266" s="25">
        <v>0</v>
      </c>
      <c r="V1266" s="25">
        <v>0</v>
      </c>
      <c r="W1266" s="25">
        <v>0</v>
      </c>
      <c r="X1266" s="25">
        <v>1</v>
      </c>
      <c r="Y1266" s="25">
        <v>0</v>
      </c>
      <c r="Z1266" s="25">
        <v>0</v>
      </c>
      <c r="AA1266" s="25">
        <v>0</v>
      </c>
      <c r="AB1266" s="25">
        <v>0</v>
      </c>
      <c r="AC1266" s="25">
        <v>0</v>
      </c>
      <c r="AD1266" s="25">
        <v>0</v>
      </c>
      <c r="AE1266" s="25">
        <v>1</v>
      </c>
      <c r="AF1266" s="25" t="s">
        <v>132</v>
      </c>
    </row>
    <row r="1267" spans="1:32" s="25" customFormat="1" x14ac:dyDescent="0.25">
      <c r="A1267" s="25" t="s">
        <v>188</v>
      </c>
      <c r="B1267" s="25">
        <f t="shared" si="34"/>
        <v>10220</v>
      </c>
      <c r="C1267" s="25" t="s">
        <v>12</v>
      </c>
      <c r="D1267" s="25">
        <v>0</v>
      </c>
      <c r="E1267" s="25">
        <v>0</v>
      </c>
      <c r="F1267" s="25">
        <v>256</v>
      </c>
      <c r="G1267" s="25">
        <v>222</v>
      </c>
      <c r="H1267" s="27">
        <v>0</v>
      </c>
      <c r="I1267" s="27">
        <v>0</v>
      </c>
      <c r="J1267" s="27">
        <v>0</v>
      </c>
      <c r="K1267" s="27">
        <v>0</v>
      </c>
      <c r="L1267" s="27">
        <v>1</v>
      </c>
      <c r="M1267" s="27">
        <v>0</v>
      </c>
      <c r="N1267" s="27">
        <v>0</v>
      </c>
      <c r="O1267" s="27">
        <v>0</v>
      </c>
      <c r="P1267" s="25">
        <v>700</v>
      </c>
      <c r="Q1267" s="25">
        <v>560</v>
      </c>
      <c r="R1267" s="25" t="s">
        <v>87</v>
      </c>
      <c r="S1267" s="25" t="s">
        <v>89</v>
      </c>
      <c r="T1267" s="25">
        <v>0</v>
      </c>
      <c r="U1267" s="25">
        <v>0</v>
      </c>
      <c r="V1267" s="25">
        <v>0</v>
      </c>
      <c r="W1267" s="25">
        <v>0</v>
      </c>
      <c r="X1267" s="25">
        <v>1</v>
      </c>
      <c r="Y1267" s="25">
        <v>0</v>
      </c>
      <c r="Z1267" s="25">
        <v>0</v>
      </c>
      <c r="AA1267" s="25">
        <v>0</v>
      </c>
      <c r="AB1267" s="25">
        <v>0</v>
      </c>
      <c r="AC1267" s="25">
        <v>0</v>
      </c>
      <c r="AD1267" s="25">
        <v>0</v>
      </c>
      <c r="AE1267" s="25">
        <v>1</v>
      </c>
      <c r="AF1267" s="25" t="s">
        <v>132</v>
      </c>
    </row>
    <row r="1268" spans="1:32" x14ac:dyDescent="0.25">
      <c r="A1268" t="s">
        <v>188</v>
      </c>
      <c r="B1268" s="25">
        <f t="shared" si="34"/>
        <v>10230</v>
      </c>
      <c r="C1268" t="s">
        <v>12</v>
      </c>
      <c r="D1268">
        <v>0</v>
      </c>
      <c r="E1268">
        <v>0</v>
      </c>
      <c r="F1268">
        <v>256</v>
      </c>
      <c r="G1268">
        <v>222</v>
      </c>
      <c r="H1268" s="27">
        <v>0</v>
      </c>
      <c r="I1268" s="27">
        <v>0</v>
      </c>
      <c r="J1268" s="27">
        <v>0</v>
      </c>
      <c r="K1268" s="27">
        <v>0</v>
      </c>
      <c r="L1268" s="27">
        <v>1</v>
      </c>
      <c r="M1268" s="27">
        <v>0</v>
      </c>
      <c r="N1268" s="27">
        <v>0</v>
      </c>
      <c r="O1268" s="27">
        <v>0</v>
      </c>
      <c r="P1268">
        <v>700</v>
      </c>
      <c r="Q1268">
        <v>560</v>
      </c>
      <c r="R1268" t="s">
        <v>87</v>
      </c>
      <c r="S1268" t="s">
        <v>89</v>
      </c>
      <c r="T1268">
        <v>0</v>
      </c>
      <c r="U1268">
        <v>0</v>
      </c>
      <c r="V1268">
        <v>0</v>
      </c>
      <c r="W1268">
        <v>0</v>
      </c>
      <c r="X1268">
        <v>1</v>
      </c>
      <c r="Y1268">
        <v>0</v>
      </c>
      <c r="Z1268">
        <v>0</v>
      </c>
      <c r="AA1268">
        <v>0</v>
      </c>
      <c r="AB1268">
        <v>0</v>
      </c>
      <c r="AC1268">
        <v>0</v>
      </c>
      <c r="AD1268">
        <v>0</v>
      </c>
      <c r="AE1268">
        <v>1</v>
      </c>
      <c r="AF1268" t="s">
        <v>132</v>
      </c>
    </row>
    <row r="1269" spans="1:32" x14ac:dyDescent="0.25">
      <c r="A1269" t="s">
        <v>188</v>
      </c>
      <c r="B1269" s="25">
        <f t="shared" si="34"/>
        <v>10240</v>
      </c>
      <c r="C1269" t="s">
        <v>12</v>
      </c>
      <c r="D1269" t="s">
        <v>13</v>
      </c>
      <c r="E1269" t="s">
        <v>13</v>
      </c>
      <c r="F1269" t="s">
        <v>13</v>
      </c>
      <c r="G1269" t="s">
        <v>13</v>
      </c>
      <c r="H1269" s="27" t="s">
        <v>13</v>
      </c>
      <c r="I1269" s="27" t="s">
        <v>13</v>
      </c>
      <c r="J1269" s="27" t="s">
        <v>13</v>
      </c>
      <c r="K1269" s="27" t="s">
        <v>13</v>
      </c>
      <c r="L1269" s="27" t="s">
        <v>13</v>
      </c>
      <c r="M1269" s="27" t="s">
        <v>13</v>
      </c>
      <c r="N1269" s="27" t="s">
        <v>13</v>
      </c>
      <c r="O1269" s="27" t="s">
        <v>13</v>
      </c>
      <c r="P1269">
        <v>700</v>
      </c>
      <c r="Q1269">
        <v>560</v>
      </c>
      <c r="R1269" t="s">
        <v>87</v>
      </c>
      <c r="S1269" t="s">
        <v>89</v>
      </c>
      <c r="T1269">
        <v>0</v>
      </c>
      <c r="U1269">
        <v>0</v>
      </c>
      <c r="V1269">
        <v>0</v>
      </c>
      <c r="W1269">
        <v>0</v>
      </c>
      <c r="X1269">
        <v>1</v>
      </c>
      <c r="Y1269">
        <v>0</v>
      </c>
      <c r="Z1269">
        <v>0</v>
      </c>
      <c r="AA1269">
        <v>0</v>
      </c>
      <c r="AB1269">
        <v>0</v>
      </c>
      <c r="AC1269">
        <v>0</v>
      </c>
      <c r="AD1269">
        <v>0</v>
      </c>
      <c r="AE1269">
        <v>1</v>
      </c>
      <c r="AF1269" t="s">
        <v>128</v>
      </c>
    </row>
    <row r="1270" spans="1:32" x14ac:dyDescent="0.25">
      <c r="A1270" t="s">
        <v>188</v>
      </c>
      <c r="B1270" s="25">
        <f t="shared" si="34"/>
        <v>10250</v>
      </c>
      <c r="C1270" t="s">
        <v>12</v>
      </c>
      <c r="D1270" t="s">
        <v>13</v>
      </c>
      <c r="E1270" t="s">
        <v>13</v>
      </c>
      <c r="F1270" t="s">
        <v>13</v>
      </c>
      <c r="G1270" t="s">
        <v>13</v>
      </c>
      <c r="H1270" s="27" t="s">
        <v>13</v>
      </c>
      <c r="I1270" s="27" t="s">
        <v>13</v>
      </c>
      <c r="J1270" s="27" t="s">
        <v>13</v>
      </c>
      <c r="K1270" s="27" t="s">
        <v>13</v>
      </c>
      <c r="L1270" s="27" t="s">
        <v>13</v>
      </c>
      <c r="M1270" s="27" t="s">
        <v>13</v>
      </c>
      <c r="N1270" s="27" t="s">
        <v>13</v>
      </c>
      <c r="O1270" s="27" t="s">
        <v>13</v>
      </c>
      <c r="P1270">
        <v>700</v>
      </c>
      <c r="Q1270">
        <v>560</v>
      </c>
      <c r="R1270" t="s">
        <v>87</v>
      </c>
      <c r="S1270" t="s">
        <v>89</v>
      </c>
      <c r="T1270">
        <v>0</v>
      </c>
      <c r="U1270">
        <v>0</v>
      </c>
      <c r="V1270">
        <v>0</v>
      </c>
      <c r="W1270">
        <v>0</v>
      </c>
      <c r="X1270">
        <v>1</v>
      </c>
      <c r="Y1270">
        <v>0</v>
      </c>
      <c r="Z1270">
        <v>0</v>
      </c>
      <c r="AA1270">
        <v>0</v>
      </c>
      <c r="AB1270">
        <v>0</v>
      </c>
      <c r="AC1270">
        <v>0</v>
      </c>
      <c r="AD1270">
        <v>0</v>
      </c>
      <c r="AE1270">
        <v>1</v>
      </c>
      <c r="AF1270" t="s">
        <v>129</v>
      </c>
    </row>
    <row r="1271" spans="1:32" x14ac:dyDescent="0.25">
      <c r="A1271" t="s">
        <v>188</v>
      </c>
      <c r="B1271" s="25">
        <f t="shared" si="34"/>
        <v>10260</v>
      </c>
      <c r="C1271" t="s">
        <v>12</v>
      </c>
      <c r="D1271" t="s">
        <v>13</v>
      </c>
      <c r="E1271" t="s">
        <v>13</v>
      </c>
      <c r="F1271" t="s">
        <v>13</v>
      </c>
      <c r="G1271" t="s">
        <v>13</v>
      </c>
      <c r="H1271" s="27" t="s">
        <v>13</v>
      </c>
      <c r="I1271" s="27" t="s">
        <v>13</v>
      </c>
      <c r="J1271" s="27" t="s">
        <v>13</v>
      </c>
      <c r="K1271" s="27" t="s">
        <v>13</v>
      </c>
      <c r="L1271" s="27" t="s">
        <v>13</v>
      </c>
      <c r="M1271" s="27" t="s">
        <v>13</v>
      </c>
      <c r="N1271" s="27" t="s">
        <v>13</v>
      </c>
      <c r="O1271" s="27" t="s">
        <v>13</v>
      </c>
      <c r="P1271">
        <v>700</v>
      </c>
      <c r="Q1271">
        <v>560</v>
      </c>
      <c r="R1271" t="s">
        <v>87</v>
      </c>
      <c r="S1271" t="s">
        <v>89</v>
      </c>
      <c r="T1271">
        <v>0</v>
      </c>
      <c r="U1271">
        <v>0</v>
      </c>
      <c r="V1271">
        <v>0</v>
      </c>
      <c r="W1271">
        <v>0</v>
      </c>
      <c r="X1271">
        <v>1</v>
      </c>
      <c r="Y1271">
        <v>0</v>
      </c>
      <c r="Z1271">
        <v>0</v>
      </c>
      <c r="AA1271">
        <v>0</v>
      </c>
      <c r="AB1271">
        <v>0</v>
      </c>
      <c r="AC1271">
        <v>0</v>
      </c>
      <c r="AD1271">
        <v>0</v>
      </c>
      <c r="AE1271">
        <v>1</v>
      </c>
      <c r="AF1271" t="s">
        <v>130</v>
      </c>
    </row>
    <row r="1272" spans="1:32" x14ac:dyDescent="0.25">
      <c r="A1272" t="s">
        <v>188</v>
      </c>
      <c r="B1272" s="25">
        <f t="shared" si="34"/>
        <v>10270</v>
      </c>
      <c r="C1272" t="s">
        <v>12</v>
      </c>
      <c r="D1272">
        <v>0</v>
      </c>
      <c r="E1272">
        <v>0</v>
      </c>
      <c r="F1272">
        <v>256</v>
      </c>
      <c r="G1272">
        <v>222</v>
      </c>
      <c r="H1272" s="27">
        <v>0</v>
      </c>
      <c r="I1272" s="27">
        <v>0</v>
      </c>
      <c r="J1272" s="27">
        <v>0</v>
      </c>
      <c r="K1272" s="27">
        <v>0</v>
      </c>
      <c r="L1272" s="27">
        <v>1</v>
      </c>
      <c r="M1272" s="27">
        <v>0</v>
      </c>
      <c r="N1272" s="27">
        <v>0</v>
      </c>
      <c r="O1272" s="27">
        <v>0</v>
      </c>
      <c r="P1272">
        <v>700</v>
      </c>
      <c r="Q1272">
        <v>560</v>
      </c>
      <c r="R1272" t="s">
        <v>87</v>
      </c>
      <c r="S1272" t="s">
        <v>89</v>
      </c>
      <c r="T1272">
        <v>0</v>
      </c>
      <c r="U1272">
        <v>0</v>
      </c>
      <c r="V1272">
        <v>0</v>
      </c>
      <c r="W1272">
        <v>0</v>
      </c>
      <c r="X1272">
        <v>1</v>
      </c>
      <c r="Y1272">
        <v>0</v>
      </c>
      <c r="Z1272">
        <v>0</v>
      </c>
      <c r="AA1272">
        <v>0</v>
      </c>
      <c r="AB1272">
        <v>0</v>
      </c>
      <c r="AC1272">
        <v>0</v>
      </c>
      <c r="AD1272">
        <v>0</v>
      </c>
      <c r="AE1272">
        <v>1</v>
      </c>
      <c r="AF1272" t="s">
        <v>131</v>
      </c>
    </row>
    <row r="1273" spans="1:32" s="25" customFormat="1" x14ac:dyDescent="0.25">
      <c r="A1273" s="25" t="s">
        <v>188</v>
      </c>
      <c r="B1273" s="25">
        <f t="shared" ref="B1273:B1323" si="35">B1272+10</f>
        <v>10280</v>
      </c>
      <c r="C1273" s="25" t="s">
        <v>12</v>
      </c>
      <c r="D1273" s="25">
        <v>0</v>
      </c>
      <c r="E1273" s="25">
        <v>0</v>
      </c>
      <c r="F1273" s="25">
        <v>256</v>
      </c>
      <c r="G1273" s="25">
        <v>222</v>
      </c>
      <c r="H1273" s="27">
        <v>0</v>
      </c>
      <c r="I1273" s="27">
        <v>0</v>
      </c>
      <c r="J1273" s="27">
        <v>0</v>
      </c>
      <c r="K1273" s="27">
        <v>0</v>
      </c>
      <c r="L1273" s="27">
        <v>1</v>
      </c>
      <c r="M1273" s="27">
        <v>0</v>
      </c>
      <c r="N1273" s="27">
        <v>0</v>
      </c>
      <c r="O1273" s="27">
        <v>0</v>
      </c>
      <c r="P1273" s="25">
        <v>700</v>
      </c>
      <c r="Q1273" s="25">
        <v>560</v>
      </c>
      <c r="R1273" s="25" t="s">
        <v>87</v>
      </c>
      <c r="S1273" s="25" t="s">
        <v>89</v>
      </c>
      <c r="T1273" s="25">
        <v>0</v>
      </c>
      <c r="U1273" s="25">
        <v>0</v>
      </c>
      <c r="V1273" s="25">
        <v>0</v>
      </c>
      <c r="W1273" s="25">
        <v>0</v>
      </c>
      <c r="X1273" s="25">
        <v>1</v>
      </c>
      <c r="Y1273" s="25">
        <v>0</v>
      </c>
      <c r="Z1273" s="25">
        <v>0</v>
      </c>
      <c r="AA1273" s="25">
        <v>0</v>
      </c>
      <c r="AB1273" s="25">
        <v>0</v>
      </c>
      <c r="AC1273" s="25">
        <v>0</v>
      </c>
      <c r="AD1273" s="25">
        <v>0</v>
      </c>
      <c r="AE1273" s="25">
        <v>1</v>
      </c>
      <c r="AF1273" s="25" t="s">
        <v>131</v>
      </c>
    </row>
    <row r="1274" spans="1:32" s="25" customFormat="1" x14ac:dyDescent="0.25">
      <c r="A1274" s="25" t="s">
        <v>188</v>
      </c>
      <c r="B1274" s="25">
        <f t="shared" si="35"/>
        <v>10290</v>
      </c>
      <c r="C1274" s="25" t="s">
        <v>12</v>
      </c>
      <c r="D1274" s="25">
        <v>0</v>
      </c>
      <c r="E1274" s="25">
        <v>0</v>
      </c>
      <c r="F1274" s="25">
        <v>256</v>
      </c>
      <c r="G1274" s="25">
        <v>222</v>
      </c>
      <c r="H1274" s="27">
        <v>0</v>
      </c>
      <c r="I1274" s="27">
        <v>0</v>
      </c>
      <c r="J1274" s="27">
        <v>0</v>
      </c>
      <c r="K1274" s="27">
        <v>0</v>
      </c>
      <c r="L1274" s="27">
        <v>1</v>
      </c>
      <c r="M1274" s="27">
        <v>0</v>
      </c>
      <c r="N1274" s="27">
        <v>0</v>
      </c>
      <c r="O1274" s="27">
        <v>0</v>
      </c>
      <c r="P1274" s="25">
        <v>700</v>
      </c>
      <c r="Q1274" s="25">
        <v>560</v>
      </c>
      <c r="R1274" s="25" t="s">
        <v>87</v>
      </c>
      <c r="S1274" s="25" t="s">
        <v>89</v>
      </c>
      <c r="T1274" s="25">
        <v>0</v>
      </c>
      <c r="U1274" s="25">
        <v>0</v>
      </c>
      <c r="V1274" s="25">
        <v>0</v>
      </c>
      <c r="W1274" s="25">
        <v>0</v>
      </c>
      <c r="X1274" s="25">
        <v>1</v>
      </c>
      <c r="Y1274" s="25">
        <v>0</v>
      </c>
      <c r="Z1274" s="25">
        <v>0</v>
      </c>
      <c r="AA1274" s="25">
        <v>0</v>
      </c>
      <c r="AB1274" s="25">
        <v>0</v>
      </c>
      <c r="AC1274" s="25">
        <v>0</v>
      </c>
      <c r="AD1274" s="25">
        <v>0</v>
      </c>
      <c r="AE1274" s="25">
        <v>1</v>
      </c>
      <c r="AF1274" s="25" t="s">
        <v>131</v>
      </c>
    </row>
    <row r="1275" spans="1:32" s="25" customFormat="1" x14ac:dyDescent="0.25">
      <c r="A1275" s="25" t="s">
        <v>188</v>
      </c>
      <c r="B1275" s="25">
        <f t="shared" si="35"/>
        <v>10300</v>
      </c>
      <c r="C1275" s="25" t="s">
        <v>12</v>
      </c>
      <c r="D1275" s="25">
        <v>0</v>
      </c>
      <c r="E1275" s="25">
        <v>0</v>
      </c>
      <c r="F1275" s="25">
        <v>256</v>
      </c>
      <c r="G1275" s="25">
        <v>222</v>
      </c>
      <c r="H1275" s="27">
        <v>0</v>
      </c>
      <c r="I1275" s="27">
        <v>0</v>
      </c>
      <c r="J1275" s="27">
        <v>0</v>
      </c>
      <c r="K1275" s="27">
        <v>0</v>
      </c>
      <c r="L1275" s="27">
        <v>1</v>
      </c>
      <c r="M1275" s="27">
        <v>0</v>
      </c>
      <c r="N1275" s="27">
        <v>0</v>
      </c>
      <c r="O1275" s="27">
        <v>0</v>
      </c>
      <c r="P1275" s="25">
        <v>700</v>
      </c>
      <c r="Q1275" s="25">
        <v>560</v>
      </c>
      <c r="R1275" s="25" t="s">
        <v>87</v>
      </c>
      <c r="S1275" s="25" t="s">
        <v>89</v>
      </c>
      <c r="T1275" s="25">
        <v>0</v>
      </c>
      <c r="U1275" s="25">
        <v>0</v>
      </c>
      <c r="V1275" s="25">
        <v>0</v>
      </c>
      <c r="W1275" s="25">
        <v>0</v>
      </c>
      <c r="X1275" s="25">
        <v>1</v>
      </c>
      <c r="Y1275" s="25">
        <v>0</v>
      </c>
      <c r="Z1275" s="25">
        <v>0</v>
      </c>
      <c r="AA1275" s="25">
        <v>0</v>
      </c>
      <c r="AB1275" s="25">
        <v>0</v>
      </c>
      <c r="AC1275" s="25">
        <v>0</v>
      </c>
      <c r="AD1275" s="25">
        <v>0</v>
      </c>
      <c r="AE1275" s="25">
        <v>1</v>
      </c>
      <c r="AF1275" s="25" t="s">
        <v>131</v>
      </c>
    </row>
    <row r="1276" spans="1:32" s="25" customFormat="1" x14ac:dyDescent="0.25">
      <c r="A1276" s="25" t="s">
        <v>188</v>
      </c>
      <c r="B1276" s="25">
        <f t="shared" si="35"/>
        <v>10310</v>
      </c>
      <c r="C1276" s="25" t="s">
        <v>12</v>
      </c>
      <c r="D1276" s="25">
        <v>0</v>
      </c>
      <c r="E1276" s="25">
        <v>0</v>
      </c>
      <c r="F1276" s="25">
        <v>256</v>
      </c>
      <c r="G1276" s="25">
        <v>222</v>
      </c>
      <c r="H1276" s="27">
        <v>0</v>
      </c>
      <c r="I1276" s="27">
        <v>0</v>
      </c>
      <c r="J1276" s="27">
        <v>0</v>
      </c>
      <c r="K1276" s="27">
        <v>0</v>
      </c>
      <c r="L1276" s="27">
        <v>1</v>
      </c>
      <c r="M1276" s="27">
        <v>0</v>
      </c>
      <c r="N1276" s="27">
        <v>0</v>
      </c>
      <c r="O1276" s="27">
        <v>0</v>
      </c>
      <c r="P1276" s="25">
        <v>700</v>
      </c>
      <c r="Q1276" s="25">
        <v>560</v>
      </c>
      <c r="R1276" s="25" t="s">
        <v>87</v>
      </c>
      <c r="S1276" s="25" t="s">
        <v>89</v>
      </c>
      <c r="T1276" s="25">
        <v>0</v>
      </c>
      <c r="U1276" s="25">
        <v>0</v>
      </c>
      <c r="V1276" s="25">
        <v>0</v>
      </c>
      <c r="W1276" s="25">
        <v>0</v>
      </c>
      <c r="X1276" s="25">
        <v>1</v>
      </c>
      <c r="Y1276" s="25">
        <v>0</v>
      </c>
      <c r="Z1276" s="25">
        <v>0</v>
      </c>
      <c r="AA1276" s="25">
        <v>0</v>
      </c>
      <c r="AB1276" s="25">
        <v>0</v>
      </c>
      <c r="AC1276" s="25">
        <v>0</v>
      </c>
      <c r="AD1276" s="25">
        <v>0</v>
      </c>
      <c r="AE1276" s="25">
        <v>1</v>
      </c>
      <c r="AF1276" s="25" t="s">
        <v>131</v>
      </c>
    </row>
    <row r="1277" spans="1:32" s="25" customFormat="1" x14ac:dyDescent="0.25">
      <c r="A1277" s="25" t="s">
        <v>188</v>
      </c>
      <c r="B1277" s="25">
        <f t="shared" si="35"/>
        <v>10320</v>
      </c>
      <c r="C1277" s="25" t="s">
        <v>12</v>
      </c>
      <c r="D1277" s="25">
        <v>0</v>
      </c>
      <c r="E1277" s="25">
        <v>0</v>
      </c>
      <c r="F1277" s="25">
        <v>256</v>
      </c>
      <c r="G1277" s="25">
        <v>222</v>
      </c>
      <c r="H1277" s="27">
        <v>0</v>
      </c>
      <c r="I1277" s="27">
        <v>0</v>
      </c>
      <c r="J1277" s="27">
        <v>0</v>
      </c>
      <c r="K1277" s="27">
        <v>0</v>
      </c>
      <c r="L1277" s="27">
        <v>1</v>
      </c>
      <c r="M1277" s="27">
        <v>0</v>
      </c>
      <c r="N1277" s="27">
        <v>0</v>
      </c>
      <c r="O1277" s="27">
        <v>0</v>
      </c>
      <c r="P1277" s="25">
        <v>700</v>
      </c>
      <c r="Q1277" s="25">
        <v>560</v>
      </c>
      <c r="R1277" s="25" t="s">
        <v>87</v>
      </c>
      <c r="S1277" s="25" t="s">
        <v>89</v>
      </c>
      <c r="T1277" s="25">
        <v>0</v>
      </c>
      <c r="U1277" s="25">
        <v>0</v>
      </c>
      <c r="V1277" s="25">
        <v>0</v>
      </c>
      <c r="W1277" s="25">
        <v>0</v>
      </c>
      <c r="X1277" s="25">
        <v>1</v>
      </c>
      <c r="Y1277" s="25">
        <v>0</v>
      </c>
      <c r="Z1277" s="25">
        <v>0</v>
      </c>
      <c r="AA1277" s="25">
        <v>0</v>
      </c>
      <c r="AB1277" s="25">
        <v>0</v>
      </c>
      <c r="AC1277" s="25">
        <v>0</v>
      </c>
      <c r="AD1277" s="25">
        <v>0</v>
      </c>
      <c r="AE1277" s="25">
        <v>1</v>
      </c>
      <c r="AF1277" s="25" t="s">
        <v>131</v>
      </c>
    </row>
    <row r="1278" spans="1:32" s="25" customFormat="1" x14ac:dyDescent="0.25">
      <c r="A1278" s="25" t="s">
        <v>188</v>
      </c>
      <c r="B1278" s="25">
        <f t="shared" si="35"/>
        <v>10330</v>
      </c>
      <c r="C1278" s="25" t="s">
        <v>12</v>
      </c>
      <c r="D1278" s="25">
        <v>0</v>
      </c>
      <c r="E1278" s="25">
        <v>0</v>
      </c>
      <c r="F1278" s="25">
        <v>256</v>
      </c>
      <c r="G1278" s="25">
        <v>222</v>
      </c>
      <c r="H1278" s="27">
        <v>0</v>
      </c>
      <c r="I1278" s="27">
        <v>0</v>
      </c>
      <c r="J1278" s="27">
        <v>0</v>
      </c>
      <c r="K1278" s="27">
        <v>0</v>
      </c>
      <c r="L1278" s="27">
        <v>1</v>
      </c>
      <c r="M1278" s="27">
        <v>0</v>
      </c>
      <c r="N1278" s="27">
        <v>0</v>
      </c>
      <c r="O1278" s="27">
        <v>0</v>
      </c>
      <c r="P1278" s="25">
        <v>700</v>
      </c>
      <c r="Q1278" s="25">
        <v>560</v>
      </c>
      <c r="R1278" s="25" t="s">
        <v>87</v>
      </c>
      <c r="S1278" s="25" t="s">
        <v>89</v>
      </c>
      <c r="T1278" s="25">
        <v>0</v>
      </c>
      <c r="U1278" s="25">
        <v>0</v>
      </c>
      <c r="V1278" s="25">
        <v>0</v>
      </c>
      <c r="W1278" s="25">
        <v>0</v>
      </c>
      <c r="X1278" s="25">
        <v>1</v>
      </c>
      <c r="Y1278" s="25">
        <v>0</v>
      </c>
      <c r="Z1278" s="25">
        <v>0</v>
      </c>
      <c r="AA1278" s="25">
        <v>0</v>
      </c>
      <c r="AB1278" s="25">
        <v>0</v>
      </c>
      <c r="AC1278" s="25">
        <v>0</v>
      </c>
      <c r="AD1278" s="25">
        <v>0</v>
      </c>
      <c r="AE1278" s="25">
        <v>1</v>
      </c>
      <c r="AF1278" s="25" t="s">
        <v>131</v>
      </c>
    </row>
    <row r="1279" spans="1:32" s="25" customFormat="1" x14ac:dyDescent="0.25">
      <c r="A1279" s="25" t="s">
        <v>188</v>
      </c>
      <c r="B1279" s="25">
        <f t="shared" si="35"/>
        <v>10340</v>
      </c>
      <c r="C1279" s="25" t="s">
        <v>12</v>
      </c>
      <c r="D1279" s="25">
        <v>0</v>
      </c>
      <c r="E1279" s="25">
        <v>0</v>
      </c>
      <c r="F1279" s="25">
        <v>256</v>
      </c>
      <c r="G1279" s="25">
        <v>222</v>
      </c>
      <c r="H1279" s="27">
        <v>0</v>
      </c>
      <c r="I1279" s="27">
        <v>0</v>
      </c>
      <c r="J1279" s="27">
        <v>0</v>
      </c>
      <c r="K1279" s="27">
        <v>0</v>
      </c>
      <c r="L1279" s="27">
        <v>1</v>
      </c>
      <c r="M1279" s="27">
        <v>0</v>
      </c>
      <c r="N1279" s="27">
        <v>0</v>
      </c>
      <c r="O1279" s="27">
        <v>0</v>
      </c>
      <c r="P1279" s="25">
        <v>700</v>
      </c>
      <c r="Q1279" s="25">
        <v>560</v>
      </c>
      <c r="R1279" s="25" t="s">
        <v>87</v>
      </c>
      <c r="S1279" s="25" t="s">
        <v>89</v>
      </c>
      <c r="T1279" s="25">
        <v>0</v>
      </c>
      <c r="U1279" s="25">
        <v>0</v>
      </c>
      <c r="V1279" s="25">
        <v>0</v>
      </c>
      <c r="W1279" s="25">
        <v>0</v>
      </c>
      <c r="X1279" s="25">
        <v>1</v>
      </c>
      <c r="Y1279" s="25">
        <v>0</v>
      </c>
      <c r="Z1279" s="25">
        <v>0</v>
      </c>
      <c r="AA1279" s="25">
        <v>0</v>
      </c>
      <c r="AB1279" s="25">
        <v>0</v>
      </c>
      <c r="AC1279" s="25">
        <v>0</v>
      </c>
      <c r="AD1279" s="25">
        <v>0</v>
      </c>
      <c r="AE1279" s="25">
        <v>1</v>
      </c>
      <c r="AF1279" s="25" t="s">
        <v>131</v>
      </c>
    </row>
    <row r="1280" spans="1:32" s="25" customFormat="1" x14ac:dyDescent="0.25">
      <c r="A1280" s="25" t="s">
        <v>188</v>
      </c>
      <c r="B1280" s="25">
        <f t="shared" si="35"/>
        <v>10350</v>
      </c>
      <c r="C1280" s="25" t="s">
        <v>12</v>
      </c>
      <c r="D1280" s="25">
        <v>0</v>
      </c>
      <c r="E1280" s="25">
        <v>0</v>
      </c>
      <c r="F1280" s="25">
        <v>256</v>
      </c>
      <c r="G1280" s="25">
        <v>222</v>
      </c>
      <c r="H1280" s="27">
        <v>0</v>
      </c>
      <c r="I1280" s="27">
        <v>0</v>
      </c>
      <c r="J1280" s="27">
        <v>0</v>
      </c>
      <c r="K1280" s="27">
        <v>0</v>
      </c>
      <c r="L1280" s="27">
        <v>1</v>
      </c>
      <c r="M1280" s="27">
        <v>0</v>
      </c>
      <c r="N1280" s="27">
        <v>0</v>
      </c>
      <c r="O1280" s="27">
        <v>0</v>
      </c>
      <c r="P1280" s="25">
        <v>700</v>
      </c>
      <c r="Q1280" s="25">
        <v>560</v>
      </c>
      <c r="R1280" s="25" t="s">
        <v>87</v>
      </c>
      <c r="S1280" s="25" t="s">
        <v>89</v>
      </c>
      <c r="T1280" s="25">
        <v>0</v>
      </c>
      <c r="U1280" s="25">
        <v>0</v>
      </c>
      <c r="V1280" s="25">
        <v>0</v>
      </c>
      <c r="W1280" s="25">
        <v>0</v>
      </c>
      <c r="X1280" s="25">
        <v>1</v>
      </c>
      <c r="Y1280" s="25">
        <v>0</v>
      </c>
      <c r="Z1280" s="25">
        <v>0</v>
      </c>
      <c r="AA1280" s="25">
        <v>0</v>
      </c>
      <c r="AB1280" s="25">
        <v>0</v>
      </c>
      <c r="AC1280" s="25">
        <v>0</v>
      </c>
      <c r="AD1280" s="25">
        <v>0</v>
      </c>
      <c r="AE1280" s="25">
        <v>1</v>
      </c>
      <c r="AF1280" s="25" t="s">
        <v>131</v>
      </c>
    </row>
    <row r="1281" spans="1:32" s="25" customFormat="1" x14ac:dyDescent="0.25">
      <c r="A1281" s="25" t="s">
        <v>188</v>
      </c>
      <c r="B1281" s="25">
        <f t="shared" si="35"/>
        <v>10360</v>
      </c>
      <c r="C1281" s="25" t="s">
        <v>12</v>
      </c>
      <c r="D1281" s="25">
        <v>0</v>
      </c>
      <c r="E1281" s="25">
        <v>0</v>
      </c>
      <c r="F1281" s="25">
        <v>256</v>
      </c>
      <c r="G1281" s="25">
        <v>222</v>
      </c>
      <c r="H1281" s="27">
        <v>0</v>
      </c>
      <c r="I1281" s="27">
        <v>0</v>
      </c>
      <c r="J1281" s="27">
        <v>0</v>
      </c>
      <c r="K1281" s="27">
        <v>0</v>
      </c>
      <c r="L1281" s="27">
        <v>1</v>
      </c>
      <c r="M1281" s="27">
        <v>0</v>
      </c>
      <c r="N1281" s="27">
        <v>0</v>
      </c>
      <c r="O1281" s="27">
        <v>0</v>
      </c>
      <c r="P1281" s="25">
        <v>700</v>
      </c>
      <c r="Q1281" s="25">
        <v>560</v>
      </c>
      <c r="R1281" s="25" t="s">
        <v>87</v>
      </c>
      <c r="S1281" s="25" t="s">
        <v>89</v>
      </c>
      <c r="T1281" s="25">
        <v>0</v>
      </c>
      <c r="U1281" s="25">
        <v>0</v>
      </c>
      <c r="V1281" s="25">
        <v>0</v>
      </c>
      <c r="W1281" s="25">
        <v>0</v>
      </c>
      <c r="X1281" s="25">
        <v>1</v>
      </c>
      <c r="Y1281" s="25">
        <v>0</v>
      </c>
      <c r="Z1281" s="25">
        <v>0</v>
      </c>
      <c r="AA1281" s="25">
        <v>0</v>
      </c>
      <c r="AB1281" s="25">
        <v>0</v>
      </c>
      <c r="AC1281" s="25">
        <v>0</v>
      </c>
      <c r="AD1281" s="25">
        <v>0</v>
      </c>
      <c r="AE1281" s="25">
        <v>1</v>
      </c>
      <c r="AF1281" s="25" t="s">
        <v>131</v>
      </c>
    </row>
    <row r="1282" spans="1:32" s="25" customFormat="1" x14ac:dyDescent="0.25">
      <c r="A1282" s="25" t="s">
        <v>188</v>
      </c>
      <c r="B1282" s="25">
        <f t="shared" si="35"/>
        <v>10370</v>
      </c>
      <c r="C1282" s="25" t="s">
        <v>12</v>
      </c>
      <c r="D1282" s="25">
        <v>0</v>
      </c>
      <c r="E1282" s="25">
        <v>0</v>
      </c>
      <c r="F1282" s="25">
        <v>256</v>
      </c>
      <c r="G1282" s="25">
        <v>222</v>
      </c>
      <c r="H1282" s="27">
        <v>0</v>
      </c>
      <c r="I1282" s="27">
        <v>0</v>
      </c>
      <c r="J1282" s="27">
        <v>0</v>
      </c>
      <c r="K1282" s="27">
        <v>0</v>
      </c>
      <c r="L1282" s="27">
        <v>1</v>
      </c>
      <c r="M1282" s="27">
        <v>0</v>
      </c>
      <c r="N1282" s="27">
        <v>0</v>
      </c>
      <c r="O1282" s="27">
        <v>0</v>
      </c>
      <c r="P1282" s="25">
        <v>700</v>
      </c>
      <c r="Q1282" s="25">
        <v>560</v>
      </c>
      <c r="R1282" s="25" t="s">
        <v>87</v>
      </c>
      <c r="S1282" s="25" t="s">
        <v>89</v>
      </c>
      <c r="T1282" s="25">
        <v>0</v>
      </c>
      <c r="U1282" s="25">
        <v>0</v>
      </c>
      <c r="V1282" s="25">
        <v>0</v>
      </c>
      <c r="W1282" s="25">
        <v>0</v>
      </c>
      <c r="X1282" s="25">
        <v>1</v>
      </c>
      <c r="Y1282" s="25">
        <v>0</v>
      </c>
      <c r="Z1282" s="25">
        <v>0</v>
      </c>
      <c r="AA1282" s="25">
        <v>0</v>
      </c>
      <c r="AB1282" s="25">
        <v>0</v>
      </c>
      <c r="AC1282" s="25">
        <v>0</v>
      </c>
      <c r="AD1282" s="25">
        <v>0</v>
      </c>
      <c r="AE1282" s="25">
        <v>1</v>
      </c>
      <c r="AF1282" s="25" t="s">
        <v>131</v>
      </c>
    </row>
    <row r="1283" spans="1:32" s="25" customFormat="1" x14ac:dyDescent="0.25">
      <c r="A1283" s="25" t="s">
        <v>188</v>
      </c>
      <c r="B1283" s="25">
        <f t="shared" si="35"/>
        <v>10380</v>
      </c>
      <c r="C1283" s="25" t="s">
        <v>12</v>
      </c>
      <c r="D1283" s="25">
        <v>0</v>
      </c>
      <c r="E1283" s="25">
        <v>0</v>
      </c>
      <c r="F1283" s="25">
        <v>256</v>
      </c>
      <c r="G1283" s="25">
        <v>222</v>
      </c>
      <c r="H1283" s="27">
        <v>0</v>
      </c>
      <c r="I1283" s="27">
        <v>0</v>
      </c>
      <c r="J1283" s="27">
        <v>0</v>
      </c>
      <c r="K1283" s="27">
        <v>0</v>
      </c>
      <c r="L1283" s="27">
        <v>1</v>
      </c>
      <c r="M1283" s="27">
        <v>0</v>
      </c>
      <c r="N1283" s="27">
        <v>0</v>
      </c>
      <c r="O1283" s="27">
        <v>0</v>
      </c>
      <c r="P1283" s="25">
        <v>700</v>
      </c>
      <c r="Q1283" s="25">
        <v>560</v>
      </c>
      <c r="R1283" s="25" t="s">
        <v>87</v>
      </c>
      <c r="S1283" s="25" t="s">
        <v>89</v>
      </c>
      <c r="T1283" s="25">
        <v>0</v>
      </c>
      <c r="U1283" s="25">
        <v>0</v>
      </c>
      <c r="V1283" s="25">
        <v>0</v>
      </c>
      <c r="W1283" s="25">
        <v>0</v>
      </c>
      <c r="X1283" s="25">
        <v>1</v>
      </c>
      <c r="Y1283" s="25">
        <v>0</v>
      </c>
      <c r="Z1283" s="25">
        <v>0</v>
      </c>
      <c r="AA1283" s="25">
        <v>0</v>
      </c>
      <c r="AB1283" s="25">
        <v>0</v>
      </c>
      <c r="AC1283" s="25">
        <v>0</v>
      </c>
      <c r="AD1283" s="25">
        <v>0</v>
      </c>
      <c r="AE1283" s="25">
        <v>1</v>
      </c>
      <c r="AF1283" s="25" t="s">
        <v>131</v>
      </c>
    </row>
    <row r="1284" spans="1:32" s="25" customFormat="1" x14ac:dyDescent="0.25">
      <c r="A1284" s="25" t="s">
        <v>188</v>
      </c>
      <c r="B1284" s="25">
        <f t="shared" si="35"/>
        <v>10390</v>
      </c>
      <c r="C1284" s="25" t="s">
        <v>12</v>
      </c>
      <c r="D1284" s="25">
        <v>0</v>
      </c>
      <c r="E1284" s="25">
        <v>0</v>
      </c>
      <c r="F1284" s="25">
        <v>256</v>
      </c>
      <c r="G1284" s="25">
        <v>222</v>
      </c>
      <c r="H1284" s="27">
        <v>0</v>
      </c>
      <c r="I1284" s="27">
        <v>0</v>
      </c>
      <c r="J1284" s="27">
        <v>0</v>
      </c>
      <c r="K1284" s="27">
        <v>0</v>
      </c>
      <c r="L1284" s="27">
        <v>1</v>
      </c>
      <c r="M1284" s="27">
        <v>0</v>
      </c>
      <c r="N1284" s="27">
        <v>0</v>
      </c>
      <c r="O1284" s="27">
        <v>0</v>
      </c>
      <c r="P1284" s="25">
        <v>700</v>
      </c>
      <c r="Q1284" s="25">
        <v>560</v>
      </c>
      <c r="R1284" s="25" t="s">
        <v>87</v>
      </c>
      <c r="S1284" s="25" t="s">
        <v>89</v>
      </c>
      <c r="T1284" s="25">
        <v>0</v>
      </c>
      <c r="U1284" s="25">
        <v>0</v>
      </c>
      <c r="V1284" s="25">
        <v>0</v>
      </c>
      <c r="W1284" s="25">
        <v>0</v>
      </c>
      <c r="X1284" s="25">
        <v>1</v>
      </c>
      <c r="Y1284" s="25">
        <v>0</v>
      </c>
      <c r="Z1284" s="25">
        <v>0</v>
      </c>
      <c r="AA1284" s="25">
        <v>0</v>
      </c>
      <c r="AB1284" s="25">
        <v>0</v>
      </c>
      <c r="AC1284" s="25">
        <v>0</v>
      </c>
      <c r="AD1284" s="25">
        <v>0</v>
      </c>
      <c r="AE1284" s="25">
        <v>1</v>
      </c>
      <c r="AF1284" s="25" t="s">
        <v>131</v>
      </c>
    </row>
    <row r="1285" spans="1:32" s="25" customFormat="1" x14ac:dyDescent="0.25">
      <c r="A1285" s="25" t="s">
        <v>188</v>
      </c>
      <c r="B1285" s="25">
        <f t="shared" si="35"/>
        <v>10400</v>
      </c>
      <c r="C1285" s="25" t="s">
        <v>12</v>
      </c>
      <c r="D1285" s="25">
        <v>0</v>
      </c>
      <c r="E1285" s="25">
        <v>0</v>
      </c>
      <c r="F1285" s="25">
        <v>256</v>
      </c>
      <c r="G1285" s="25">
        <v>222</v>
      </c>
      <c r="H1285" s="27">
        <v>0</v>
      </c>
      <c r="I1285" s="27">
        <v>0</v>
      </c>
      <c r="J1285" s="27">
        <v>0</v>
      </c>
      <c r="K1285" s="27">
        <v>0</v>
      </c>
      <c r="L1285" s="27">
        <v>1</v>
      </c>
      <c r="M1285" s="27">
        <v>0</v>
      </c>
      <c r="N1285" s="27">
        <v>0</v>
      </c>
      <c r="O1285" s="27">
        <v>0</v>
      </c>
      <c r="P1285" s="25">
        <v>700</v>
      </c>
      <c r="Q1285" s="25">
        <v>560</v>
      </c>
      <c r="R1285" s="25" t="s">
        <v>87</v>
      </c>
      <c r="S1285" s="25" t="s">
        <v>89</v>
      </c>
      <c r="T1285" s="25">
        <v>0</v>
      </c>
      <c r="U1285" s="25">
        <v>0</v>
      </c>
      <c r="V1285" s="25">
        <v>0</v>
      </c>
      <c r="W1285" s="25">
        <v>0</v>
      </c>
      <c r="X1285" s="25">
        <v>1</v>
      </c>
      <c r="Y1285" s="25">
        <v>0</v>
      </c>
      <c r="Z1285" s="25">
        <v>0</v>
      </c>
      <c r="AA1285" s="25">
        <v>0</v>
      </c>
      <c r="AB1285" s="25">
        <v>0</v>
      </c>
      <c r="AC1285" s="25">
        <v>0</v>
      </c>
      <c r="AD1285" s="25">
        <v>0</v>
      </c>
      <c r="AE1285" s="25">
        <v>1</v>
      </c>
      <c r="AF1285" s="25" t="s">
        <v>131</v>
      </c>
    </row>
    <row r="1286" spans="1:32" s="25" customFormat="1" x14ac:dyDescent="0.25">
      <c r="A1286" s="25" t="s">
        <v>188</v>
      </c>
      <c r="B1286" s="25">
        <f t="shared" si="35"/>
        <v>10410</v>
      </c>
      <c r="C1286" s="25" t="s">
        <v>12</v>
      </c>
      <c r="D1286" s="25">
        <v>0</v>
      </c>
      <c r="E1286" s="25">
        <v>0</v>
      </c>
      <c r="F1286" s="25">
        <v>256</v>
      </c>
      <c r="G1286" s="25">
        <v>222</v>
      </c>
      <c r="H1286" s="27">
        <v>0</v>
      </c>
      <c r="I1286" s="27">
        <v>0</v>
      </c>
      <c r="J1286" s="27">
        <v>0</v>
      </c>
      <c r="K1286" s="27">
        <v>0</v>
      </c>
      <c r="L1286" s="27">
        <v>1</v>
      </c>
      <c r="M1286" s="27">
        <v>0</v>
      </c>
      <c r="N1286" s="27">
        <v>0</v>
      </c>
      <c r="O1286" s="27">
        <v>0</v>
      </c>
      <c r="P1286" s="25">
        <v>700</v>
      </c>
      <c r="Q1286" s="25">
        <v>560</v>
      </c>
      <c r="R1286" s="25" t="s">
        <v>87</v>
      </c>
      <c r="S1286" s="25" t="s">
        <v>89</v>
      </c>
      <c r="T1286" s="25">
        <v>0</v>
      </c>
      <c r="U1286" s="25">
        <v>0</v>
      </c>
      <c r="V1286" s="25">
        <v>0</v>
      </c>
      <c r="W1286" s="25">
        <v>0</v>
      </c>
      <c r="X1286" s="25">
        <v>1</v>
      </c>
      <c r="Y1286" s="25">
        <v>0</v>
      </c>
      <c r="Z1286" s="25">
        <v>0</v>
      </c>
      <c r="AA1286" s="25">
        <v>0</v>
      </c>
      <c r="AB1286" s="25">
        <v>0</v>
      </c>
      <c r="AC1286" s="25">
        <v>0</v>
      </c>
      <c r="AD1286" s="25">
        <v>0</v>
      </c>
      <c r="AE1286" s="25">
        <v>1</v>
      </c>
      <c r="AF1286" s="25" t="s">
        <v>131</v>
      </c>
    </row>
    <row r="1287" spans="1:32" s="25" customFormat="1" x14ac:dyDescent="0.25">
      <c r="A1287" s="25" t="s">
        <v>188</v>
      </c>
      <c r="B1287" s="25">
        <f t="shared" si="35"/>
        <v>10420</v>
      </c>
      <c r="C1287" s="25" t="s">
        <v>12</v>
      </c>
      <c r="D1287" s="25">
        <v>0</v>
      </c>
      <c r="E1287" s="25">
        <v>0</v>
      </c>
      <c r="F1287" s="25">
        <v>256</v>
      </c>
      <c r="G1287" s="25">
        <v>222</v>
      </c>
      <c r="H1287" s="27">
        <v>0</v>
      </c>
      <c r="I1287" s="27">
        <v>0</v>
      </c>
      <c r="J1287" s="27">
        <v>0</v>
      </c>
      <c r="K1287" s="27">
        <v>0</v>
      </c>
      <c r="L1287" s="27">
        <v>1</v>
      </c>
      <c r="M1287" s="27">
        <v>0</v>
      </c>
      <c r="N1287" s="27">
        <v>0</v>
      </c>
      <c r="O1287" s="27">
        <v>0</v>
      </c>
      <c r="P1287" s="25">
        <v>700</v>
      </c>
      <c r="Q1287" s="25">
        <v>560</v>
      </c>
      <c r="R1287" s="25" t="s">
        <v>87</v>
      </c>
      <c r="S1287" s="25" t="s">
        <v>89</v>
      </c>
      <c r="T1287" s="25">
        <v>0</v>
      </c>
      <c r="U1287" s="25">
        <v>0</v>
      </c>
      <c r="V1287" s="25">
        <v>0</v>
      </c>
      <c r="W1287" s="25">
        <v>0</v>
      </c>
      <c r="X1287" s="25">
        <v>1</v>
      </c>
      <c r="Y1287" s="25">
        <v>0</v>
      </c>
      <c r="Z1287" s="25">
        <v>0</v>
      </c>
      <c r="AA1287" s="25">
        <v>0</v>
      </c>
      <c r="AB1287" s="25">
        <v>0</v>
      </c>
      <c r="AC1287" s="25">
        <v>0</v>
      </c>
      <c r="AD1287" s="25">
        <v>0</v>
      </c>
      <c r="AE1287" s="25">
        <v>1</v>
      </c>
      <c r="AF1287" s="25" t="s">
        <v>131</v>
      </c>
    </row>
    <row r="1288" spans="1:32" s="25" customFormat="1" x14ac:dyDescent="0.25">
      <c r="A1288" s="25" t="s">
        <v>188</v>
      </c>
      <c r="B1288" s="25">
        <f t="shared" si="35"/>
        <v>10430</v>
      </c>
      <c r="C1288" s="25" t="s">
        <v>12</v>
      </c>
      <c r="D1288" s="25">
        <v>0</v>
      </c>
      <c r="E1288" s="25">
        <v>0</v>
      </c>
      <c r="F1288" s="25">
        <v>256</v>
      </c>
      <c r="G1288" s="25">
        <v>222</v>
      </c>
      <c r="H1288" s="27">
        <v>0</v>
      </c>
      <c r="I1288" s="27">
        <v>0</v>
      </c>
      <c r="J1288" s="27">
        <v>0</v>
      </c>
      <c r="K1288" s="27">
        <v>0</v>
      </c>
      <c r="L1288" s="27">
        <v>1</v>
      </c>
      <c r="M1288" s="27">
        <v>0</v>
      </c>
      <c r="N1288" s="27">
        <v>0</v>
      </c>
      <c r="O1288" s="27">
        <v>0</v>
      </c>
      <c r="P1288" s="25">
        <v>700</v>
      </c>
      <c r="Q1288" s="25">
        <v>560</v>
      </c>
      <c r="R1288" s="25" t="s">
        <v>87</v>
      </c>
      <c r="S1288" s="25" t="s">
        <v>89</v>
      </c>
      <c r="T1288" s="25">
        <v>0</v>
      </c>
      <c r="U1288" s="25">
        <v>0</v>
      </c>
      <c r="V1288" s="25">
        <v>0</v>
      </c>
      <c r="W1288" s="25">
        <v>0</v>
      </c>
      <c r="X1288" s="25">
        <v>1</v>
      </c>
      <c r="Y1288" s="25">
        <v>0</v>
      </c>
      <c r="Z1288" s="25">
        <v>0</v>
      </c>
      <c r="AA1288" s="25">
        <v>0</v>
      </c>
      <c r="AB1288" s="25">
        <v>0</v>
      </c>
      <c r="AC1288" s="25">
        <v>0</v>
      </c>
      <c r="AD1288" s="25">
        <v>0</v>
      </c>
      <c r="AE1288" s="25">
        <v>1</v>
      </c>
      <c r="AF1288" s="25" t="s">
        <v>131</v>
      </c>
    </row>
    <row r="1289" spans="1:32" s="25" customFormat="1" x14ac:dyDescent="0.25">
      <c r="A1289" s="25" t="s">
        <v>188</v>
      </c>
      <c r="B1289" s="25">
        <f t="shared" si="35"/>
        <v>10440</v>
      </c>
      <c r="C1289" s="25" t="s">
        <v>12</v>
      </c>
      <c r="D1289" s="25">
        <v>0</v>
      </c>
      <c r="E1289" s="25">
        <v>0</v>
      </c>
      <c r="F1289" s="25">
        <v>256</v>
      </c>
      <c r="G1289" s="25">
        <v>222</v>
      </c>
      <c r="H1289" s="27">
        <v>0</v>
      </c>
      <c r="I1289" s="27">
        <v>0</v>
      </c>
      <c r="J1289" s="27">
        <v>0</v>
      </c>
      <c r="K1289" s="27">
        <v>0</v>
      </c>
      <c r="L1289" s="27">
        <v>1</v>
      </c>
      <c r="M1289" s="27">
        <v>0</v>
      </c>
      <c r="N1289" s="27">
        <v>0</v>
      </c>
      <c r="O1289" s="27">
        <v>0</v>
      </c>
      <c r="P1289" s="25">
        <v>700</v>
      </c>
      <c r="Q1289" s="25">
        <v>560</v>
      </c>
      <c r="R1289" s="25" t="s">
        <v>87</v>
      </c>
      <c r="S1289" s="25" t="s">
        <v>89</v>
      </c>
      <c r="T1289" s="25">
        <v>0</v>
      </c>
      <c r="U1289" s="25">
        <v>0</v>
      </c>
      <c r="V1289" s="25">
        <v>0</v>
      </c>
      <c r="W1289" s="25">
        <v>0</v>
      </c>
      <c r="X1289" s="25">
        <v>1</v>
      </c>
      <c r="Y1289" s="25">
        <v>0</v>
      </c>
      <c r="Z1289" s="25">
        <v>0</v>
      </c>
      <c r="AA1289" s="25">
        <v>0</v>
      </c>
      <c r="AB1289" s="25">
        <v>0</v>
      </c>
      <c r="AC1289" s="25">
        <v>0</v>
      </c>
      <c r="AD1289" s="25">
        <v>0</v>
      </c>
      <c r="AE1289" s="25">
        <v>1</v>
      </c>
      <c r="AF1289" s="25" t="s">
        <v>131</v>
      </c>
    </row>
    <row r="1290" spans="1:32" s="25" customFormat="1" x14ac:dyDescent="0.25">
      <c r="A1290" s="25" t="s">
        <v>188</v>
      </c>
      <c r="B1290" s="25">
        <f t="shared" si="35"/>
        <v>10450</v>
      </c>
      <c r="C1290" s="25" t="s">
        <v>12</v>
      </c>
      <c r="D1290" s="25">
        <v>0</v>
      </c>
      <c r="E1290" s="25">
        <v>0</v>
      </c>
      <c r="F1290" s="25">
        <v>256</v>
      </c>
      <c r="G1290" s="25">
        <v>222</v>
      </c>
      <c r="H1290" s="27">
        <v>0</v>
      </c>
      <c r="I1290" s="27">
        <v>0</v>
      </c>
      <c r="J1290" s="27">
        <v>0</v>
      </c>
      <c r="K1290" s="27">
        <v>0</v>
      </c>
      <c r="L1290" s="27">
        <v>1</v>
      </c>
      <c r="M1290" s="27">
        <v>0</v>
      </c>
      <c r="N1290" s="27">
        <v>0</v>
      </c>
      <c r="O1290" s="27">
        <v>0</v>
      </c>
      <c r="P1290" s="25">
        <v>700</v>
      </c>
      <c r="Q1290" s="25">
        <v>560</v>
      </c>
      <c r="R1290" s="25" t="s">
        <v>87</v>
      </c>
      <c r="S1290" s="25" t="s">
        <v>89</v>
      </c>
      <c r="T1290" s="25">
        <v>0</v>
      </c>
      <c r="U1290" s="25">
        <v>0</v>
      </c>
      <c r="V1290" s="25">
        <v>0</v>
      </c>
      <c r="W1290" s="25">
        <v>0</v>
      </c>
      <c r="X1290" s="25">
        <v>1</v>
      </c>
      <c r="Y1290" s="25">
        <v>0</v>
      </c>
      <c r="Z1290" s="25">
        <v>0</v>
      </c>
      <c r="AA1290" s="25">
        <v>0</v>
      </c>
      <c r="AB1290" s="25">
        <v>0</v>
      </c>
      <c r="AC1290" s="25">
        <v>0</v>
      </c>
      <c r="AD1290" s="25">
        <v>0</v>
      </c>
      <c r="AE1290" s="25">
        <v>1</v>
      </c>
      <c r="AF1290" s="25" t="s">
        <v>131</v>
      </c>
    </row>
    <row r="1291" spans="1:32" s="25" customFormat="1" x14ac:dyDescent="0.25">
      <c r="A1291" s="25" t="s">
        <v>188</v>
      </c>
      <c r="B1291" s="25">
        <f t="shared" si="35"/>
        <v>10460</v>
      </c>
      <c r="C1291" s="25" t="s">
        <v>12</v>
      </c>
      <c r="D1291" s="25">
        <v>0</v>
      </c>
      <c r="E1291" s="25">
        <v>0</v>
      </c>
      <c r="F1291" s="25">
        <v>256</v>
      </c>
      <c r="G1291" s="25">
        <v>222</v>
      </c>
      <c r="H1291" s="27">
        <v>0</v>
      </c>
      <c r="I1291" s="27">
        <v>0</v>
      </c>
      <c r="J1291" s="27">
        <v>0</v>
      </c>
      <c r="K1291" s="27">
        <v>0</v>
      </c>
      <c r="L1291" s="27">
        <v>1</v>
      </c>
      <c r="M1291" s="27">
        <v>0</v>
      </c>
      <c r="N1291" s="27">
        <v>0</v>
      </c>
      <c r="O1291" s="27">
        <v>0</v>
      </c>
      <c r="P1291" s="25">
        <v>700</v>
      </c>
      <c r="Q1291" s="25">
        <v>560</v>
      </c>
      <c r="R1291" s="25" t="s">
        <v>87</v>
      </c>
      <c r="S1291" s="25" t="s">
        <v>89</v>
      </c>
      <c r="T1291" s="25">
        <v>0</v>
      </c>
      <c r="U1291" s="25">
        <v>0</v>
      </c>
      <c r="V1291" s="25">
        <v>0</v>
      </c>
      <c r="W1291" s="25">
        <v>0</v>
      </c>
      <c r="X1291" s="25">
        <v>1</v>
      </c>
      <c r="Y1291" s="25">
        <v>0</v>
      </c>
      <c r="Z1291" s="25">
        <v>0</v>
      </c>
      <c r="AA1291" s="25">
        <v>0</v>
      </c>
      <c r="AB1291" s="25">
        <v>0</v>
      </c>
      <c r="AC1291" s="25">
        <v>0</v>
      </c>
      <c r="AD1291" s="25">
        <v>0</v>
      </c>
      <c r="AE1291" s="25">
        <v>1</v>
      </c>
      <c r="AF1291" s="25" t="s">
        <v>131</v>
      </c>
    </row>
    <row r="1292" spans="1:32" s="25" customFormat="1" x14ac:dyDescent="0.25">
      <c r="A1292" s="25" t="s">
        <v>188</v>
      </c>
      <c r="B1292" s="25">
        <f t="shared" si="35"/>
        <v>10470</v>
      </c>
      <c r="C1292" s="25" t="s">
        <v>12</v>
      </c>
      <c r="D1292" s="25">
        <v>0</v>
      </c>
      <c r="E1292" s="25">
        <v>0</v>
      </c>
      <c r="F1292" s="25">
        <v>256</v>
      </c>
      <c r="G1292" s="25">
        <v>222</v>
      </c>
      <c r="H1292" s="27">
        <v>0</v>
      </c>
      <c r="I1292" s="27">
        <v>0</v>
      </c>
      <c r="J1292" s="27">
        <v>0</v>
      </c>
      <c r="K1292" s="27">
        <v>0</v>
      </c>
      <c r="L1292" s="27">
        <v>1</v>
      </c>
      <c r="M1292" s="27">
        <v>0</v>
      </c>
      <c r="N1292" s="27">
        <v>0</v>
      </c>
      <c r="O1292" s="27">
        <v>0</v>
      </c>
      <c r="P1292" s="25">
        <v>700</v>
      </c>
      <c r="Q1292" s="25">
        <v>560</v>
      </c>
      <c r="R1292" s="25" t="s">
        <v>87</v>
      </c>
      <c r="S1292" s="25" t="s">
        <v>89</v>
      </c>
      <c r="T1292" s="25">
        <v>0</v>
      </c>
      <c r="U1292" s="25">
        <v>0</v>
      </c>
      <c r="V1292" s="25">
        <v>0</v>
      </c>
      <c r="W1292" s="25">
        <v>0</v>
      </c>
      <c r="X1292" s="25">
        <v>1</v>
      </c>
      <c r="Y1292" s="25">
        <v>0</v>
      </c>
      <c r="Z1292" s="25">
        <v>0</v>
      </c>
      <c r="AA1292" s="25">
        <v>0</v>
      </c>
      <c r="AB1292" s="25">
        <v>0</v>
      </c>
      <c r="AC1292" s="25">
        <v>0</v>
      </c>
      <c r="AD1292" s="25">
        <v>0</v>
      </c>
      <c r="AE1292" s="25">
        <v>1</v>
      </c>
      <c r="AF1292" s="25" t="s">
        <v>131</v>
      </c>
    </row>
    <row r="1293" spans="1:32" s="25" customFormat="1" x14ac:dyDescent="0.25">
      <c r="A1293" s="25" t="s">
        <v>188</v>
      </c>
      <c r="B1293" s="25">
        <f t="shared" si="35"/>
        <v>10480</v>
      </c>
      <c r="C1293" s="25" t="s">
        <v>12</v>
      </c>
      <c r="D1293" s="25">
        <v>0</v>
      </c>
      <c r="E1293" s="25">
        <v>0</v>
      </c>
      <c r="F1293" s="25">
        <v>256</v>
      </c>
      <c r="G1293" s="25">
        <v>222</v>
      </c>
      <c r="H1293" s="27">
        <v>0</v>
      </c>
      <c r="I1293" s="27">
        <v>0</v>
      </c>
      <c r="J1293" s="27">
        <v>0</v>
      </c>
      <c r="K1293" s="27">
        <v>0</v>
      </c>
      <c r="L1293" s="27">
        <v>1</v>
      </c>
      <c r="M1293" s="27">
        <v>0</v>
      </c>
      <c r="N1293" s="27">
        <v>0</v>
      </c>
      <c r="O1293" s="27">
        <v>0</v>
      </c>
      <c r="P1293" s="25">
        <v>700</v>
      </c>
      <c r="Q1293" s="25">
        <v>560</v>
      </c>
      <c r="R1293" s="25" t="s">
        <v>87</v>
      </c>
      <c r="S1293" s="25" t="s">
        <v>89</v>
      </c>
      <c r="T1293" s="25">
        <v>0</v>
      </c>
      <c r="U1293" s="25">
        <v>0</v>
      </c>
      <c r="V1293" s="25">
        <v>0</v>
      </c>
      <c r="W1293" s="25">
        <v>0</v>
      </c>
      <c r="X1293" s="25">
        <v>1</v>
      </c>
      <c r="Y1293" s="25">
        <v>0</v>
      </c>
      <c r="Z1293" s="25">
        <v>0</v>
      </c>
      <c r="AA1293" s="25">
        <v>0</v>
      </c>
      <c r="AB1293" s="25">
        <v>0</v>
      </c>
      <c r="AC1293" s="25">
        <v>0</v>
      </c>
      <c r="AD1293" s="25">
        <v>0</v>
      </c>
      <c r="AE1293" s="25">
        <v>1</v>
      </c>
      <c r="AF1293" s="25" t="s">
        <v>131</v>
      </c>
    </row>
    <row r="1294" spans="1:32" s="25" customFormat="1" x14ac:dyDescent="0.25">
      <c r="A1294" s="25" t="s">
        <v>188</v>
      </c>
      <c r="B1294" s="25">
        <f t="shared" si="35"/>
        <v>10490</v>
      </c>
      <c r="C1294" s="25" t="s">
        <v>12</v>
      </c>
      <c r="D1294" s="25">
        <v>0</v>
      </c>
      <c r="E1294" s="25">
        <v>0</v>
      </c>
      <c r="F1294" s="25">
        <v>256</v>
      </c>
      <c r="G1294" s="25">
        <v>222</v>
      </c>
      <c r="H1294" s="27">
        <v>0</v>
      </c>
      <c r="I1294" s="27">
        <v>0</v>
      </c>
      <c r="J1294" s="27">
        <v>0</v>
      </c>
      <c r="K1294" s="27">
        <v>0</v>
      </c>
      <c r="L1294" s="27">
        <v>1</v>
      </c>
      <c r="M1294" s="27">
        <v>0</v>
      </c>
      <c r="N1294" s="27">
        <v>0</v>
      </c>
      <c r="O1294" s="27">
        <v>0</v>
      </c>
      <c r="P1294" s="25">
        <v>700</v>
      </c>
      <c r="Q1294" s="25">
        <v>560</v>
      </c>
      <c r="R1294" s="25" t="s">
        <v>87</v>
      </c>
      <c r="S1294" s="25" t="s">
        <v>89</v>
      </c>
      <c r="T1294" s="25">
        <v>0</v>
      </c>
      <c r="U1294" s="25">
        <v>0</v>
      </c>
      <c r="V1294" s="25">
        <v>0</v>
      </c>
      <c r="W1294" s="25">
        <v>0</v>
      </c>
      <c r="X1294" s="25">
        <v>1</v>
      </c>
      <c r="Y1294" s="25">
        <v>0</v>
      </c>
      <c r="Z1294" s="25">
        <v>0</v>
      </c>
      <c r="AA1294" s="25">
        <v>0</v>
      </c>
      <c r="AB1294" s="25">
        <v>0</v>
      </c>
      <c r="AC1294" s="25">
        <v>0</v>
      </c>
      <c r="AD1294" s="25">
        <v>0</v>
      </c>
      <c r="AE1294" s="25">
        <v>1</v>
      </c>
      <c r="AF1294" s="25" t="s">
        <v>131</v>
      </c>
    </row>
    <row r="1295" spans="1:32" s="25" customFormat="1" x14ac:dyDescent="0.25">
      <c r="A1295" s="25" t="s">
        <v>188</v>
      </c>
      <c r="B1295" s="25">
        <f t="shared" si="35"/>
        <v>10500</v>
      </c>
      <c r="C1295" s="25" t="s">
        <v>12</v>
      </c>
      <c r="D1295" s="25">
        <v>0</v>
      </c>
      <c r="E1295" s="25">
        <v>0</v>
      </c>
      <c r="F1295" s="25">
        <v>256</v>
      </c>
      <c r="G1295" s="25">
        <v>222</v>
      </c>
      <c r="H1295" s="27">
        <v>0</v>
      </c>
      <c r="I1295" s="27">
        <v>0</v>
      </c>
      <c r="J1295" s="27">
        <v>0</v>
      </c>
      <c r="K1295" s="27">
        <v>0</v>
      </c>
      <c r="L1295" s="27">
        <v>1</v>
      </c>
      <c r="M1295" s="27">
        <v>0</v>
      </c>
      <c r="N1295" s="27">
        <v>0</v>
      </c>
      <c r="O1295" s="27">
        <v>0</v>
      </c>
      <c r="P1295" s="25">
        <v>700</v>
      </c>
      <c r="Q1295" s="25">
        <v>560</v>
      </c>
      <c r="R1295" s="25" t="s">
        <v>87</v>
      </c>
      <c r="S1295" s="25" t="s">
        <v>89</v>
      </c>
      <c r="T1295" s="25">
        <v>0</v>
      </c>
      <c r="U1295" s="25">
        <v>0</v>
      </c>
      <c r="V1295" s="25">
        <v>0</v>
      </c>
      <c r="W1295" s="25">
        <v>0</v>
      </c>
      <c r="X1295" s="25">
        <v>1</v>
      </c>
      <c r="Y1295" s="25">
        <v>0</v>
      </c>
      <c r="Z1295" s="25">
        <v>0</v>
      </c>
      <c r="AA1295" s="25">
        <v>0</v>
      </c>
      <c r="AB1295" s="25">
        <v>0</v>
      </c>
      <c r="AC1295" s="25">
        <v>0</v>
      </c>
      <c r="AD1295" s="25">
        <v>0</v>
      </c>
      <c r="AE1295" s="25">
        <v>1</v>
      </c>
      <c r="AF1295" s="25" t="s">
        <v>131</v>
      </c>
    </row>
    <row r="1296" spans="1:32" s="25" customFormat="1" x14ac:dyDescent="0.25">
      <c r="A1296" s="25" t="s">
        <v>188</v>
      </c>
      <c r="B1296" s="25">
        <f t="shared" si="35"/>
        <v>10510</v>
      </c>
      <c r="C1296" s="25" t="s">
        <v>12</v>
      </c>
      <c r="D1296" s="25">
        <v>0</v>
      </c>
      <c r="E1296" s="25">
        <v>0</v>
      </c>
      <c r="F1296" s="25">
        <v>256</v>
      </c>
      <c r="G1296" s="25">
        <v>222</v>
      </c>
      <c r="H1296" s="27">
        <v>0</v>
      </c>
      <c r="I1296" s="27">
        <v>0</v>
      </c>
      <c r="J1296" s="27">
        <v>0</v>
      </c>
      <c r="K1296" s="27">
        <v>0</v>
      </c>
      <c r="L1296" s="27">
        <v>1</v>
      </c>
      <c r="M1296" s="27">
        <v>0</v>
      </c>
      <c r="N1296" s="27">
        <v>0</v>
      </c>
      <c r="O1296" s="27">
        <v>0</v>
      </c>
      <c r="P1296" s="25">
        <v>700</v>
      </c>
      <c r="Q1296" s="25">
        <v>560</v>
      </c>
      <c r="R1296" s="25" t="s">
        <v>87</v>
      </c>
      <c r="S1296" s="25" t="s">
        <v>89</v>
      </c>
      <c r="T1296" s="25">
        <v>0</v>
      </c>
      <c r="U1296" s="25">
        <v>0</v>
      </c>
      <c r="V1296" s="25">
        <v>0</v>
      </c>
      <c r="W1296" s="25">
        <v>0</v>
      </c>
      <c r="X1296" s="25">
        <v>1</v>
      </c>
      <c r="Y1296" s="25">
        <v>0</v>
      </c>
      <c r="Z1296" s="25">
        <v>0</v>
      </c>
      <c r="AA1296" s="25">
        <v>0</v>
      </c>
      <c r="AB1296" s="25">
        <v>0</v>
      </c>
      <c r="AC1296" s="25">
        <v>0</v>
      </c>
      <c r="AD1296" s="25">
        <v>0</v>
      </c>
      <c r="AE1296" s="25">
        <v>1</v>
      </c>
      <c r="AF1296" s="25" t="s">
        <v>131</v>
      </c>
    </row>
    <row r="1297" spans="1:32" s="25" customFormat="1" x14ac:dyDescent="0.25">
      <c r="A1297" s="25" t="s">
        <v>188</v>
      </c>
      <c r="B1297" s="25">
        <f t="shared" si="35"/>
        <v>10520</v>
      </c>
      <c r="C1297" s="25" t="s">
        <v>12</v>
      </c>
      <c r="D1297" s="25">
        <v>0</v>
      </c>
      <c r="E1297" s="25">
        <v>0</v>
      </c>
      <c r="F1297" s="25">
        <v>256</v>
      </c>
      <c r="G1297" s="25">
        <v>222</v>
      </c>
      <c r="H1297" s="27">
        <v>0</v>
      </c>
      <c r="I1297" s="27">
        <v>0</v>
      </c>
      <c r="J1297" s="27">
        <v>0</v>
      </c>
      <c r="K1297" s="27">
        <v>0</v>
      </c>
      <c r="L1297" s="27">
        <v>1</v>
      </c>
      <c r="M1297" s="27">
        <v>0</v>
      </c>
      <c r="N1297" s="27">
        <v>0</v>
      </c>
      <c r="O1297" s="27">
        <v>0</v>
      </c>
      <c r="P1297" s="25">
        <v>700</v>
      </c>
      <c r="Q1297" s="25">
        <v>560</v>
      </c>
      <c r="R1297" s="25" t="s">
        <v>87</v>
      </c>
      <c r="S1297" s="25" t="s">
        <v>89</v>
      </c>
      <c r="T1297" s="25">
        <v>0</v>
      </c>
      <c r="U1297" s="25">
        <v>0</v>
      </c>
      <c r="V1297" s="25">
        <v>0</v>
      </c>
      <c r="W1297" s="25">
        <v>0</v>
      </c>
      <c r="X1297" s="25">
        <v>1</v>
      </c>
      <c r="Y1297" s="25">
        <v>0</v>
      </c>
      <c r="Z1297" s="25">
        <v>0</v>
      </c>
      <c r="AA1297" s="25">
        <v>0</v>
      </c>
      <c r="AB1297" s="25">
        <v>0</v>
      </c>
      <c r="AC1297" s="25">
        <v>0</v>
      </c>
      <c r="AD1297" s="25">
        <v>0</v>
      </c>
      <c r="AE1297" s="25">
        <v>1</v>
      </c>
      <c r="AF1297" s="25" t="s">
        <v>131</v>
      </c>
    </row>
    <row r="1298" spans="1:32" s="25" customFormat="1" x14ac:dyDescent="0.25">
      <c r="A1298" s="25" t="s">
        <v>188</v>
      </c>
      <c r="B1298" s="25">
        <f t="shared" si="35"/>
        <v>10530</v>
      </c>
      <c r="C1298" s="25" t="s">
        <v>12</v>
      </c>
      <c r="D1298" s="25">
        <v>0</v>
      </c>
      <c r="E1298" s="25">
        <v>0</v>
      </c>
      <c r="F1298" s="25">
        <v>256</v>
      </c>
      <c r="G1298" s="25">
        <v>222</v>
      </c>
      <c r="H1298" s="27">
        <v>0</v>
      </c>
      <c r="I1298" s="27">
        <v>0</v>
      </c>
      <c r="J1298" s="27">
        <v>0</v>
      </c>
      <c r="K1298" s="27">
        <v>0</v>
      </c>
      <c r="L1298" s="27">
        <v>1</v>
      </c>
      <c r="M1298" s="27">
        <v>0</v>
      </c>
      <c r="N1298" s="27">
        <v>0</v>
      </c>
      <c r="O1298" s="27">
        <v>0</v>
      </c>
      <c r="P1298" s="25">
        <v>700</v>
      </c>
      <c r="Q1298" s="25">
        <v>560</v>
      </c>
      <c r="R1298" s="25" t="s">
        <v>87</v>
      </c>
      <c r="S1298" s="25" t="s">
        <v>89</v>
      </c>
      <c r="T1298" s="25">
        <v>0</v>
      </c>
      <c r="U1298" s="25">
        <v>0</v>
      </c>
      <c r="V1298" s="25">
        <v>0</v>
      </c>
      <c r="W1298" s="25">
        <v>0</v>
      </c>
      <c r="X1298" s="25">
        <v>1</v>
      </c>
      <c r="Y1298" s="25">
        <v>0</v>
      </c>
      <c r="Z1298" s="25">
        <v>0</v>
      </c>
      <c r="AA1298" s="25">
        <v>0</v>
      </c>
      <c r="AB1298" s="25">
        <v>0</v>
      </c>
      <c r="AC1298" s="25">
        <v>0</v>
      </c>
      <c r="AD1298" s="25">
        <v>0</v>
      </c>
      <c r="AE1298" s="25">
        <v>1</v>
      </c>
      <c r="AF1298" s="25" t="s">
        <v>131</v>
      </c>
    </row>
    <row r="1299" spans="1:32" s="25" customFormat="1" x14ac:dyDescent="0.25">
      <c r="A1299" s="25" t="s">
        <v>188</v>
      </c>
      <c r="B1299" s="25">
        <f t="shared" si="35"/>
        <v>10540</v>
      </c>
      <c r="C1299" s="25" t="s">
        <v>12</v>
      </c>
      <c r="D1299" s="25">
        <v>0</v>
      </c>
      <c r="E1299" s="25">
        <v>0</v>
      </c>
      <c r="F1299" s="25">
        <v>256</v>
      </c>
      <c r="G1299" s="25">
        <v>222</v>
      </c>
      <c r="H1299" s="27">
        <v>0</v>
      </c>
      <c r="I1299" s="27">
        <v>0</v>
      </c>
      <c r="J1299" s="27">
        <v>0</v>
      </c>
      <c r="K1299" s="27">
        <v>0</v>
      </c>
      <c r="L1299" s="27">
        <v>1</v>
      </c>
      <c r="M1299" s="27">
        <v>0</v>
      </c>
      <c r="N1299" s="27">
        <v>0</v>
      </c>
      <c r="O1299" s="27">
        <v>0</v>
      </c>
      <c r="P1299" s="25">
        <v>700</v>
      </c>
      <c r="Q1299" s="25">
        <v>560</v>
      </c>
      <c r="R1299" s="25" t="s">
        <v>87</v>
      </c>
      <c r="S1299" s="25" t="s">
        <v>89</v>
      </c>
      <c r="T1299" s="25">
        <v>0</v>
      </c>
      <c r="U1299" s="25">
        <v>0</v>
      </c>
      <c r="V1299" s="25">
        <v>0</v>
      </c>
      <c r="W1299" s="25">
        <v>0</v>
      </c>
      <c r="X1299" s="25">
        <v>1</v>
      </c>
      <c r="Y1299" s="25">
        <v>0</v>
      </c>
      <c r="Z1299" s="25">
        <v>0</v>
      </c>
      <c r="AA1299" s="25">
        <v>0</v>
      </c>
      <c r="AB1299" s="25">
        <v>0</v>
      </c>
      <c r="AC1299" s="25">
        <v>0</v>
      </c>
      <c r="AD1299" s="25">
        <v>0</v>
      </c>
      <c r="AE1299" s="25">
        <v>1</v>
      </c>
      <c r="AF1299" s="25" t="s">
        <v>131</v>
      </c>
    </row>
    <row r="1300" spans="1:32" s="25" customFormat="1" x14ac:dyDescent="0.25">
      <c r="A1300" s="25" t="s">
        <v>188</v>
      </c>
      <c r="B1300" s="25">
        <f t="shared" si="35"/>
        <v>10550</v>
      </c>
      <c r="C1300" s="25" t="s">
        <v>12</v>
      </c>
      <c r="D1300" s="25">
        <v>0</v>
      </c>
      <c r="E1300" s="25">
        <v>0</v>
      </c>
      <c r="F1300" s="25">
        <v>256</v>
      </c>
      <c r="G1300" s="25">
        <v>222</v>
      </c>
      <c r="H1300" s="27">
        <v>0</v>
      </c>
      <c r="I1300" s="27">
        <v>0</v>
      </c>
      <c r="J1300" s="27">
        <v>0</v>
      </c>
      <c r="K1300" s="27">
        <v>0</v>
      </c>
      <c r="L1300" s="27">
        <v>1</v>
      </c>
      <c r="M1300" s="27">
        <v>0</v>
      </c>
      <c r="N1300" s="27">
        <v>0</v>
      </c>
      <c r="O1300" s="27">
        <v>0</v>
      </c>
      <c r="P1300" s="25">
        <v>700</v>
      </c>
      <c r="Q1300" s="25">
        <v>560</v>
      </c>
      <c r="R1300" s="25" t="s">
        <v>87</v>
      </c>
      <c r="S1300" s="25" t="s">
        <v>89</v>
      </c>
      <c r="T1300" s="25">
        <v>0</v>
      </c>
      <c r="U1300" s="25">
        <v>0</v>
      </c>
      <c r="V1300" s="25">
        <v>0</v>
      </c>
      <c r="W1300" s="25">
        <v>0</v>
      </c>
      <c r="X1300" s="25">
        <v>1</v>
      </c>
      <c r="Y1300" s="25">
        <v>0</v>
      </c>
      <c r="Z1300" s="25">
        <v>0</v>
      </c>
      <c r="AA1300" s="25">
        <v>0</v>
      </c>
      <c r="AB1300" s="25">
        <v>0</v>
      </c>
      <c r="AC1300" s="25">
        <v>0</v>
      </c>
      <c r="AD1300" s="25">
        <v>0</v>
      </c>
      <c r="AE1300" s="25">
        <v>1</v>
      </c>
      <c r="AF1300" s="25" t="s">
        <v>131</v>
      </c>
    </row>
    <row r="1301" spans="1:32" s="25" customFormat="1" x14ac:dyDescent="0.25">
      <c r="A1301" s="25" t="s">
        <v>188</v>
      </c>
      <c r="B1301" s="25">
        <f t="shared" si="35"/>
        <v>10560</v>
      </c>
      <c r="C1301" s="25" t="s">
        <v>12</v>
      </c>
      <c r="D1301" s="25">
        <v>0</v>
      </c>
      <c r="E1301" s="25">
        <v>0</v>
      </c>
      <c r="F1301" s="25">
        <v>256</v>
      </c>
      <c r="G1301" s="25">
        <v>222</v>
      </c>
      <c r="H1301" s="27">
        <v>0</v>
      </c>
      <c r="I1301" s="27">
        <v>0</v>
      </c>
      <c r="J1301" s="27">
        <v>0</v>
      </c>
      <c r="K1301" s="27">
        <v>0</v>
      </c>
      <c r="L1301" s="27">
        <v>1</v>
      </c>
      <c r="M1301" s="27">
        <v>0</v>
      </c>
      <c r="N1301" s="27">
        <v>0</v>
      </c>
      <c r="O1301" s="27">
        <v>0</v>
      </c>
      <c r="P1301" s="25">
        <v>700</v>
      </c>
      <c r="Q1301" s="25">
        <v>560</v>
      </c>
      <c r="R1301" s="25" t="s">
        <v>87</v>
      </c>
      <c r="S1301" s="25" t="s">
        <v>89</v>
      </c>
      <c r="T1301" s="25">
        <v>0</v>
      </c>
      <c r="U1301" s="25">
        <v>0</v>
      </c>
      <c r="V1301" s="25">
        <v>0</v>
      </c>
      <c r="W1301" s="25">
        <v>0</v>
      </c>
      <c r="X1301" s="25">
        <v>1</v>
      </c>
      <c r="Y1301" s="25">
        <v>0</v>
      </c>
      <c r="Z1301" s="25">
        <v>0</v>
      </c>
      <c r="AA1301" s="25">
        <v>0</v>
      </c>
      <c r="AB1301" s="25">
        <v>0</v>
      </c>
      <c r="AC1301" s="25">
        <v>0</v>
      </c>
      <c r="AD1301" s="25">
        <v>0</v>
      </c>
      <c r="AE1301" s="25">
        <v>1</v>
      </c>
      <c r="AF1301" s="25" t="s">
        <v>131</v>
      </c>
    </row>
    <row r="1302" spans="1:32" s="25" customFormat="1" x14ac:dyDescent="0.25">
      <c r="A1302" s="25" t="s">
        <v>188</v>
      </c>
      <c r="B1302" s="25">
        <f t="shared" si="35"/>
        <v>10570</v>
      </c>
      <c r="C1302" s="25" t="s">
        <v>12</v>
      </c>
      <c r="D1302" s="25">
        <v>0</v>
      </c>
      <c r="E1302" s="25">
        <v>0</v>
      </c>
      <c r="F1302" s="25">
        <v>256</v>
      </c>
      <c r="G1302" s="25">
        <v>222</v>
      </c>
      <c r="H1302" s="27">
        <v>0</v>
      </c>
      <c r="I1302" s="27">
        <v>0</v>
      </c>
      <c r="J1302" s="27">
        <v>0</v>
      </c>
      <c r="K1302" s="27">
        <v>0</v>
      </c>
      <c r="L1302" s="27">
        <v>1</v>
      </c>
      <c r="M1302" s="27">
        <v>0</v>
      </c>
      <c r="N1302" s="27">
        <v>0</v>
      </c>
      <c r="O1302" s="27">
        <v>0</v>
      </c>
      <c r="P1302" s="25">
        <v>700</v>
      </c>
      <c r="Q1302" s="25">
        <v>560</v>
      </c>
      <c r="R1302" s="25" t="s">
        <v>87</v>
      </c>
      <c r="S1302" s="25" t="s">
        <v>89</v>
      </c>
      <c r="T1302" s="25">
        <v>0</v>
      </c>
      <c r="U1302" s="25">
        <v>0</v>
      </c>
      <c r="V1302" s="25">
        <v>0</v>
      </c>
      <c r="W1302" s="25">
        <v>0</v>
      </c>
      <c r="X1302" s="25">
        <v>1</v>
      </c>
      <c r="Y1302" s="25">
        <v>0</v>
      </c>
      <c r="Z1302" s="25">
        <v>0</v>
      </c>
      <c r="AA1302" s="25">
        <v>0</v>
      </c>
      <c r="AB1302" s="25">
        <v>0</v>
      </c>
      <c r="AC1302" s="25">
        <v>0</v>
      </c>
      <c r="AD1302" s="25">
        <v>0</v>
      </c>
      <c r="AE1302" s="25">
        <v>1</v>
      </c>
      <c r="AF1302" s="25" t="s">
        <v>131</v>
      </c>
    </row>
    <row r="1303" spans="1:32" s="25" customFormat="1" x14ac:dyDescent="0.25">
      <c r="A1303" s="25" t="s">
        <v>188</v>
      </c>
      <c r="B1303" s="25">
        <f t="shared" si="35"/>
        <v>10580</v>
      </c>
      <c r="C1303" s="25" t="s">
        <v>12</v>
      </c>
      <c r="D1303" s="25">
        <v>0</v>
      </c>
      <c r="E1303" s="25">
        <v>0</v>
      </c>
      <c r="F1303" s="25">
        <v>256</v>
      </c>
      <c r="G1303" s="25">
        <v>222</v>
      </c>
      <c r="H1303" s="27">
        <v>0</v>
      </c>
      <c r="I1303" s="27">
        <v>0</v>
      </c>
      <c r="J1303" s="27">
        <v>0</v>
      </c>
      <c r="K1303" s="27">
        <v>0</v>
      </c>
      <c r="L1303" s="27">
        <v>1</v>
      </c>
      <c r="M1303" s="27">
        <v>0</v>
      </c>
      <c r="N1303" s="27">
        <v>0</v>
      </c>
      <c r="O1303" s="27">
        <v>0</v>
      </c>
      <c r="P1303" s="25">
        <v>700</v>
      </c>
      <c r="Q1303" s="25">
        <v>560</v>
      </c>
      <c r="R1303" s="25" t="s">
        <v>87</v>
      </c>
      <c r="S1303" s="25" t="s">
        <v>89</v>
      </c>
      <c r="T1303" s="25">
        <v>0</v>
      </c>
      <c r="U1303" s="25">
        <v>0</v>
      </c>
      <c r="V1303" s="25">
        <v>0</v>
      </c>
      <c r="W1303" s="25">
        <v>0</v>
      </c>
      <c r="X1303" s="25">
        <v>1</v>
      </c>
      <c r="Y1303" s="25">
        <v>0</v>
      </c>
      <c r="Z1303" s="25">
        <v>0</v>
      </c>
      <c r="AA1303" s="25">
        <v>0</v>
      </c>
      <c r="AB1303" s="25">
        <v>0</v>
      </c>
      <c r="AC1303" s="25">
        <v>0</v>
      </c>
      <c r="AD1303" s="25">
        <v>0</v>
      </c>
      <c r="AE1303" s="25">
        <v>1</v>
      </c>
      <c r="AF1303" s="25" t="s">
        <v>131</v>
      </c>
    </row>
    <row r="1304" spans="1:32" s="25" customFormat="1" x14ac:dyDescent="0.25">
      <c r="A1304" s="25" t="s">
        <v>188</v>
      </c>
      <c r="B1304" s="25">
        <f t="shared" si="35"/>
        <v>10590</v>
      </c>
      <c r="C1304" s="25" t="s">
        <v>12</v>
      </c>
      <c r="D1304" s="25">
        <v>0</v>
      </c>
      <c r="E1304" s="25">
        <v>0</v>
      </c>
      <c r="F1304" s="25">
        <v>256</v>
      </c>
      <c r="G1304" s="25">
        <v>222</v>
      </c>
      <c r="H1304" s="27">
        <v>0</v>
      </c>
      <c r="I1304" s="27">
        <v>0</v>
      </c>
      <c r="J1304" s="27">
        <v>0</v>
      </c>
      <c r="K1304" s="27">
        <v>0</v>
      </c>
      <c r="L1304" s="27">
        <v>1</v>
      </c>
      <c r="M1304" s="27">
        <v>0</v>
      </c>
      <c r="N1304" s="27">
        <v>0</v>
      </c>
      <c r="O1304" s="27">
        <v>0</v>
      </c>
      <c r="P1304" s="25">
        <v>700</v>
      </c>
      <c r="Q1304" s="25">
        <v>560</v>
      </c>
      <c r="R1304" s="25" t="s">
        <v>87</v>
      </c>
      <c r="S1304" s="25" t="s">
        <v>89</v>
      </c>
      <c r="T1304" s="25">
        <v>0</v>
      </c>
      <c r="U1304" s="25">
        <v>0</v>
      </c>
      <c r="V1304" s="25">
        <v>0</v>
      </c>
      <c r="W1304" s="25">
        <v>0</v>
      </c>
      <c r="X1304" s="25">
        <v>1</v>
      </c>
      <c r="Y1304" s="25">
        <v>0</v>
      </c>
      <c r="Z1304" s="25">
        <v>0</v>
      </c>
      <c r="AA1304" s="25">
        <v>0</v>
      </c>
      <c r="AB1304" s="25">
        <v>0</v>
      </c>
      <c r="AC1304" s="25">
        <v>0</v>
      </c>
      <c r="AD1304" s="25">
        <v>0</v>
      </c>
      <c r="AE1304" s="25">
        <v>1</v>
      </c>
      <c r="AF1304" s="25" t="s">
        <v>131</v>
      </c>
    </row>
    <row r="1305" spans="1:32" s="25" customFormat="1" x14ac:dyDescent="0.25">
      <c r="A1305" s="25" t="s">
        <v>188</v>
      </c>
      <c r="B1305" s="25">
        <f t="shared" si="35"/>
        <v>10600</v>
      </c>
      <c r="C1305" s="25" t="s">
        <v>12</v>
      </c>
      <c r="D1305" s="25">
        <v>0</v>
      </c>
      <c r="E1305" s="25">
        <v>0</v>
      </c>
      <c r="F1305" s="25">
        <v>256</v>
      </c>
      <c r="G1305" s="25">
        <v>222</v>
      </c>
      <c r="H1305" s="27">
        <v>0</v>
      </c>
      <c r="I1305" s="27">
        <v>0</v>
      </c>
      <c r="J1305" s="27">
        <v>0</v>
      </c>
      <c r="K1305" s="27">
        <v>0</v>
      </c>
      <c r="L1305" s="27">
        <v>1</v>
      </c>
      <c r="M1305" s="27">
        <v>0</v>
      </c>
      <c r="N1305" s="27">
        <v>0</v>
      </c>
      <c r="O1305" s="27">
        <v>0</v>
      </c>
      <c r="P1305" s="25">
        <v>700</v>
      </c>
      <c r="Q1305" s="25">
        <v>560</v>
      </c>
      <c r="R1305" s="25" t="s">
        <v>87</v>
      </c>
      <c r="S1305" s="25" t="s">
        <v>89</v>
      </c>
      <c r="T1305" s="25">
        <v>0</v>
      </c>
      <c r="U1305" s="25">
        <v>0</v>
      </c>
      <c r="V1305" s="25">
        <v>0</v>
      </c>
      <c r="W1305" s="25">
        <v>0</v>
      </c>
      <c r="X1305" s="25">
        <v>1</v>
      </c>
      <c r="Y1305" s="25">
        <v>0</v>
      </c>
      <c r="Z1305" s="25">
        <v>0</v>
      </c>
      <c r="AA1305" s="25">
        <v>0</v>
      </c>
      <c r="AB1305" s="25">
        <v>0</v>
      </c>
      <c r="AC1305" s="25">
        <v>0</v>
      </c>
      <c r="AD1305" s="25">
        <v>0</v>
      </c>
      <c r="AE1305" s="25">
        <v>1</v>
      </c>
      <c r="AF1305" s="25" t="s">
        <v>131</v>
      </c>
    </row>
    <row r="1306" spans="1:32" s="25" customFormat="1" x14ac:dyDescent="0.25">
      <c r="A1306" s="25" t="s">
        <v>188</v>
      </c>
      <c r="B1306" s="25">
        <f t="shared" si="35"/>
        <v>10610</v>
      </c>
      <c r="C1306" s="25" t="s">
        <v>12</v>
      </c>
      <c r="D1306" s="25">
        <v>0</v>
      </c>
      <c r="E1306" s="25">
        <v>0</v>
      </c>
      <c r="F1306" s="25">
        <v>256</v>
      </c>
      <c r="G1306" s="25">
        <v>222</v>
      </c>
      <c r="H1306" s="27">
        <v>0</v>
      </c>
      <c r="I1306" s="27">
        <v>0</v>
      </c>
      <c r="J1306" s="27">
        <v>0</v>
      </c>
      <c r="K1306" s="27">
        <v>0</v>
      </c>
      <c r="L1306" s="27">
        <v>1</v>
      </c>
      <c r="M1306" s="27">
        <v>0</v>
      </c>
      <c r="N1306" s="27">
        <v>0</v>
      </c>
      <c r="O1306" s="27">
        <v>0</v>
      </c>
      <c r="P1306" s="25">
        <v>700</v>
      </c>
      <c r="Q1306" s="25">
        <v>560</v>
      </c>
      <c r="R1306" s="25" t="s">
        <v>87</v>
      </c>
      <c r="S1306" s="25" t="s">
        <v>89</v>
      </c>
      <c r="T1306" s="25">
        <v>0</v>
      </c>
      <c r="U1306" s="25">
        <v>0</v>
      </c>
      <c r="V1306" s="25">
        <v>0</v>
      </c>
      <c r="W1306" s="25">
        <v>0</v>
      </c>
      <c r="X1306" s="25">
        <v>1</v>
      </c>
      <c r="Y1306" s="25">
        <v>0</v>
      </c>
      <c r="Z1306" s="25">
        <v>0</v>
      </c>
      <c r="AA1306" s="25">
        <v>0</v>
      </c>
      <c r="AB1306" s="25">
        <v>0</v>
      </c>
      <c r="AC1306" s="25">
        <v>0</v>
      </c>
      <c r="AD1306" s="25">
        <v>0</v>
      </c>
      <c r="AE1306" s="25">
        <v>1</v>
      </c>
      <c r="AF1306" s="25" t="s">
        <v>131</v>
      </c>
    </row>
    <row r="1307" spans="1:32" s="25" customFormat="1" x14ac:dyDescent="0.25">
      <c r="A1307" s="25" t="s">
        <v>188</v>
      </c>
      <c r="B1307" s="25">
        <f t="shared" si="35"/>
        <v>10620</v>
      </c>
      <c r="C1307" s="25" t="s">
        <v>12</v>
      </c>
      <c r="D1307" s="25">
        <v>0</v>
      </c>
      <c r="E1307" s="25">
        <v>0</v>
      </c>
      <c r="F1307" s="25">
        <v>256</v>
      </c>
      <c r="G1307" s="25">
        <v>222</v>
      </c>
      <c r="H1307" s="27">
        <v>0</v>
      </c>
      <c r="I1307" s="27">
        <v>0</v>
      </c>
      <c r="J1307" s="27">
        <v>0</v>
      </c>
      <c r="K1307" s="27">
        <v>0</v>
      </c>
      <c r="L1307" s="27">
        <v>1</v>
      </c>
      <c r="M1307" s="27">
        <v>0</v>
      </c>
      <c r="N1307" s="27">
        <v>0</v>
      </c>
      <c r="O1307" s="27">
        <v>0</v>
      </c>
      <c r="P1307" s="25">
        <v>700</v>
      </c>
      <c r="Q1307" s="25">
        <v>560</v>
      </c>
      <c r="R1307" s="25" t="s">
        <v>87</v>
      </c>
      <c r="S1307" s="25" t="s">
        <v>89</v>
      </c>
      <c r="T1307" s="25">
        <v>0</v>
      </c>
      <c r="U1307" s="25">
        <v>0</v>
      </c>
      <c r="V1307" s="25">
        <v>0</v>
      </c>
      <c r="W1307" s="25">
        <v>0</v>
      </c>
      <c r="X1307" s="25">
        <v>1</v>
      </c>
      <c r="Y1307" s="25">
        <v>0</v>
      </c>
      <c r="Z1307" s="25">
        <v>0</v>
      </c>
      <c r="AA1307" s="25">
        <v>0</v>
      </c>
      <c r="AB1307" s="25">
        <v>0</v>
      </c>
      <c r="AC1307" s="25">
        <v>0</v>
      </c>
      <c r="AD1307" s="25">
        <v>0</v>
      </c>
      <c r="AE1307" s="25">
        <v>1</v>
      </c>
      <c r="AF1307" s="25" t="s">
        <v>131</v>
      </c>
    </row>
    <row r="1308" spans="1:32" s="25" customFormat="1" x14ac:dyDescent="0.25">
      <c r="A1308" s="25" t="s">
        <v>188</v>
      </c>
      <c r="B1308" s="25">
        <f t="shared" si="35"/>
        <v>10630</v>
      </c>
      <c r="C1308" s="25" t="s">
        <v>12</v>
      </c>
      <c r="D1308" s="25">
        <v>0</v>
      </c>
      <c r="E1308" s="25">
        <v>0</v>
      </c>
      <c r="F1308" s="25">
        <v>256</v>
      </c>
      <c r="G1308" s="25">
        <v>222</v>
      </c>
      <c r="H1308" s="27">
        <v>0</v>
      </c>
      <c r="I1308" s="27">
        <v>0</v>
      </c>
      <c r="J1308" s="27">
        <v>0</v>
      </c>
      <c r="K1308" s="27">
        <v>0</v>
      </c>
      <c r="L1308" s="27">
        <v>1</v>
      </c>
      <c r="M1308" s="27">
        <v>0</v>
      </c>
      <c r="N1308" s="27">
        <v>0</v>
      </c>
      <c r="O1308" s="27">
        <v>0</v>
      </c>
      <c r="P1308" s="25">
        <v>700</v>
      </c>
      <c r="Q1308" s="25">
        <v>560</v>
      </c>
      <c r="R1308" s="25" t="s">
        <v>87</v>
      </c>
      <c r="S1308" s="25" t="s">
        <v>89</v>
      </c>
      <c r="T1308" s="25">
        <v>0</v>
      </c>
      <c r="U1308" s="25">
        <v>0</v>
      </c>
      <c r="V1308" s="25">
        <v>0</v>
      </c>
      <c r="W1308" s="25">
        <v>0</v>
      </c>
      <c r="X1308" s="25">
        <v>1</v>
      </c>
      <c r="Y1308" s="25">
        <v>0</v>
      </c>
      <c r="Z1308" s="25">
        <v>0</v>
      </c>
      <c r="AA1308" s="25">
        <v>0</v>
      </c>
      <c r="AB1308" s="25">
        <v>0</v>
      </c>
      <c r="AC1308" s="25">
        <v>0</v>
      </c>
      <c r="AD1308" s="25">
        <v>0</v>
      </c>
      <c r="AE1308" s="25">
        <v>1</v>
      </c>
      <c r="AF1308" s="25" t="s">
        <v>131</v>
      </c>
    </row>
    <row r="1309" spans="1:32" s="25" customFormat="1" x14ac:dyDescent="0.25">
      <c r="A1309" s="25" t="s">
        <v>188</v>
      </c>
      <c r="B1309" s="25">
        <f t="shared" si="35"/>
        <v>10640</v>
      </c>
      <c r="C1309" s="25" t="s">
        <v>12</v>
      </c>
      <c r="D1309" s="25">
        <v>0</v>
      </c>
      <c r="E1309" s="25">
        <v>0</v>
      </c>
      <c r="F1309" s="25">
        <v>256</v>
      </c>
      <c r="G1309" s="25">
        <v>222</v>
      </c>
      <c r="H1309" s="27">
        <v>0</v>
      </c>
      <c r="I1309" s="27">
        <v>0</v>
      </c>
      <c r="J1309" s="27">
        <v>0</v>
      </c>
      <c r="K1309" s="27">
        <v>0</v>
      </c>
      <c r="L1309" s="27">
        <v>1</v>
      </c>
      <c r="M1309" s="27">
        <v>0</v>
      </c>
      <c r="N1309" s="27">
        <v>0</v>
      </c>
      <c r="O1309" s="27">
        <v>0</v>
      </c>
      <c r="P1309" s="25">
        <v>700</v>
      </c>
      <c r="Q1309" s="25">
        <v>560</v>
      </c>
      <c r="R1309" s="25" t="s">
        <v>87</v>
      </c>
      <c r="S1309" s="25" t="s">
        <v>89</v>
      </c>
      <c r="T1309" s="25">
        <v>0</v>
      </c>
      <c r="U1309" s="25">
        <v>0</v>
      </c>
      <c r="V1309" s="25">
        <v>0</v>
      </c>
      <c r="W1309" s="25">
        <v>0</v>
      </c>
      <c r="X1309" s="25">
        <v>1</v>
      </c>
      <c r="Y1309" s="25">
        <v>0</v>
      </c>
      <c r="Z1309" s="25">
        <v>0</v>
      </c>
      <c r="AA1309" s="25">
        <v>0</v>
      </c>
      <c r="AB1309" s="25">
        <v>0</v>
      </c>
      <c r="AC1309" s="25">
        <v>0</v>
      </c>
      <c r="AD1309" s="25">
        <v>0</v>
      </c>
      <c r="AE1309" s="25">
        <v>1</v>
      </c>
      <c r="AF1309" s="25" t="s">
        <v>131</v>
      </c>
    </row>
    <row r="1310" spans="1:32" s="25" customFormat="1" x14ac:dyDescent="0.25">
      <c r="A1310" s="25" t="s">
        <v>188</v>
      </c>
      <c r="B1310" s="25">
        <f t="shared" si="35"/>
        <v>10650</v>
      </c>
      <c r="C1310" s="25" t="s">
        <v>12</v>
      </c>
      <c r="D1310" s="25">
        <v>0</v>
      </c>
      <c r="E1310" s="25">
        <v>0</v>
      </c>
      <c r="F1310" s="25">
        <v>256</v>
      </c>
      <c r="G1310" s="25">
        <v>222</v>
      </c>
      <c r="H1310" s="27">
        <v>0</v>
      </c>
      <c r="I1310" s="27">
        <v>0</v>
      </c>
      <c r="J1310" s="27">
        <v>0</v>
      </c>
      <c r="K1310" s="27">
        <v>0</v>
      </c>
      <c r="L1310" s="27">
        <v>1</v>
      </c>
      <c r="M1310" s="27">
        <v>0</v>
      </c>
      <c r="N1310" s="27">
        <v>0</v>
      </c>
      <c r="O1310" s="27">
        <v>0</v>
      </c>
      <c r="P1310" s="25">
        <v>700</v>
      </c>
      <c r="Q1310" s="25">
        <v>560</v>
      </c>
      <c r="R1310" s="25" t="s">
        <v>87</v>
      </c>
      <c r="S1310" s="25" t="s">
        <v>89</v>
      </c>
      <c r="T1310" s="25">
        <v>0</v>
      </c>
      <c r="U1310" s="25">
        <v>0</v>
      </c>
      <c r="V1310" s="25">
        <v>0</v>
      </c>
      <c r="W1310" s="25">
        <v>0</v>
      </c>
      <c r="X1310" s="25">
        <v>1</v>
      </c>
      <c r="Y1310" s="25">
        <v>0</v>
      </c>
      <c r="Z1310" s="25">
        <v>0</v>
      </c>
      <c r="AA1310" s="25">
        <v>0</v>
      </c>
      <c r="AB1310" s="25">
        <v>0</v>
      </c>
      <c r="AC1310" s="25">
        <v>0</v>
      </c>
      <c r="AD1310" s="25">
        <v>0</v>
      </c>
      <c r="AE1310" s="25">
        <v>1</v>
      </c>
      <c r="AF1310" s="25" t="s">
        <v>131</v>
      </c>
    </row>
    <row r="1311" spans="1:32" s="25" customFormat="1" x14ac:dyDescent="0.25">
      <c r="A1311" s="25" t="s">
        <v>188</v>
      </c>
      <c r="B1311" s="25">
        <f t="shared" si="35"/>
        <v>10660</v>
      </c>
      <c r="C1311" s="25" t="s">
        <v>12</v>
      </c>
      <c r="D1311" s="25">
        <v>0</v>
      </c>
      <c r="E1311" s="25">
        <v>0</v>
      </c>
      <c r="F1311" s="25">
        <v>256</v>
      </c>
      <c r="G1311" s="25">
        <v>222</v>
      </c>
      <c r="H1311" s="27">
        <v>0</v>
      </c>
      <c r="I1311" s="27">
        <v>0</v>
      </c>
      <c r="J1311" s="27">
        <v>0</v>
      </c>
      <c r="K1311" s="27">
        <v>0</v>
      </c>
      <c r="L1311" s="27">
        <v>1</v>
      </c>
      <c r="M1311" s="27">
        <v>0</v>
      </c>
      <c r="N1311" s="27">
        <v>0</v>
      </c>
      <c r="O1311" s="27">
        <v>0</v>
      </c>
      <c r="P1311" s="25">
        <v>700</v>
      </c>
      <c r="Q1311" s="25">
        <v>560</v>
      </c>
      <c r="R1311" s="25" t="s">
        <v>87</v>
      </c>
      <c r="S1311" s="25" t="s">
        <v>89</v>
      </c>
      <c r="T1311" s="25">
        <v>0</v>
      </c>
      <c r="U1311" s="25">
        <v>0</v>
      </c>
      <c r="V1311" s="25">
        <v>0</v>
      </c>
      <c r="W1311" s="25">
        <v>0</v>
      </c>
      <c r="X1311" s="25">
        <v>1</v>
      </c>
      <c r="Y1311" s="25">
        <v>0</v>
      </c>
      <c r="Z1311" s="25">
        <v>0</v>
      </c>
      <c r="AA1311" s="25">
        <v>0</v>
      </c>
      <c r="AB1311" s="25">
        <v>0</v>
      </c>
      <c r="AC1311" s="25">
        <v>0</v>
      </c>
      <c r="AD1311" s="25">
        <v>0</v>
      </c>
      <c r="AE1311" s="25">
        <v>1</v>
      </c>
      <c r="AF1311" s="25" t="s">
        <v>131</v>
      </c>
    </row>
    <row r="1312" spans="1:32" s="25" customFormat="1" x14ac:dyDescent="0.25">
      <c r="A1312" s="25" t="s">
        <v>188</v>
      </c>
      <c r="B1312" s="25">
        <f t="shared" si="35"/>
        <v>10670</v>
      </c>
      <c r="C1312" s="25" t="s">
        <v>12</v>
      </c>
      <c r="D1312" s="25">
        <v>0</v>
      </c>
      <c r="E1312" s="25">
        <v>0</v>
      </c>
      <c r="F1312" s="25">
        <v>256</v>
      </c>
      <c r="G1312" s="25">
        <v>222</v>
      </c>
      <c r="H1312" s="27">
        <v>0</v>
      </c>
      <c r="I1312" s="27">
        <v>0</v>
      </c>
      <c r="J1312" s="27">
        <v>0</v>
      </c>
      <c r="K1312" s="27">
        <v>0</v>
      </c>
      <c r="L1312" s="27">
        <v>1</v>
      </c>
      <c r="M1312" s="27">
        <v>0</v>
      </c>
      <c r="N1312" s="27">
        <v>0</v>
      </c>
      <c r="O1312" s="27">
        <v>0</v>
      </c>
      <c r="P1312" s="25">
        <v>700</v>
      </c>
      <c r="Q1312" s="25">
        <v>560</v>
      </c>
      <c r="R1312" s="25" t="s">
        <v>87</v>
      </c>
      <c r="S1312" s="25" t="s">
        <v>89</v>
      </c>
      <c r="T1312" s="25">
        <v>0</v>
      </c>
      <c r="U1312" s="25">
        <v>0</v>
      </c>
      <c r="V1312" s="25">
        <v>0</v>
      </c>
      <c r="W1312" s="25">
        <v>0</v>
      </c>
      <c r="X1312" s="25">
        <v>1</v>
      </c>
      <c r="Y1312" s="25">
        <v>0</v>
      </c>
      <c r="Z1312" s="25">
        <v>0</v>
      </c>
      <c r="AA1312" s="25">
        <v>0</v>
      </c>
      <c r="AB1312" s="25">
        <v>0</v>
      </c>
      <c r="AC1312" s="25">
        <v>0</v>
      </c>
      <c r="AD1312" s="25">
        <v>0</v>
      </c>
      <c r="AE1312" s="25">
        <v>1</v>
      </c>
      <c r="AF1312" s="25" t="s">
        <v>131</v>
      </c>
    </row>
    <row r="1313" spans="1:32" s="25" customFormat="1" x14ac:dyDescent="0.25">
      <c r="A1313" s="25" t="s">
        <v>188</v>
      </c>
      <c r="B1313" s="25">
        <f t="shared" si="35"/>
        <v>10680</v>
      </c>
      <c r="C1313" s="25" t="s">
        <v>12</v>
      </c>
      <c r="D1313" s="25">
        <v>0</v>
      </c>
      <c r="E1313" s="25">
        <v>0</v>
      </c>
      <c r="F1313" s="25">
        <v>256</v>
      </c>
      <c r="G1313" s="25">
        <v>222</v>
      </c>
      <c r="H1313" s="27">
        <v>0</v>
      </c>
      <c r="I1313" s="27">
        <v>0</v>
      </c>
      <c r="J1313" s="27">
        <v>0</v>
      </c>
      <c r="K1313" s="27">
        <v>0</v>
      </c>
      <c r="L1313" s="27">
        <v>1</v>
      </c>
      <c r="M1313" s="27">
        <v>0</v>
      </c>
      <c r="N1313" s="27">
        <v>0</v>
      </c>
      <c r="O1313" s="27">
        <v>0</v>
      </c>
      <c r="P1313" s="25">
        <v>700</v>
      </c>
      <c r="Q1313" s="25">
        <v>560</v>
      </c>
      <c r="R1313" s="25" t="s">
        <v>87</v>
      </c>
      <c r="S1313" s="25" t="s">
        <v>89</v>
      </c>
      <c r="T1313" s="25">
        <v>0</v>
      </c>
      <c r="U1313" s="25">
        <v>0</v>
      </c>
      <c r="V1313" s="25">
        <v>0</v>
      </c>
      <c r="W1313" s="25">
        <v>0</v>
      </c>
      <c r="X1313" s="25">
        <v>1</v>
      </c>
      <c r="Y1313" s="25">
        <v>0</v>
      </c>
      <c r="Z1313" s="25">
        <v>0</v>
      </c>
      <c r="AA1313" s="25">
        <v>0</v>
      </c>
      <c r="AB1313" s="25">
        <v>0</v>
      </c>
      <c r="AC1313" s="25">
        <v>0</v>
      </c>
      <c r="AD1313" s="25">
        <v>0</v>
      </c>
      <c r="AE1313" s="25">
        <v>1</v>
      </c>
      <c r="AF1313" s="25" t="s">
        <v>131</v>
      </c>
    </row>
    <row r="1314" spans="1:32" s="25" customFormat="1" x14ac:dyDescent="0.25">
      <c r="A1314" s="25" t="s">
        <v>188</v>
      </c>
      <c r="B1314" s="25">
        <f t="shared" si="35"/>
        <v>10690</v>
      </c>
      <c r="C1314" s="25" t="s">
        <v>12</v>
      </c>
      <c r="D1314" s="25">
        <v>0</v>
      </c>
      <c r="E1314" s="25">
        <v>0</v>
      </c>
      <c r="F1314" s="25">
        <v>256</v>
      </c>
      <c r="G1314" s="25">
        <v>222</v>
      </c>
      <c r="H1314" s="27">
        <v>0</v>
      </c>
      <c r="I1314" s="27">
        <v>0</v>
      </c>
      <c r="J1314" s="27">
        <v>0</v>
      </c>
      <c r="K1314" s="27">
        <v>0</v>
      </c>
      <c r="L1314" s="27">
        <v>1</v>
      </c>
      <c r="M1314" s="27">
        <v>0</v>
      </c>
      <c r="N1314" s="27">
        <v>0</v>
      </c>
      <c r="O1314" s="27">
        <v>0</v>
      </c>
      <c r="P1314" s="25">
        <v>700</v>
      </c>
      <c r="Q1314" s="25">
        <v>560</v>
      </c>
      <c r="R1314" s="25" t="s">
        <v>87</v>
      </c>
      <c r="S1314" s="25" t="s">
        <v>89</v>
      </c>
      <c r="T1314" s="25">
        <v>0</v>
      </c>
      <c r="U1314" s="25">
        <v>0</v>
      </c>
      <c r="V1314" s="25">
        <v>0</v>
      </c>
      <c r="W1314" s="25">
        <v>0</v>
      </c>
      <c r="X1314" s="25">
        <v>1</v>
      </c>
      <c r="Y1314" s="25">
        <v>0</v>
      </c>
      <c r="Z1314" s="25">
        <v>0</v>
      </c>
      <c r="AA1314" s="25">
        <v>0</v>
      </c>
      <c r="AB1314" s="25">
        <v>0</v>
      </c>
      <c r="AC1314" s="25">
        <v>0</v>
      </c>
      <c r="AD1314" s="25">
        <v>0</v>
      </c>
      <c r="AE1314" s="25">
        <v>1</v>
      </c>
      <c r="AF1314" s="25" t="s">
        <v>131</v>
      </c>
    </row>
    <row r="1315" spans="1:32" s="25" customFormat="1" x14ac:dyDescent="0.25">
      <c r="A1315" s="25" t="s">
        <v>188</v>
      </c>
      <c r="B1315" s="25">
        <f t="shared" si="35"/>
        <v>10700</v>
      </c>
      <c r="C1315" s="25" t="s">
        <v>12</v>
      </c>
      <c r="D1315" s="25">
        <v>0</v>
      </c>
      <c r="E1315" s="25">
        <v>0</v>
      </c>
      <c r="F1315" s="25">
        <v>256</v>
      </c>
      <c r="G1315" s="25">
        <v>222</v>
      </c>
      <c r="H1315" s="27">
        <v>0</v>
      </c>
      <c r="I1315" s="27">
        <v>0</v>
      </c>
      <c r="J1315" s="27">
        <v>0</v>
      </c>
      <c r="K1315" s="27">
        <v>0</v>
      </c>
      <c r="L1315" s="27">
        <v>1</v>
      </c>
      <c r="M1315" s="27">
        <v>0</v>
      </c>
      <c r="N1315" s="27">
        <v>0</v>
      </c>
      <c r="O1315" s="27">
        <v>0</v>
      </c>
      <c r="P1315" s="25">
        <v>700</v>
      </c>
      <c r="Q1315" s="25">
        <v>560</v>
      </c>
      <c r="R1315" s="25" t="s">
        <v>87</v>
      </c>
      <c r="S1315" s="25" t="s">
        <v>89</v>
      </c>
      <c r="T1315" s="25">
        <v>0</v>
      </c>
      <c r="U1315" s="25">
        <v>0</v>
      </c>
      <c r="V1315" s="25">
        <v>0</v>
      </c>
      <c r="W1315" s="25">
        <v>0</v>
      </c>
      <c r="X1315" s="25">
        <v>1</v>
      </c>
      <c r="Y1315" s="25">
        <v>0</v>
      </c>
      <c r="Z1315" s="25">
        <v>0</v>
      </c>
      <c r="AA1315" s="25">
        <v>0</v>
      </c>
      <c r="AB1315" s="25">
        <v>0</v>
      </c>
      <c r="AC1315" s="25">
        <v>0</v>
      </c>
      <c r="AD1315" s="25">
        <v>0</v>
      </c>
      <c r="AE1315" s="25">
        <v>1</v>
      </c>
      <c r="AF1315" s="25" t="s">
        <v>131</v>
      </c>
    </row>
    <row r="1316" spans="1:32" s="25" customFormat="1" x14ac:dyDescent="0.25">
      <c r="A1316" s="25" t="s">
        <v>188</v>
      </c>
      <c r="B1316" s="25">
        <f t="shared" si="35"/>
        <v>10710</v>
      </c>
      <c r="C1316" s="25" t="s">
        <v>12</v>
      </c>
      <c r="D1316" s="25">
        <v>0</v>
      </c>
      <c r="E1316" s="25">
        <v>0</v>
      </c>
      <c r="F1316" s="25">
        <v>256</v>
      </c>
      <c r="G1316" s="25">
        <v>222</v>
      </c>
      <c r="H1316" s="27">
        <v>0</v>
      </c>
      <c r="I1316" s="27">
        <v>0</v>
      </c>
      <c r="J1316" s="27">
        <v>0</v>
      </c>
      <c r="K1316" s="27">
        <v>0</v>
      </c>
      <c r="L1316" s="27">
        <v>1</v>
      </c>
      <c r="M1316" s="27">
        <v>0</v>
      </c>
      <c r="N1316" s="27">
        <v>0</v>
      </c>
      <c r="O1316" s="27">
        <v>0</v>
      </c>
      <c r="P1316" s="25">
        <v>700</v>
      </c>
      <c r="Q1316" s="25">
        <v>560</v>
      </c>
      <c r="R1316" s="25" t="s">
        <v>87</v>
      </c>
      <c r="S1316" s="25" t="s">
        <v>89</v>
      </c>
      <c r="T1316" s="25">
        <v>0</v>
      </c>
      <c r="U1316" s="25">
        <v>0</v>
      </c>
      <c r="V1316" s="25">
        <v>0</v>
      </c>
      <c r="W1316" s="25">
        <v>0</v>
      </c>
      <c r="X1316" s="25">
        <v>1</v>
      </c>
      <c r="Y1316" s="25">
        <v>0</v>
      </c>
      <c r="Z1316" s="25">
        <v>0</v>
      </c>
      <c r="AA1316" s="25">
        <v>0</v>
      </c>
      <c r="AB1316" s="25">
        <v>0</v>
      </c>
      <c r="AC1316" s="25">
        <v>0</v>
      </c>
      <c r="AD1316" s="25">
        <v>0</v>
      </c>
      <c r="AE1316" s="25">
        <v>1</v>
      </c>
      <c r="AF1316" s="25" t="s">
        <v>131</v>
      </c>
    </row>
    <row r="1317" spans="1:32" s="25" customFormat="1" x14ac:dyDescent="0.25">
      <c r="A1317" s="25" t="s">
        <v>188</v>
      </c>
      <c r="B1317" s="25">
        <f t="shared" si="35"/>
        <v>10720</v>
      </c>
      <c r="C1317" s="25" t="s">
        <v>12</v>
      </c>
      <c r="D1317" s="25">
        <v>0</v>
      </c>
      <c r="E1317" s="25">
        <v>0</v>
      </c>
      <c r="F1317" s="25">
        <v>256</v>
      </c>
      <c r="G1317" s="25">
        <v>222</v>
      </c>
      <c r="H1317" s="27">
        <v>0</v>
      </c>
      <c r="I1317" s="27">
        <v>0</v>
      </c>
      <c r="J1317" s="27">
        <v>0</v>
      </c>
      <c r="K1317" s="27">
        <v>0</v>
      </c>
      <c r="L1317" s="27">
        <v>1</v>
      </c>
      <c r="M1317" s="27">
        <v>0</v>
      </c>
      <c r="N1317" s="27">
        <v>0</v>
      </c>
      <c r="O1317" s="27">
        <v>0</v>
      </c>
      <c r="P1317" s="25">
        <v>700</v>
      </c>
      <c r="Q1317" s="25">
        <v>560</v>
      </c>
      <c r="R1317" s="25" t="s">
        <v>87</v>
      </c>
      <c r="S1317" s="25" t="s">
        <v>89</v>
      </c>
      <c r="T1317" s="25">
        <v>0</v>
      </c>
      <c r="U1317" s="25">
        <v>0</v>
      </c>
      <c r="V1317" s="25">
        <v>0</v>
      </c>
      <c r="W1317" s="25">
        <v>0</v>
      </c>
      <c r="X1317" s="25">
        <v>1</v>
      </c>
      <c r="Y1317" s="25">
        <v>0</v>
      </c>
      <c r="Z1317" s="25">
        <v>0</v>
      </c>
      <c r="AA1317" s="25">
        <v>0</v>
      </c>
      <c r="AB1317" s="25">
        <v>0</v>
      </c>
      <c r="AC1317" s="25">
        <v>0</v>
      </c>
      <c r="AD1317" s="25">
        <v>0</v>
      </c>
      <c r="AE1317" s="25">
        <v>1</v>
      </c>
      <c r="AF1317" s="25" t="s">
        <v>131</v>
      </c>
    </row>
    <row r="1318" spans="1:32" s="25" customFormat="1" x14ac:dyDescent="0.25">
      <c r="A1318" s="25" t="s">
        <v>188</v>
      </c>
      <c r="B1318" s="25">
        <f t="shared" si="35"/>
        <v>10730</v>
      </c>
      <c r="C1318" s="25" t="s">
        <v>12</v>
      </c>
      <c r="D1318" s="25">
        <v>0</v>
      </c>
      <c r="E1318" s="25">
        <v>0</v>
      </c>
      <c r="F1318" s="25">
        <v>256</v>
      </c>
      <c r="G1318" s="25">
        <v>222</v>
      </c>
      <c r="H1318" s="27">
        <v>0</v>
      </c>
      <c r="I1318" s="27">
        <v>0</v>
      </c>
      <c r="J1318" s="27">
        <v>0</v>
      </c>
      <c r="K1318" s="27">
        <v>0</v>
      </c>
      <c r="L1318" s="27">
        <v>1</v>
      </c>
      <c r="M1318" s="27">
        <v>0</v>
      </c>
      <c r="N1318" s="27">
        <v>0</v>
      </c>
      <c r="O1318" s="27">
        <v>0</v>
      </c>
      <c r="P1318" s="25">
        <v>700</v>
      </c>
      <c r="Q1318" s="25">
        <v>560</v>
      </c>
      <c r="R1318" s="25" t="s">
        <v>87</v>
      </c>
      <c r="S1318" s="25" t="s">
        <v>89</v>
      </c>
      <c r="T1318" s="25">
        <v>0</v>
      </c>
      <c r="U1318" s="25">
        <v>0</v>
      </c>
      <c r="V1318" s="25">
        <v>0</v>
      </c>
      <c r="W1318" s="25">
        <v>0</v>
      </c>
      <c r="X1318" s="25">
        <v>1</v>
      </c>
      <c r="Y1318" s="25">
        <v>0</v>
      </c>
      <c r="Z1318" s="25">
        <v>0</v>
      </c>
      <c r="AA1318" s="25">
        <v>0</v>
      </c>
      <c r="AB1318" s="25">
        <v>0</v>
      </c>
      <c r="AC1318" s="25">
        <v>0</v>
      </c>
      <c r="AD1318" s="25">
        <v>0</v>
      </c>
      <c r="AE1318" s="25">
        <v>1</v>
      </c>
      <c r="AF1318" s="25" t="s">
        <v>131</v>
      </c>
    </row>
    <row r="1319" spans="1:32" s="25" customFormat="1" x14ac:dyDescent="0.25">
      <c r="A1319" s="25" t="s">
        <v>188</v>
      </c>
      <c r="B1319" s="25">
        <f t="shared" si="35"/>
        <v>10740</v>
      </c>
      <c r="C1319" s="25" t="s">
        <v>12</v>
      </c>
      <c r="D1319" s="25">
        <v>0</v>
      </c>
      <c r="E1319" s="25">
        <v>0</v>
      </c>
      <c r="F1319" s="25">
        <v>256</v>
      </c>
      <c r="G1319" s="25">
        <v>222</v>
      </c>
      <c r="H1319" s="27">
        <v>0</v>
      </c>
      <c r="I1319" s="27">
        <v>0</v>
      </c>
      <c r="J1319" s="27">
        <v>0</v>
      </c>
      <c r="K1319" s="27">
        <v>0</v>
      </c>
      <c r="L1319" s="27">
        <v>1</v>
      </c>
      <c r="M1319" s="27">
        <v>0</v>
      </c>
      <c r="N1319" s="27">
        <v>0</v>
      </c>
      <c r="O1319" s="27">
        <v>0</v>
      </c>
      <c r="P1319" s="25">
        <v>700</v>
      </c>
      <c r="Q1319" s="25">
        <v>560</v>
      </c>
      <c r="R1319" s="25" t="s">
        <v>87</v>
      </c>
      <c r="S1319" s="25" t="s">
        <v>89</v>
      </c>
      <c r="T1319" s="25">
        <v>0</v>
      </c>
      <c r="U1319" s="25">
        <v>0</v>
      </c>
      <c r="V1319" s="25">
        <v>0</v>
      </c>
      <c r="W1319" s="25">
        <v>0</v>
      </c>
      <c r="X1319" s="25">
        <v>1</v>
      </c>
      <c r="Y1319" s="25">
        <v>0</v>
      </c>
      <c r="Z1319" s="25">
        <v>0</v>
      </c>
      <c r="AA1319" s="25">
        <v>0</v>
      </c>
      <c r="AB1319" s="25">
        <v>0</v>
      </c>
      <c r="AC1319" s="25">
        <v>0</v>
      </c>
      <c r="AD1319" s="25">
        <v>0</v>
      </c>
      <c r="AE1319" s="25">
        <v>1</v>
      </c>
      <c r="AF1319" s="25" t="s">
        <v>131</v>
      </c>
    </row>
    <row r="1320" spans="1:32" s="25" customFormat="1" x14ac:dyDescent="0.25">
      <c r="A1320" s="25" t="s">
        <v>188</v>
      </c>
      <c r="B1320" s="25">
        <f t="shared" si="35"/>
        <v>10750</v>
      </c>
      <c r="C1320" s="25" t="s">
        <v>12</v>
      </c>
      <c r="D1320" s="25">
        <v>0</v>
      </c>
      <c r="E1320" s="25">
        <v>0</v>
      </c>
      <c r="F1320" s="25">
        <v>256</v>
      </c>
      <c r="G1320" s="25">
        <v>222</v>
      </c>
      <c r="H1320" s="27">
        <v>0</v>
      </c>
      <c r="I1320" s="27">
        <v>0</v>
      </c>
      <c r="J1320" s="27">
        <v>0</v>
      </c>
      <c r="K1320" s="27">
        <v>0</v>
      </c>
      <c r="L1320" s="27">
        <v>1</v>
      </c>
      <c r="M1320" s="27">
        <v>0</v>
      </c>
      <c r="N1320" s="27">
        <v>0</v>
      </c>
      <c r="O1320" s="27">
        <v>0</v>
      </c>
      <c r="P1320" s="25">
        <v>700</v>
      </c>
      <c r="Q1320" s="25">
        <v>560</v>
      </c>
      <c r="R1320" s="25" t="s">
        <v>87</v>
      </c>
      <c r="S1320" s="25" t="s">
        <v>89</v>
      </c>
      <c r="T1320" s="25">
        <v>0</v>
      </c>
      <c r="U1320" s="25">
        <v>0</v>
      </c>
      <c r="V1320" s="25">
        <v>0</v>
      </c>
      <c r="W1320" s="25">
        <v>0</v>
      </c>
      <c r="X1320" s="25">
        <v>1</v>
      </c>
      <c r="Y1320" s="25">
        <v>0</v>
      </c>
      <c r="Z1320" s="25">
        <v>0</v>
      </c>
      <c r="AA1320" s="25">
        <v>0</v>
      </c>
      <c r="AB1320" s="25">
        <v>0</v>
      </c>
      <c r="AC1320" s="25">
        <v>0</v>
      </c>
      <c r="AD1320" s="25">
        <v>0</v>
      </c>
      <c r="AE1320" s="25">
        <v>1</v>
      </c>
      <c r="AF1320" s="25" t="s">
        <v>131</v>
      </c>
    </row>
    <row r="1321" spans="1:32" x14ac:dyDescent="0.25">
      <c r="A1321" t="s">
        <v>189</v>
      </c>
      <c r="B1321" s="25">
        <f t="shared" si="35"/>
        <v>10760</v>
      </c>
      <c r="C1321" t="s">
        <v>12</v>
      </c>
      <c r="D1321">
        <v>0</v>
      </c>
      <c r="E1321">
        <v>0</v>
      </c>
      <c r="F1321">
        <v>256</v>
      </c>
      <c r="G1321">
        <v>222</v>
      </c>
      <c r="H1321" s="27">
        <v>0</v>
      </c>
      <c r="I1321" s="27">
        <v>0</v>
      </c>
      <c r="J1321" s="27">
        <v>0</v>
      </c>
      <c r="K1321" s="27">
        <v>0</v>
      </c>
      <c r="L1321" s="27">
        <v>1</v>
      </c>
      <c r="M1321" s="27">
        <v>0</v>
      </c>
      <c r="N1321" s="27">
        <v>0</v>
      </c>
      <c r="O1321" s="27">
        <v>0</v>
      </c>
      <c r="P1321">
        <v>700</v>
      </c>
      <c r="Q1321">
        <v>560</v>
      </c>
      <c r="R1321" t="s">
        <v>87</v>
      </c>
      <c r="S1321" t="s">
        <v>89</v>
      </c>
      <c r="T1321">
        <v>0</v>
      </c>
      <c r="U1321">
        <v>0</v>
      </c>
      <c r="V1321">
        <v>0</v>
      </c>
      <c r="W1321">
        <v>0</v>
      </c>
      <c r="X1321">
        <v>1</v>
      </c>
      <c r="Y1321">
        <v>0</v>
      </c>
      <c r="Z1321">
        <v>0</v>
      </c>
      <c r="AA1321">
        <v>0</v>
      </c>
      <c r="AB1321">
        <v>0</v>
      </c>
      <c r="AC1321">
        <v>0</v>
      </c>
      <c r="AD1321">
        <v>0</v>
      </c>
      <c r="AE1321">
        <v>1</v>
      </c>
      <c r="AF1321" t="s">
        <v>131</v>
      </c>
    </row>
    <row r="1322" spans="1:32" x14ac:dyDescent="0.25">
      <c r="A1322" t="s">
        <v>189</v>
      </c>
      <c r="B1322" s="25">
        <f t="shared" si="35"/>
        <v>10770</v>
      </c>
      <c r="C1322" t="s">
        <v>12</v>
      </c>
      <c r="D1322" t="s">
        <v>13</v>
      </c>
      <c r="E1322" t="s">
        <v>13</v>
      </c>
      <c r="F1322" t="s">
        <v>13</v>
      </c>
      <c r="G1322" t="s">
        <v>13</v>
      </c>
      <c r="H1322" s="27" t="s">
        <v>13</v>
      </c>
      <c r="I1322" s="27" t="s">
        <v>13</v>
      </c>
      <c r="J1322" s="27" t="s">
        <v>13</v>
      </c>
      <c r="K1322" s="27" t="s">
        <v>13</v>
      </c>
      <c r="L1322" s="27" t="s">
        <v>13</v>
      </c>
      <c r="M1322" s="27" t="s">
        <v>13</v>
      </c>
      <c r="N1322" s="27" t="s">
        <v>13</v>
      </c>
      <c r="O1322" s="27" t="s">
        <v>13</v>
      </c>
      <c r="P1322">
        <v>700</v>
      </c>
      <c r="Q1322">
        <v>560</v>
      </c>
      <c r="R1322" t="s">
        <v>87</v>
      </c>
      <c r="S1322" t="s">
        <v>89</v>
      </c>
      <c r="T1322">
        <v>0</v>
      </c>
      <c r="U1322">
        <v>0</v>
      </c>
      <c r="V1322">
        <v>0</v>
      </c>
      <c r="W1322">
        <v>0</v>
      </c>
      <c r="X1322">
        <v>1</v>
      </c>
      <c r="Y1322">
        <v>0</v>
      </c>
      <c r="Z1322">
        <v>0</v>
      </c>
      <c r="AA1322">
        <v>0</v>
      </c>
      <c r="AB1322">
        <v>0</v>
      </c>
      <c r="AC1322">
        <v>0</v>
      </c>
      <c r="AD1322">
        <v>0</v>
      </c>
      <c r="AE1322">
        <v>1</v>
      </c>
      <c r="AF1322" t="s">
        <v>132</v>
      </c>
    </row>
    <row r="1323" spans="1:32" x14ac:dyDescent="0.25">
      <c r="A1323" t="s">
        <v>189</v>
      </c>
      <c r="B1323" s="25">
        <f t="shared" si="35"/>
        <v>10780</v>
      </c>
      <c r="C1323" t="s">
        <v>12</v>
      </c>
      <c r="D1323">
        <v>0</v>
      </c>
      <c r="E1323">
        <v>0</v>
      </c>
      <c r="F1323">
        <v>256</v>
      </c>
      <c r="G1323">
        <v>222</v>
      </c>
      <c r="H1323" s="27">
        <v>0</v>
      </c>
      <c r="I1323" s="27">
        <v>0</v>
      </c>
      <c r="J1323" s="27">
        <v>0</v>
      </c>
      <c r="K1323" s="27">
        <v>0</v>
      </c>
      <c r="L1323" s="27">
        <v>1</v>
      </c>
      <c r="M1323" s="27">
        <v>0</v>
      </c>
      <c r="N1323" s="27">
        <v>0</v>
      </c>
      <c r="O1323" s="27">
        <v>0</v>
      </c>
      <c r="P1323">
        <v>700</v>
      </c>
      <c r="Q1323">
        <v>560</v>
      </c>
      <c r="R1323" t="s">
        <v>87</v>
      </c>
      <c r="S1323" t="s">
        <v>89</v>
      </c>
      <c r="T1323">
        <v>0</v>
      </c>
      <c r="U1323">
        <v>0</v>
      </c>
      <c r="V1323">
        <v>0</v>
      </c>
      <c r="W1323">
        <v>0</v>
      </c>
      <c r="X1323">
        <v>1</v>
      </c>
      <c r="Y1323">
        <v>0</v>
      </c>
      <c r="Z1323">
        <v>0</v>
      </c>
      <c r="AA1323">
        <v>0</v>
      </c>
      <c r="AB1323">
        <v>0</v>
      </c>
      <c r="AC1323">
        <v>0</v>
      </c>
      <c r="AD1323">
        <v>0</v>
      </c>
      <c r="AE1323">
        <v>1</v>
      </c>
      <c r="AF1323" t="s">
        <v>132</v>
      </c>
    </row>
    <row r="1324" spans="1:32" s="25" customFormat="1" x14ac:dyDescent="0.25">
      <c r="A1324" s="25" t="s">
        <v>189</v>
      </c>
      <c r="B1324" s="25">
        <f t="shared" ref="B1324:B1376" si="36">B1323+10</f>
        <v>10790</v>
      </c>
      <c r="C1324" s="25" t="s">
        <v>12</v>
      </c>
      <c r="D1324" s="25">
        <v>0</v>
      </c>
      <c r="E1324" s="25">
        <v>0</v>
      </c>
      <c r="F1324" s="25">
        <v>256</v>
      </c>
      <c r="G1324" s="25">
        <v>222</v>
      </c>
      <c r="H1324" s="27">
        <v>0</v>
      </c>
      <c r="I1324" s="27">
        <v>0</v>
      </c>
      <c r="J1324" s="27">
        <v>0</v>
      </c>
      <c r="K1324" s="27">
        <v>0</v>
      </c>
      <c r="L1324" s="27">
        <v>1</v>
      </c>
      <c r="M1324" s="27">
        <v>0</v>
      </c>
      <c r="N1324" s="27">
        <v>0</v>
      </c>
      <c r="O1324" s="27">
        <v>0</v>
      </c>
      <c r="P1324" s="25">
        <v>700</v>
      </c>
      <c r="Q1324" s="25">
        <v>560</v>
      </c>
      <c r="R1324" s="25" t="s">
        <v>87</v>
      </c>
      <c r="S1324" s="25" t="s">
        <v>89</v>
      </c>
      <c r="T1324" s="25">
        <v>0</v>
      </c>
      <c r="U1324" s="25">
        <v>0</v>
      </c>
      <c r="V1324" s="25">
        <v>0</v>
      </c>
      <c r="W1324" s="25">
        <v>0</v>
      </c>
      <c r="X1324" s="25">
        <v>1</v>
      </c>
      <c r="Y1324" s="25">
        <v>0</v>
      </c>
      <c r="Z1324" s="25">
        <v>0</v>
      </c>
      <c r="AA1324" s="25">
        <v>0</v>
      </c>
      <c r="AB1324" s="25">
        <v>0</v>
      </c>
      <c r="AC1324" s="25">
        <v>0</v>
      </c>
      <c r="AD1324" s="25">
        <v>0</v>
      </c>
      <c r="AE1324" s="25">
        <v>1</v>
      </c>
      <c r="AF1324" s="25" t="s">
        <v>132</v>
      </c>
    </row>
    <row r="1325" spans="1:32" s="25" customFormat="1" x14ac:dyDescent="0.25">
      <c r="A1325" s="25" t="s">
        <v>189</v>
      </c>
      <c r="B1325" s="25">
        <f t="shared" si="36"/>
        <v>10800</v>
      </c>
      <c r="C1325" s="25" t="s">
        <v>12</v>
      </c>
      <c r="D1325" s="25">
        <v>0</v>
      </c>
      <c r="E1325" s="25">
        <v>0</v>
      </c>
      <c r="F1325" s="25">
        <v>256</v>
      </c>
      <c r="G1325" s="25">
        <v>222</v>
      </c>
      <c r="H1325" s="27">
        <v>0</v>
      </c>
      <c r="I1325" s="27">
        <v>0</v>
      </c>
      <c r="J1325" s="27">
        <v>0</v>
      </c>
      <c r="K1325" s="27">
        <v>0</v>
      </c>
      <c r="L1325" s="27">
        <v>1</v>
      </c>
      <c r="M1325" s="27">
        <v>0</v>
      </c>
      <c r="N1325" s="27">
        <v>0</v>
      </c>
      <c r="O1325" s="27">
        <v>0</v>
      </c>
      <c r="P1325" s="25">
        <v>700</v>
      </c>
      <c r="Q1325" s="25">
        <v>560</v>
      </c>
      <c r="R1325" s="25" t="s">
        <v>87</v>
      </c>
      <c r="S1325" s="25" t="s">
        <v>89</v>
      </c>
      <c r="T1325" s="25">
        <v>0</v>
      </c>
      <c r="U1325" s="25">
        <v>0</v>
      </c>
      <c r="V1325" s="25">
        <v>0</v>
      </c>
      <c r="W1325" s="25">
        <v>0</v>
      </c>
      <c r="X1325" s="25">
        <v>1</v>
      </c>
      <c r="Y1325" s="25">
        <v>0</v>
      </c>
      <c r="Z1325" s="25">
        <v>0</v>
      </c>
      <c r="AA1325" s="25">
        <v>0</v>
      </c>
      <c r="AB1325" s="25">
        <v>0</v>
      </c>
      <c r="AC1325" s="25">
        <v>0</v>
      </c>
      <c r="AD1325" s="25">
        <v>0</v>
      </c>
      <c r="AE1325" s="25">
        <v>1</v>
      </c>
      <c r="AF1325" s="25" t="s">
        <v>132</v>
      </c>
    </row>
    <row r="1326" spans="1:32" s="25" customFormat="1" x14ac:dyDescent="0.25">
      <c r="A1326" s="25" t="s">
        <v>189</v>
      </c>
      <c r="B1326" s="25">
        <f t="shared" si="36"/>
        <v>10810</v>
      </c>
      <c r="C1326" s="25" t="s">
        <v>12</v>
      </c>
      <c r="D1326" s="25">
        <v>0</v>
      </c>
      <c r="E1326" s="25">
        <v>0</v>
      </c>
      <c r="F1326" s="25">
        <v>256</v>
      </c>
      <c r="G1326" s="25">
        <v>222</v>
      </c>
      <c r="H1326" s="27">
        <v>0</v>
      </c>
      <c r="I1326" s="27">
        <v>0</v>
      </c>
      <c r="J1326" s="27">
        <v>0</v>
      </c>
      <c r="K1326" s="27">
        <v>0</v>
      </c>
      <c r="L1326" s="27">
        <v>1</v>
      </c>
      <c r="M1326" s="27">
        <v>0</v>
      </c>
      <c r="N1326" s="27">
        <v>0</v>
      </c>
      <c r="O1326" s="27">
        <v>0</v>
      </c>
      <c r="P1326" s="25">
        <v>700</v>
      </c>
      <c r="Q1326" s="25">
        <v>560</v>
      </c>
      <c r="R1326" s="25" t="s">
        <v>87</v>
      </c>
      <c r="S1326" s="25" t="s">
        <v>89</v>
      </c>
      <c r="T1326" s="25">
        <v>0</v>
      </c>
      <c r="U1326" s="25">
        <v>0</v>
      </c>
      <c r="V1326" s="25">
        <v>0</v>
      </c>
      <c r="W1326" s="25">
        <v>0</v>
      </c>
      <c r="X1326" s="25">
        <v>1</v>
      </c>
      <c r="Y1326" s="25">
        <v>0</v>
      </c>
      <c r="Z1326" s="25">
        <v>0</v>
      </c>
      <c r="AA1326" s="25">
        <v>0</v>
      </c>
      <c r="AB1326" s="25">
        <v>0</v>
      </c>
      <c r="AC1326" s="25">
        <v>0</v>
      </c>
      <c r="AD1326" s="25">
        <v>0</v>
      </c>
      <c r="AE1326" s="25">
        <v>1</v>
      </c>
      <c r="AF1326" s="25" t="s">
        <v>132</v>
      </c>
    </row>
    <row r="1327" spans="1:32" s="25" customFormat="1" x14ac:dyDescent="0.25">
      <c r="A1327" s="25" t="s">
        <v>189</v>
      </c>
      <c r="B1327" s="25">
        <f t="shared" si="36"/>
        <v>10820</v>
      </c>
      <c r="C1327" s="25" t="s">
        <v>12</v>
      </c>
      <c r="D1327" s="25">
        <v>0</v>
      </c>
      <c r="E1327" s="25">
        <v>0</v>
      </c>
      <c r="F1327" s="25">
        <v>256</v>
      </c>
      <c r="G1327" s="25">
        <v>222</v>
      </c>
      <c r="H1327" s="27">
        <v>0</v>
      </c>
      <c r="I1327" s="27">
        <v>0</v>
      </c>
      <c r="J1327" s="27">
        <v>0</v>
      </c>
      <c r="K1327" s="27">
        <v>0</v>
      </c>
      <c r="L1327" s="27">
        <v>1</v>
      </c>
      <c r="M1327" s="27">
        <v>0</v>
      </c>
      <c r="N1327" s="27">
        <v>0</v>
      </c>
      <c r="O1327" s="27">
        <v>0</v>
      </c>
      <c r="P1327" s="25">
        <v>700</v>
      </c>
      <c r="Q1327" s="25">
        <v>560</v>
      </c>
      <c r="R1327" s="25" t="s">
        <v>87</v>
      </c>
      <c r="S1327" s="25" t="s">
        <v>89</v>
      </c>
      <c r="T1327" s="25">
        <v>0</v>
      </c>
      <c r="U1327" s="25">
        <v>0</v>
      </c>
      <c r="V1327" s="25">
        <v>0</v>
      </c>
      <c r="W1327" s="25">
        <v>0</v>
      </c>
      <c r="X1327" s="25">
        <v>1</v>
      </c>
      <c r="Y1327" s="25">
        <v>0</v>
      </c>
      <c r="Z1327" s="25">
        <v>0</v>
      </c>
      <c r="AA1327" s="25">
        <v>0</v>
      </c>
      <c r="AB1327" s="25">
        <v>0</v>
      </c>
      <c r="AC1327" s="25">
        <v>0</v>
      </c>
      <c r="AD1327" s="25">
        <v>0</v>
      </c>
      <c r="AE1327" s="25">
        <v>1</v>
      </c>
      <c r="AF1327" s="25" t="s">
        <v>132</v>
      </c>
    </row>
    <row r="1328" spans="1:32" s="25" customFormat="1" x14ac:dyDescent="0.25">
      <c r="A1328" s="25" t="s">
        <v>189</v>
      </c>
      <c r="B1328" s="25">
        <f t="shared" si="36"/>
        <v>10830</v>
      </c>
      <c r="C1328" s="25" t="s">
        <v>12</v>
      </c>
      <c r="D1328" s="25">
        <v>0</v>
      </c>
      <c r="E1328" s="25">
        <v>0</v>
      </c>
      <c r="F1328" s="25">
        <v>256</v>
      </c>
      <c r="G1328" s="25">
        <v>222</v>
      </c>
      <c r="H1328" s="27">
        <v>0</v>
      </c>
      <c r="I1328" s="27">
        <v>0</v>
      </c>
      <c r="J1328" s="27">
        <v>0</v>
      </c>
      <c r="K1328" s="27">
        <v>0</v>
      </c>
      <c r="L1328" s="27">
        <v>1</v>
      </c>
      <c r="M1328" s="27">
        <v>0</v>
      </c>
      <c r="N1328" s="27">
        <v>0</v>
      </c>
      <c r="O1328" s="27">
        <v>0</v>
      </c>
      <c r="P1328" s="25">
        <v>700</v>
      </c>
      <c r="Q1328" s="25">
        <v>560</v>
      </c>
      <c r="R1328" s="25" t="s">
        <v>87</v>
      </c>
      <c r="S1328" s="25" t="s">
        <v>89</v>
      </c>
      <c r="T1328" s="25">
        <v>0</v>
      </c>
      <c r="U1328" s="25">
        <v>0</v>
      </c>
      <c r="V1328" s="25">
        <v>0</v>
      </c>
      <c r="W1328" s="25">
        <v>0</v>
      </c>
      <c r="X1328" s="25">
        <v>1</v>
      </c>
      <c r="Y1328" s="25">
        <v>0</v>
      </c>
      <c r="Z1328" s="25">
        <v>0</v>
      </c>
      <c r="AA1328" s="25">
        <v>0</v>
      </c>
      <c r="AB1328" s="25">
        <v>0</v>
      </c>
      <c r="AC1328" s="25">
        <v>0</v>
      </c>
      <c r="AD1328" s="25">
        <v>0</v>
      </c>
      <c r="AE1328" s="25">
        <v>1</v>
      </c>
      <c r="AF1328" s="25" t="s">
        <v>132</v>
      </c>
    </row>
    <row r="1329" spans="1:32" s="25" customFormat="1" x14ac:dyDescent="0.25">
      <c r="A1329" s="25" t="s">
        <v>189</v>
      </c>
      <c r="B1329" s="25">
        <f t="shared" si="36"/>
        <v>10840</v>
      </c>
      <c r="C1329" s="25" t="s">
        <v>12</v>
      </c>
      <c r="D1329" s="25">
        <v>0</v>
      </c>
      <c r="E1329" s="25">
        <v>0</v>
      </c>
      <c r="F1329" s="25">
        <v>256</v>
      </c>
      <c r="G1329" s="25">
        <v>222</v>
      </c>
      <c r="H1329" s="27">
        <v>0</v>
      </c>
      <c r="I1329" s="27">
        <v>0</v>
      </c>
      <c r="J1329" s="27">
        <v>0</v>
      </c>
      <c r="K1329" s="27">
        <v>0</v>
      </c>
      <c r="L1329" s="27">
        <v>1</v>
      </c>
      <c r="M1329" s="27">
        <v>0</v>
      </c>
      <c r="N1329" s="27">
        <v>0</v>
      </c>
      <c r="O1329" s="27">
        <v>0</v>
      </c>
      <c r="P1329" s="25">
        <v>700</v>
      </c>
      <c r="Q1329" s="25">
        <v>560</v>
      </c>
      <c r="R1329" s="25" t="s">
        <v>87</v>
      </c>
      <c r="S1329" s="25" t="s">
        <v>89</v>
      </c>
      <c r="T1329" s="25">
        <v>0</v>
      </c>
      <c r="U1329" s="25">
        <v>0</v>
      </c>
      <c r="V1329" s="25">
        <v>0</v>
      </c>
      <c r="W1329" s="25">
        <v>0</v>
      </c>
      <c r="X1329" s="25">
        <v>1</v>
      </c>
      <c r="Y1329" s="25">
        <v>0</v>
      </c>
      <c r="Z1329" s="25">
        <v>0</v>
      </c>
      <c r="AA1329" s="25">
        <v>0</v>
      </c>
      <c r="AB1329" s="25">
        <v>0</v>
      </c>
      <c r="AC1329" s="25">
        <v>0</v>
      </c>
      <c r="AD1329" s="25">
        <v>0</v>
      </c>
      <c r="AE1329" s="25">
        <v>1</v>
      </c>
      <c r="AF1329" s="25" t="s">
        <v>132</v>
      </c>
    </row>
    <row r="1330" spans="1:32" s="25" customFormat="1" x14ac:dyDescent="0.25">
      <c r="A1330" s="25" t="s">
        <v>189</v>
      </c>
      <c r="B1330" s="25">
        <f t="shared" si="36"/>
        <v>10850</v>
      </c>
      <c r="C1330" s="25" t="s">
        <v>12</v>
      </c>
      <c r="D1330" s="25">
        <v>0</v>
      </c>
      <c r="E1330" s="25">
        <v>0</v>
      </c>
      <c r="F1330" s="25">
        <v>256</v>
      </c>
      <c r="G1330" s="25">
        <v>222</v>
      </c>
      <c r="H1330" s="27">
        <v>0</v>
      </c>
      <c r="I1330" s="27">
        <v>0</v>
      </c>
      <c r="J1330" s="27">
        <v>0</v>
      </c>
      <c r="K1330" s="27">
        <v>0</v>
      </c>
      <c r="L1330" s="27">
        <v>1</v>
      </c>
      <c r="M1330" s="27">
        <v>0</v>
      </c>
      <c r="N1330" s="27">
        <v>0</v>
      </c>
      <c r="O1330" s="27">
        <v>0</v>
      </c>
      <c r="P1330" s="25">
        <v>700</v>
      </c>
      <c r="Q1330" s="25">
        <v>560</v>
      </c>
      <c r="R1330" s="25" t="s">
        <v>87</v>
      </c>
      <c r="S1330" s="25" t="s">
        <v>89</v>
      </c>
      <c r="T1330" s="25">
        <v>0</v>
      </c>
      <c r="U1330" s="25">
        <v>0</v>
      </c>
      <c r="V1330" s="25">
        <v>0</v>
      </c>
      <c r="W1330" s="25">
        <v>0</v>
      </c>
      <c r="X1330" s="25">
        <v>1</v>
      </c>
      <c r="Y1330" s="25">
        <v>0</v>
      </c>
      <c r="Z1330" s="25">
        <v>0</v>
      </c>
      <c r="AA1330" s="25">
        <v>0</v>
      </c>
      <c r="AB1330" s="25">
        <v>0</v>
      </c>
      <c r="AC1330" s="25">
        <v>0</v>
      </c>
      <c r="AD1330" s="25">
        <v>0</v>
      </c>
      <c r="AE1330" s="25">
        <v>1</v>
      </c>
      <c r="AF1330" s="25" t="s">
        <v>132</v>
      </c>
    </row>
    <row r="1331" spans="1:32" s="25" customFormat="1" x14ac:dyDescent="0.25">
      <c r="A1331" s="25" t="s">
        <v>189</v>
      </c>
      <c r="B1331" s="25">
        <f t="shared" si="36"/>
        <v>10860</v>
      </c>
      <c r="C1331" s="25" t="s">
        <v>12</v>
      </c>
      <c r="D1331" s="25">
        <v>0</v>
      </c>
      <c r="E1331" s="25">
        <v>0</v>
      </c>
      <c r="F1331" s="25">
        <v>256</v>
      </c>
      <c r="G1331" s="25">
        <v>222</v>
      </c>
      <c r="H1331" s="27">
        <v>0</v>
      </c>
      <c r="I1331" s="27">
        <v>0</v>
      </c>
      <c r="J1331" s="27">
        <v>0</v>
      </c>
      <c r="K1331" s="27">
        <v>0</v>
      </c>
      <c r="L1331" s="27">
        <v>1</v>
      </c>
      <c r="M1331" s="27">
        <v>0</v>
      </c>
      <c r="N1331" s="27">
        <v>0</v>
      </c>
      <c r="O1331" s="27">
        <v>0</v>
      </c>
      <c r="P1331" s="25">
        <v>700</v>
      </c>
      <c r="Q1331" s="25">
        <v>560</v>
      </c>
      <c r="R1331" s="25" t="s">
        <v>87</v>
      </c>
      <c r="S1331" s="25" t="s">
        <v>89</v>
      </c>
      <c r="T1331" s="25">
        <v>0</v>
      </c>
      <c r="U1331" s="25">
        <v>0</v>
      </c>
      <c r="V1331" s="25">
        <v>0</v>
      </c>
      <c r="W1331" s="25">
        <v>0</v>
      </c>
      <c r="X1331" s="25">
        <v>1</v>
      </c>
      <c r="Y1331" s="25">
        <v>0</v>
      </c>
      <c r="Z1331" s="25">
        <v>0</v>
      </c>
      <c r="AA1331" s="25">
        <v>0</v>
      </c>
      <c r="AB1331" s="25">
        <v>0</v>
      </c>
      <c r="AC1331" s="25">
        <v>0</v>
      </c>
      <c r="AD1331" s="25">
        <v>0</v>
      </c>
      <c r="AE1331" s="25">
        <v>1</v>
      </c>
      <c r="AF1331" s="25" t="s">
        <v>132</v>
      </c>
    </row>
    <row r="1332" spans="1:32" s="25" customFormat="1" x14ac:dyDescent="0.25">
      <c r="A1332" s="25" t="s">
        <v>189</v>
      </c>
      <c r="B1332" s="25">
        <f t="shared" si="36"/>
        <v>10870</v>
      </c>
      <c r="C1332" s="25" t="s">
        <v>12</v>
      </c>
      <c r="D1332" s="25">
        <v>0</v>
      </c>
      <c r="E1332" s="25">
        <v>0</v>
      </c>
      <c r="F1332" s="25">
        <v>256</v>
      </c>
      <c r="G1332" s="25">
        <v>222</v>
      </c>
      <c r="H1332" s="27">
        <v>0</v>
      </c>
      <c r="I1332" s="27">
        <v>0</v>
      </c>
      <c r="J1332" s="27">
        <v>0</v>
      </c>
      <c r="K1332" s="27">
        <v>0</v>
      </c>
      <c r="L1332" s="27">
        <v>1</v>
      </c>
      <c r="M1332" s="27">
        <v>0</v>
      </c>
      <c r="N1332" s="27">
        <v>0</v>
      </c>
      <c r="O1332" s="27">
        <v>0</v>
      </c>
      <c r="P1332" s="25">
        <v>700</v>
      </c>
      <c r="Q1332" s="25">
        <v>560</v>
      </c>
      <c r="R1332" s="25" t="s">
        <v>87</v>
      </c>
      <c r="S1332" s="25" t="s">
        <v>89</v>
      </c>
      <c r="T1332" s="25">
        <v>0</v>
      </c>
      <c r="U1332" s="25">
        <v>0</v>
      </c>
      <c r="V1332" s="25">
        <v>0</v>
      </c>
      <c r="W1332" s="25">
        <v>0</v>
      </c>
      <c r="X1332" s="25">
        <v>1</v>
      </c>
      <c r="Y1332" s="25">
        <v>0</v>
      </c>
      <c r="Z1332" s="25">
        <v>0</v>
      </c>
      <c r="AA1332" s="25">
        <v>0</v>
      </c>
      <c r="AB1332" s="25">
        <v>0</v>
      </c>
      <c r="AC1332" s="25">
        <v>0</v>
      </c>
      <c r="AD1332" s="25">
        <v>0</v>
      </c>
      <c r="AE1332" s="25">
        <v>1</v>
      </c>
      <c r="AF1332" s="25" t="s">
        <v>132</v>
      </c>
    </row>
    <row r="1333" spans="1:32" s="25" customFormat="1" x14ac:dyDescent="0.25">
      <c r="A1333" s="25" t="s">
        <v>189</v>
      </c>
      <c r="B1333" s="25">
        <f t="shared" si="36"/>
        <v>10880</v>
      </c>
      <c r="C1333" s="25" t="s">
        <v>12</v>
      </c>
      <c r="D1333" s="25">
        <v>0</v>
      </c>
      <c r="E1333" s="25">
        <v>0</v>
      </c>
      <c r="F1333" s="25">
        <v>256</v>
      </c>
      <c r="G1333" s="25">
        <v>222</v>
      </c>
      <c r="H1333" s="27">
        <v>0</v>
      </c>
      <c r="I1333" s="27">
        <v>0</v>
      </c>
      <c r="J1333" s="27">
        <v>0</v>
      </c>
      <c r="K1333" s="27">
        <v>0</v>
      </c>
      <c r="L1333" s="27">
        <v>1</v>
      </c>
      <c r="M1333" s="27">
        <v>0</v>
      </c>
      <c r="N1333" s="27">
        <v>0</v>
      </c>
      <c r="O1333" s="27">
        <v>0</v>
      </c>
      <c r="P1333" s="25">
        <v>700</v>
      </c>
      <c r="Q1333" s="25">
        <v>560</v>
      </c>
      <c r="R1333" s="25" t="s">
        <v>87</v>
      </c>
      <c r="S1333" s="25" t="s">
        <v>89</v>
      </c>
      <c r="T1333" s="25">
        <v>0</v>
      </c>
      <c r="U1333" s="25">
        <v>0</v>
      </c>
      <c r="V1333" s="25">
        <v>0</v>
      </c>
      <c r="W1333" s="25">
        <v>0</v>
      </c>
      <c r="X1333" s="25">
        <v>1</v>
      </c>
      <c r="Y1333" s="25">
        <v>0</v>
      </c>
      <c r="Z1333" s="25">
        <v>0</v>
      </c>
      <c r="AA1333" s="25">
        <v>0</v>
      </c>
      <c r="AB1333" s="25">
        <v>0</v>
      </c>
      <c r="AC1333" s="25">
        <v>0</v>
      </c>
      <c r="AD1333" s="25">
        <v>0</v>
      </c>
      <c r="AE1333" s="25">
        <v>1</v>
      </c>
      <c r="AF1333" s="25" t="s">
        <v>132</v>
      </c>
    </row>
    <row r="1334" spans="1:32" s="25" customFormat="1" x14ac:dyDescent="0.25">
      <c r="A1334" s="25" t="s">
        <v>189</v>
      </c>
      <c r="B1334" s="25">
        <f t="shared" si="36"/>
        <v>10890</v>
      </c>
      <c r="C1334" s="25" t="s">
        <v>12</v>
      </c>
      <c r="D1334" s="25">
        <v>0</v>
      </c>
      <c r="E1334" s="25">
        <v>0</v>
      </c>
      <c r="F1334" s="25">
        <v>256</v>
      </c>
      <c r="G1334" s="25">
        <v>222</v>
      </c>
      <c r="H1334" s="27">
        <v>0</v>
      </c>
      <c r="I1334" s="27">
        <v>0</v>
      </c>
      <c r="J1334" s="27">
        <v>0</v>
      </c>
      <c r="K1334" s="27">
        <v>0</v>
      </c>
      <c r="L1334" s="27">
        <v>1</v>
      </c>
      <c r="M1334" s="27">
        <v>0</v>
      </c>
      <c r="N1334" s="27">
        <v>0</v>
      </c>
      <c r="O1334" s="27">
        <v>0</v>
      </c>
      <c r="P1334" s="25">
        <v>700</v>
      </c>
      <c r="Q1334" s="25">
        <v>560</v>
      </c>
      <c r="R1334" s="25" t="s">
        <v>87</v>
      </c>
      <c r="S1334" s="25" t="s">
        <v>89</v>
      </c>
      <c r="T1334" s="25">
        <v>0</v>
      </c>
      <c r="U1334" s="25">
        <v>0</v>
      </c>
      <c r="V1334" s="25">
        <v>0</v>
      </c>
      <c r="W1334" s="25">
        <v>0</v>
      </c>
      <c r="X1334" s="25">
        <v>1</v>
      </c>
      <c r="Y1334" s="25">
        <v>0</v>
      </c>
      <c r="Z1334" s="25">
        <v>0</v>
      </c>
      <c r="AA1334" s="25">
        <v>0</v>
      </c>
      <c r="AB1334" s="25">
        <v>0</v>
      </c>
      <c r="AC1334" s="25">
        <v>0</v>
      </c>
      <c r="AD1334" s="25">
        <v>0</v>
      </c>
      <c r="AE1334" s="25">
        <v>1</v>
      </c>
      <c r="AF1334" s="25" t="s">
        <v>132</v>
      </c>
    </row>
    <row r="1335" spans="1:32" s="25" customFormat="1" x14ac:dyDescent="0.25">
      <c r="A1335" s="25" t="s">
        <v>189</v>
      </c>
      <c r="B1335" s="25">
        <f t="shared" si="36"/>
        <v>10900</v>
      </c>
      <c r="C1335" s="25" t="s">
        <v>12</v>
      </c>
      <c r="D1335" s="25">
        <v>0</v>
      </c>
      <c r="E1335" s="25">
        <v>0</v>
      </c>
      <c r="F1335" s="25">
        <v>256</v>
      </c>
      <c r="G1335" s="25">
        <v>222</v>
      </c>
      <c r="H1335" s="27">
        <v>0</v>
      </c>
      <c r="I1335" s="27">
        <v>0</v>
      </c>
      <c r="J1335" s="27">
        <v>0</v>
      </c>
      <c r="K1335" s="27">
        <v>0</v>
      </c>
      <c r="L1335" s="27">
        <v>1</v>
      </c>
      <c r="M1335" s="27">
        <v>0</v>
      </c>
      <c r="N1335" s="27">
        <v>0</v>
      </c>
      <c r="O1335" s="27">
        <v>0</v>
      </c>
      <c r="P1335" s="25">
        <v>700</v>
      </c>
      <c r="Q1335" s="25">
        <v>560</v>
      </c>
      <c r="R1335" s="25" t="s">
        <v>87</v>
      </c>
      <c r="S1335" s="25" t="s">
        <v>89</v>
      </c>
      <c r="T1335" s="25">
        <v>0</v>
      </c>
      <c r="U1335" s="25">
        <v>0</v>
      </c>
      <c r="V1335" s="25">
        <v>0</v>
      </c>
      <c r="W1335" s="25">
        <v>0</v>
      </c>
      <c r="X1335" s="25">
        <v>1</v>
      </c>
      <c r="Y1335" s="25">
        <v>0</v>
      </c>
      <c r="Z1335" s="25">
        <v>0</v>
      </c>
      <c r="AA1335" s="25">
        <v>0</v>
      </c>
      <c r="AB1335" s="25">
        <v>0</v>
      </c>
      <c r="AC1335" s="25">
        <v>0</v>
      </c>
      <c r="AD1335" s="25">
        <v>0</v>
      </c>
      <c r="AE1335" s="25">
        <v>1</v>
      </c>
      <c r="AF1335" s="25" t="s">
        <v>132</v>
      </c>
    </row>
    <row r="1336" spans="1:32" s="25" customFormat="1" x14ac:dyDescent="0.25">
      <c r="A1336" s="25" t="s">
        <v>189</v>
      </c>
      <c r="B1336" s="25">
        <f t="shared" si="36"/>
        <v>10910</v>
      </c>
      <c r="C1336" s="25" t="s">
        <v>12</v>
      </c>
      <c r="D1336" s="25">
        <v>0</v>
      </c>
      <c r="E1336" s="25">
        <v>0</v>
      </c>
      <c r="F1336" s="25">
        <v>256</v>
      </c>
      <c r="G1336" s="25">
        <v>222</v>
      </c>
      <c r="H1336" s="27">
        <v>0</v>
      </c>
      <c r="I1336" s="27">
        <v>0</v>
      </c>
      <c r="J1336" s="27">
        <v>0</v>
      </c>
      <c r="K1336" s="27">
        <v>0</v>
      </c>
      <c r="L1336" s="27">
        <v>1</v>
      </c>
      <c r="M1336" s="27">
        <v>0</v>
      </c>
      <c r="N1336" s="27">
        <v>0</v>
      </c>
      <c r="O1336" s="27">
        <v>0</v>
      </c>
      <c r="P1336" s="25">
        <v>700</v>
      </c>
      <c r="Q1336" s="25">
        <v>560</v>
      </c>
      <c r="R1336" s="25" t="s">
        <v>87</v>
      </c>
      <c r="S1336" s="25" t="s">
        <v>89</v>
      </c>
      <c r="T1336" s="25">
        <v>0</v>
      </c>
      <c r="U1336" s="25">
        <v>0</v>
      </c>
      <c r="V1336" s="25">
        <v>0</v>
      </c>
      <c r="W1336" s="25">
        <v>0</v>
      </c>
      <c r="X1336" s="25">
        <v>1</v>
      </c>
      <c r="Y1336" s="25">
        <v>0</v>
      </c>
      <c r="Z1336" s="25">
        <v>0</v>
      </c>
      <c r="AA1336" s="25">
        <v>0</v>
      </c>
      <c r="AB1336" s="25">
        <v>0</v>
      </c>
      <c r="AC1336" s="25">
        <v>0</v>
      </c>
      <c r="AD1336" s="25">
        <v>0</v>
      </c>
      <c r="AE1336" s="25">
        <v>1</v>
      </c>
      <c r="AF1336" s="25" t="s">
        <v>132</v>
      </c>
    </row>
    <row r="1337" spans="1:32" s="25" customFormat="1" x14ac:dyDescent="0.25">
      <c r="A1337" s="25" t="s">
        <v>189</v>
      </c>
      <c r="B1337" s="25">
        <f t="shared" si="36"/>
        <v>10920</v>
      </c>
      <c r="C1337" s="25" t="s">
        <v>12</v>
      </c>
      <c r="D1337" s="25">
        <v>0</v>
      </c>
      <c r="E1337" s="25">
        <v>0</v>
      </c>
      <c r="F1337" s="25">
        <v>256</v>
      </c>
      <c r="G1337" s="25">
        <v>222</v>
      </c>
      <c r="H1337" s="27">
        <v>0</v>
      </c>
      <c r="I1337" s="27">
        <v>0</v>
      </c>
      <c r="J1337" s="27">
        <v>0</v>
      </c>
      <c r="K1337" s="27">
        <v>0</v>
      </c>
      <c r="L1337" s="27">
        <v>1</v>
      </c>
      <c r="M1337" s="27">
        <v>0</v>
      </c>
      <c r="N1337" s="27">
        <v>0</v>
      </c>
      <c r="O1337" s="27">
        <v>0</v>
      </c>
      <c r="P1337" s="25">
        <v>700</v>
      </c>
      <c r="Q1337" s="25">
        <v>560</v>
      </c>
      <c r="R1337" s="25" t="s">
        <v>87</v>
      </c>
      <c r="S1337" s="25" t="s">
        <v>89</v>
      </c>
      <c r="T1337" s="25">
        <v>0</v>
      </c>
      <c r="U1337" s="25">
        <v>0</v>
      </c>
      <c r="V1337" s="25">
        <v>0</v>
      </c>
      <c r="W1337" s="25">
        <v>0</v>
      </c>
      <c r="X1337" s="25">
        <v>1</v>
      </c>
      <c r="Y1337" s="25">
        <v>0</v>
      </c>
      <c r="Z1337" s="25">
        <v>0</v>
      </c>
      <c r="AA1337" s="25">
        <v>0</v>
      </c>
      <c r="AB1337" s="25">
        <v>0</v>
      </c>
      <c r="AC1337" s="25">
        <v>0</v>
      </c>
      <c r="AD1337" s="25">
        <v>0</v>
      </c>
      <c r="AE1337" s="25">
        <v>1</v>
      </c>
      <c r="AF1337" s="25" t="s">
        <v>132</v>
      </c>
    </row>
    <row r="1338" spans="1:32" s="25" customFormat="1" x14ac:dyDescent="0.25">
      <c r="A1338" s="25" t="s">
        <v>189</v>
      </c>
      <c r="B1338" s="25">
        <f t="shared" si="36"/>
        <v>10930</v>
      </c>
      <c r="C1338" s="25" t="s">
        <v>12</v>
      </c>
      <c r="D1338" s="25">
        <v>0</v>
      </c>
      <c r="E1338" s="25">
        <v>0</v>
      </c>
      <c r="F1338" s="25">
        <v>256</v>
      </c>
      <c r="G1338" s="25">
        <v>222</v>
      </c>
      <c r="H1338" s="27">
        <v>0</v>
      </c>
      <c r="I1338" s="27">
        <v>0</v>
      </c>
      <c r="J1338" s="27">
        <v>0</v>
      </c>
      <c r="K1338" s="27">
        <v>0</v>
      </c>
      <c r="L1338" s="27">
        <v>1</v>
      </c>
      <c r="M1338" s="27">
        <v>0</v>
      </c>
      <c r="N1338" s="27">
        <v>0</v>
      </c>
      <c r="O1338" s="27">
        <v>0</v>
      </c>
      <c r="P1338" s="25">
        <v>700</v>
      </c>
      <c r="Q1338" s="25">
        <v>560</v>
      </c>
      <c r="R1338" s="25" t="s">
        <v>87</v>
      </c>
      <c r="S1338" s="25" t="s">
        <v>89</v>
      </c>
      <c r="T1338" s="25">
        <v>0</v>
      </c>
      <c r="U1338" s="25">
        <v>0</v>
      </c>
      <c r="V1338" s="25">
        <v>0</v>
      </c>
      <c r="W1338" s="25">
        <v>0</v>
      </c>
      <c r="X1338" s="25">
        <v>1</v>
      </c>
      <c r="Y1338" s="25">
        <v>0</v>
      </c>
      <c r="Z1338" s="25">
        <v>0</v>
      </c>
      <c r="AA1338" s="25">
        <v>0</v>
      </c>
      <c r="AB1338" s="25">
        <v>0</v>
      </c>
      <c r="AC1338" s="25">
        <v>0</v>
      </c>
      <c r="AD1338" s="25">
        <v>0</v>
      </c>
      <c r="AE1338" s="25">
        <v>1</v>
      </c>
      <c r="AF1338" s="25" t="s">
        <v>132</v>
      </c>
    </row>
    <row r="1339" spans="1:32" s="25" customFormat="1" x14ac:dyDescent="0.25">
      <c r="A1339" s="25" t="s">
        <v>189</v>
      </c>
      <c r="B1339" s="25">
        <f t="shared" si="36"/>
        <v>10940</v>
      </c>
      <c r="C1339" s="25" t="s">
        <v>12</v>
      </c>
      <c r="D1339" s="25">
        <v>0</v>
      </c>
      <c r="E1339" s="25">
        <v>0</v>
      </c>
      <c r="F1339" s="25">
        <v>256</v>
      </c>
      <c r="G1339" s="25">
        <v>222</v>
      </c>
      <c r="H1339" s="27">
        <v>0</v>
      </c>
      <c r="I1339" s="27">
        <v>0</v>
      </c>
      <c r="J1339" s="27">
        <v>0</v>
      </c>
      <c r="K1339" s="27">
        <v>0</v>
      </c>
      <c r="L1339" s="27">
        <v>1</v>
      </c>
      <c r="M1339" s="27">
        <v>0</v>
      </c>
      <c r="N1339" s="27">
        <v>0</v>
      </c>
      <c r="O1339" s="27">
        <v>0</v>
      </c>
      <c r="P1339" s="25">
        <v>700</v>
      </c>
      <c r="Q1339" s="25">
        <v>560</v>
      </c>
      <c r="R1339" s="25" t="s">
        <v>87</v>
      </c>
      <c r="S1339" s="25" t="s">
        <v>89</v>
      </c>
      <c r="T1339" s="25">
        <v>0</v>
      </c>
      <c r="U1339" s="25">
        <v>0</v>
      </c>
      <c r="V1339" s="25">
        <v>0</v>
      </c>
      <c r="W1339" s="25">
        <v>0</v>
      </c>
      <c r="X1339" s="25">
        <v>1</v>
      </c>
      <c r="Y1339" s="25">
        <v>0</v>
      </c>
      <c r="Z1339" s="25">
        <v>0</v>
      </c>
      <c r="AA1339" s="25">
        <v>0</v>
      </c>
      <c r="AB1339" s="25">
        <v>0</v>
      </c>
      <c r="AC1339" s="25">
        <v>0</v>
      </c>
      <c r="AD1339" s="25">
        <v>0</v>
      </c>
      <c r="AE1339" s="25">
        <v>1</v>
      </c>
      <c r="AF1339" s="25" t="s">
        <v>132</v>
      </c>
    </row>
    <row r="1340" spans="1:32" s="25" customFormat="1" x14ac:dyDescent="0.25">
      <c r="A1340" s="25" t="s">
        <v>189</v>
      </c>
      <c r="B1340" s="25">
        <f t="shared" si="36"/>
        <v>10950</v>
      </c>
      <c r="C1340" s="25" t="s">
        <v>12</v>
      </c>
      <c r="D1340" s="25">
        <v>0</v>
      </c>
      <c r="E1340" s="25">
        <v>0</v>
      </c>
      <c r="F1340" s="25">
        <v>256</v>
      </c>
      <c r="G1340" s="25">
        <v>222</v>
      </c>
      <c r="H1340" s="27">
        <v>0</v>
      </c>
      <c r="I1340" s="27">
        <v>0</v>
      </c>
      <c r="J1340" s="27">
        <v>0</v>
      </c>
      <c r="K1340" s="27">
        <v>0</v>
      </c>
      <c r="L1340" s="27">
        <v>1</v>
      </c>
      <c r="M1340" s="27">
        <v>0</v>
      </c>
      <c r="N1340" s="27">
        <v>0</v>
      </c>
      <c r="O1340" s="27">
        <v>0</v>
      </c>
      <c r="P1340" s="25">
        <v>700</v>
      </c>
      <c r="Q1340" s="25">
        <v>560</v>
      </c>
      <c r="R1340" s="25" t="s">
        <v>87</v>
      </c>
      <c r="S1340" s="25" t="s">
        <v>89</v>
      </c>
      <c r="T1340" s="25">
        <v>0</v>
      </c>
      <c r="U1340" s="25">
        <v>0</v>
      </c>
      <c r="V1340" s="25">
        <v>0</v>
      </c>
      <c r="W1340" s="25">
        <v>0</v>
      </c>
      <c r="X1340" s="25">
        <v>1</v>
      </c>
      <c r="Y1340" s="25">
        <v>0</v>
      </c>
      <c r="Z1340" s="25">
        <v>0</v>
      </c>
      <c r="AA1340" s="25">
        <v>0</v>
      </c>
      <c r="AB1340" s="25">
        <v>0</v>
      </c>
      <c r="AC1340" s="25">
        <v>0</v>
      </c>
      <c r="AD1340" s="25">
        <v>0</v>
      </c>
      <c r="AE1340" s="25">
        <v>1</v>
      </c>
      <c r="AF1340" s="25" t="s">
        <v>132</v>
      </c>
    </row>
    <row r="1341" spans="1:32" s="25" customFormat="1" x14ac:dyDescent="0.25">
      <c r="A1341" s="25" t="s">
        <v>189</v>
      </c>
      <c r="B1341" s="25">
        <f t="shared" si="36"/>
        <v>10960</v>
      </c>
      <c r="C1341" s="25" t="s">
        <v>12</v>
      </c>
      <c r="D1341" s="25">
        <v>0</v>
      </c>
      <c r="E1341" s="25">
        <v>0</v>
      </c>
      <c r="F1341" s="25">
        <v>256</v>
      </c>
      <c r="G1341" s="25">
        <v>222</v>
      </c>
      <c r="H1341" s="27">
        <v>0</v>
      </c>
      <c r="I1341" s="27">
        <v>0</v>
      </c>
      <c r="J1341" s="27">
        <v>0</v>
      </c>
      <c r="K1341" s="27">
        <v>0</v>
      </c>
      <c r="L1341" s="27">
        <v>1</v>
      </c>
      <c r="M1341" s="27">
        <v>0</v>
      </c>
      <c r="N1341" s="27">
        <v>0</v>
      </c>
      <c r="O1341" s="27">
        <v>0</v>
      </c>
      <c r="P1341" s="25">
        <v>700</v>
      </c>
      <c r="Q1341" s="25">
        <v>560</v>
      </c>
      <c r="R1341" s="25" t="s">
        <v>87</v>
      </c>
      <c r="S1341" s="25" t="s">
        <v>89</v>
      </c>
      <c r="T1341" s="25">
        <v>0</v>
      </c>
      <c r="U1341" s="25">
        <v>0</v>
      </c>
      <c r="V1341" s="25">
        <v>0</v>
      </c>
      <c r="W1341" s="25">
        <v>0</v>
      </c>
      <c r="X1341" s="25">
        <v>1</v>
      </c>
      <c r="Y1341" s="25">
        <v>0</v>
      </c>
      <c r="Z1341" s="25">
        <v>0</v>
      </c>
      <c r="AA1341" s="25">
        <v>0</v>
      </c>
      <c r="AB1341" s="25">
        <v>0</v>
      </c>
      <c r="AC1341" s="25">
        <v>0</v>
      </c>
      <c r="AD1341" s="25">
        <v>0</v>
      </c>
      <c r="AE1341" s="25">
        <v>1</v>
      </c>
      <c r="AF1341" s="25" t="s">
        <v>132</v>
      </c>
    </row>
    <row r="1342" spans="1:32" s="25" customFormat="1" x14ac:dyDescent="0.25">
      <c r="A1342" s="25" t="s">
        <v>189</v>
      </c>
      <c r="B1342" s="25">
        <f t="shared" si="36"/>
        <v>10970</v>
      </c>
      <c r="C1342" s="25" t="s">
        <v>12</v>
      </c>
      <c r="D1342" s="25">
        <v>0</v>
      </c>
      <c r="E1342" s="25">
        <v>0</v>
      </c>
      <c r="F1342" s="25">
        <v>256</v>
      </c>
      <c r="G1342" s="25">
        <v>222</v>
      </c>
      <c r="H1342" s="27">
        <v>0</v>
      </c>
      <c r="I1342" s="27">
        <v>0</v>
      </c>
      <c r="J1342" s="27">
        <v>0</v>
      </c>
      <c r="K1342" s="27">
        <v>0</v>
      </c>
      <c r="L1342" s="27">
        <v>1</v>
      </c>
      <c r="M1342" s="27">
        <v>0</v>
      </c>
      <c r="N1342" s="27">
        <v>0</v>
      </c>
      <c r="O1342" s="27">
        <v>0</v>
      </c>
      <c r="P1342" s="25">
        <v>700</v>
      </c>
      <c r="Q1342" s="25">
        <v>560</v>
      </c>
      <c r="R1342" s="25" t="s">
        <v>87</v>
      </c>
      <c r="S1342" s="25" t="s">
        <v>89</v>
      </c>
      <c r="T1342" s="25">
        <v>0</v>
      </c>
      <c r="U1342" s="25">
        <v>0</v>
      </c>
      <c r="V1342" s="25">
        <v>0</v>
      </c>
      <c r="W1342" s="25">
        <v>0</v>
      </c>
      <c r="X1342" s="25">
        <v>1</v>
      </c>
      <c r="Y1342" s="25">
        <v>0</v>
      </c>
      <c r="Z1342" s="25">
        <v>0</v>
      </c>
      <c r="AA1342" s="25">
        <v>0</v>
      </c>
      <c r="AB1342" s="25">
        <v>0</v>
      </c>
      <c r="AC1342" s="25">
        <v>0</v>
      </c>
      <c r="AD1342" s="25">
        <v>0</v>
      </c>
      <c r="AE1342" s="25">
        <v>1</v>
      </c>
      <c r="AF1342" s="25" t="s">
        <v>132</v>
      </c>
    </row>
    <row r="1343" spans="1:32" s="25" customFormat="1" x14ac:dyDescent="0.25">
      <c r="A1343" s="25" t="s">
        <v>189</v>
      </c>
      <c r="B1343" s="25">
        <f t="shared" si="36"/>
        <v>10980</v>
      </c>
      <c r="C1343" s="25" t="s">
        <v>12</v>
      </c>
      <c r="D1343" s="25">
        <v>0</v>
      </c>
      <c r="E1343" s="25">
        <v>0</v>
      </c>
      <c r="F1343" s="25">
        <v>256</v>
      </c>
      <c r="G1343" s="25">
        <v>222</v>
      </c>
      <c r="H1343" s="27">
        <v>0</v>
      </c>
      <c r="I1343" s="27">
        <v>0</v>
      </c>
      <c r="J1343" s="27">
        <v>0</v>
      </c>
      <c r="K1343" s="27">
        <v>0</v>
      </c>
      <c r="L1343" s="27">
        <v>1</v>
      </c>
      <c r="M1343" s="27">
        <v>0</v>
      </c>
      <c r="N1343" s="27">
        <v>0</v>
      </c>
      <c r="O1343" s="27">
        <v>0</v>
      </c>
      <c r="P1343" s="25">
        <v>700</v>
      </c>
      <c r="Q1343" s="25">
        <v>560</v>
      </c>
      <c r="R1343" s="25" t="s">
        <v>87</v>
      </c>
      <c r="S1343" s="25" t="s">
        <v>89</v>
      </c>
      <c r="T1343" s="25">
        <v>0</v>
      </c>
      <c r="U1343" s="25">
        <v>0</v>
      </c>
      <c r="V1343" s="25">
        <v>0</v>
      </c>
      <c r="W1343" s="25">
        <v>0</v>
      </c>
      <c r="X1343" s="25">
        <v>1</v>
      </c>
      <c r="Y1343" s="25">
        <v>0</v>
      </c>
      <c r="Z1343" s="25">
        <v>0</v>
      </c>
      <c r="AA1343" s="25">
        <v>0</v>
      </c>
      <c r="AB1343" s="25">
        <v>0</v>
      </c>
      <c r="AC1343" s="25">
        <v>0</v>
      </c>
      <c r="AD1343" s="25">
        <v>0</v>
      </c>
      <c r="AE1343" s="25">
        <v>1</v>
      </c>
      <c r="AF1343" s="25" t="s">
        <v>132</v>
      </c>
    </row>
    <row r="1344" spans="1:32" s="25" customFormat="1" x14ac:dyDescent="0.25">
      <c r="A1344" s="25" t="s">
        <v>189</v>
      </c>
      <c r="B1344" s="25">
        <f t="shared" si="36"/>
        <v>10990</v>
      </c>
      <c r="C1344" s="25" t="s">
        <v>12</v>
      </c>
      <c r="D1344" s="25">
        <v>0</v>
      </c>
      <c r="E1344" s="25">
        <v>0</v>
      </c>
      <c r="F1344" s="25">
        <v>256</v>
      </c>
      <c r="G1344" s="25">
        <v>222</v>
      </c>
      <c r="H1344" s="27">
        <v>0</v>
      </c>
      <c r="I1344" s="27">
        <v>0</v>
      </c>
      <c r="J1344" s="27">
        <v>0</v>
      </c>
      <c r="K1344" s="27">
        <v>0</v>
      </c>
      <c r="L1344" s="27">
        <v>1</v>
      </c>
      <c r="M1344" s="27">
        <v>0</v>
      </c>
      <c r="N1344" s="27">
        <v>0</v>
      </c>
      <c r="O1344" s="27">
        <v>0</v>
      </c>
      <c r="P1344" s="25">
        <v>700</v>
      </c>
      <c r="Q1344" s="25">
        <v>560</v>
      </c>
      <c r="R1344" s="25" t="s">
        <v>87</v>
      </c>
      <c r="S1344" s="25" t="s">
        <v>89</v>
      </c>
      <c r="T1344" s="25">
        <v>0</v>
      </c>
      <c r="U1344" s="25">
        <v>0</v>
      </c>
      <c r="V1344" s="25">
        <v>0</v>
      </c>
      <c r="W1344" s="25">
        <v>0</v>
      </c>
      <c r="X1344" s="25">
        <v>1</v>
      </c>
      <c r="Y1344" s="25">
        <v>0</v>
      </c>
      <c r="Z1344" s="25">
        <v>0</v>
      </c>
      <c r="AA1344" s="25">
        <v>0</v>
      </c>
      <c r="AB1344" s="25">
        <v>0</v>
      </c>
      <c r="AC1344" s="25">
        <v>0</v>
      </c>
      <c r="AD1344" s="25">
        <v>0</v>
      </c>
      <c r="AE1344" s="25">
        <v>1</v>
      </c>
      <c r="AF1344" s="25" t="s">
        <v>132</v>
      </c>
    </row>
    <row r="1345" spans="1:32" s="25" customFormat="1" x14ac:dyDescent="0.25">
      <c r="A1345" s="25" t="s">
        <v>189</v>
      </c>
      <c r="B1345" s="25">
        <f t="shared" si="36"/>
        <v>11000</v>
      </c>
      <c r="C1345" s="25" t="s">
        <v>12</v>
      </c>
      <c r="D1345" s="25">
        <v>0</v>
      </c>
      <c r="E1345" s="25">
        <v>0</v>
      </c>
      <c r="F1345" s="25">
        <v>256</v>
      </c>
      <c r="G1345" s="25">
        <v>222</v>
      </c>
      <c r="H1345" s="27">
        <v>0</v>
      </c>
      <c r="I1345" s="27">
        <v>0</v>
      </c>
      <c r="J1345" s="27">
        <v>0</v>
      </c>
      <c r="K1345" s="27">
        <v>0</v>
      </c>
      <c r="L1345" s="27">
        <v>1</v>
      </c>
      <c r="M1345" s="27">
        <v>0</v>
      </c>
      <c r="N1345" s="27">
        <v>0</v>
      </c>
      <c r="O1345" s="27">
        <v>0</v>
      </c>
      <c r="P1345" s="25">
        <v>700</v>
      </c>
      <c r="Q1345" s="25">
        <v>560</v>
      </c>
      <c r="R1345" s="25" t="s">
        <v>87</v>
      </c>
      <c r="S1345" s="25" t="s">
        <v>89</v>
      </c>
      <c r="T1345" s="25">
        <v>0</v>
      </c>
      <c r="U1345" s="25">
        <v>0</v>
      </c>
      <c r="V1345" s="25">
        <v>0</v>
      </c>
      <c r="W1345" s="25">
        <v>0</v>
      </c>
      <c r="X1345" s="25">
        <v>1</v>
      </c>
      <c r="Y1345" s="25">
        <v>0</v>
      </c>
      <c r="Z1345" s="25">
        <v>0</v>
      </c>
      <c r="AA1345" s="25">
        <v>0</v>
      </c>
      <c r="AB1345" s="25">
        <v>0</v>
      </c>
      <c r="AC1345" s="25">
        <v>0</v>
      </c>
      <c r="AD1345" s="25">
        <v>0</v>
      </c>
      <c r="AE1345" s="25">
        <v>1</v>
      </c>
      <c r="AF1345" s="25" t="s">
        <v>132</v>
      </c>
    </row>
    <row r="1346" spans="1:32" s="25" customFormat="1" x14ac:dyDescent="0.25">
      <c r="A1346" s="25" t="s">
        <v>189</v>
      </c>
      <c r="B1346" s="25">
        <f t="shared" si="36"/>
        <v>11010</v>
      </c>
      <c r="C1346" s="25" t="s">
        <v>12</v>
      </c>
      <c r="D1346" s="25">
        <v>0</v>
      </c>
      <c r="E1346" s="25">
        <v>0</v>
      </c>
      <c r="F1346" s="25">
        <v>256</v>
      </c>
      <c r="G1346" s="25">
        <v>222</v>
      </c>
      <c r="H1346" s="27">
        <v>0</v>
      </c>
      <c r="I1346" s="27">
        <v>0</v>
      </c>
      <c r="J1346" s="27">
        <v>0</v>
      </c>
      <c r="K1346" s="27">
        <v>0</v>
      </c>
      <c r="L1346" s="27">
        <v>1</v>
      </c>
      <c r="M1346" s="27">
        <v>0</v>
      </c>
      <c r="N1346" s="27">
        <v>0</v>
      </c>
      <c r="O1346" s="27">
        <v>0</v>
      </c>
      <c r="P1346" s="25">
        <v>700</v>
      </c>
      <c r="Q1346" s="25">
        <v>560</v>
      </c>
      <c r="R1346" s="25" t="s">
        <v>87</v>
      </c>
      <c r="S1346" s="25" t="s">
        <v>89</v>
      </c>
      <c r="T1346" s="25">
        <v>0</v>
      </c>
      <c r="U1346" s="25">
        <v>0</v>
      </c>
      <c r="V1346" s="25">
        <v>0</v>
      </c>
      <c r="W1346" s="25">
        <v>0</v>
      </c>
      <c r="X1346" s="25">
        <v>1</v>
      </c>
      <c r="Y1346" s="25">
        <v>0</v>
      </c>
      <c r="Z1346" s="25">
        <v>0</v>
      </c>
      <c r="AA1346" s="25">
        <v>0</v>
      </c>
      <c r="AB1346" s="25">
        <v>0</v>
      </c>
      <c r="AC1346" s="25">
        <v>0</v>
      </c>
      <c r="AD1346" s="25">
        <v>0</v>
      </c>
      <c r="AE1346" s="25">
        <v>1</v>
      </c>
      <c r="AF1346" s="25" t="s">
        <v>132</v>
      </c>
    </row>
    <row r="1347" spans="1:32" s="25" customFormat="1" x14ac:dyDescent="0.25">
      <c r="A1347" s="25" t="s">
        <v>189</v>
      </c>
      <c r="B1347" s="25">
        <f t="shared" si="36"/>
        <v>11020</v>
      </c>
      <c r="C1347" s="25" t="s">
        <v>12</v>
      </c>
      <c r="D1347" s="25">
        <v>0</v>
      </c>
      <c r="E1347" s="25">
        <v>0</v>
      </c>
      <c r="F1347" s="25">
        <v>256</v>
      </c>
      <c r="G1347" s="25">
        <v>222</v>
      </c>
      <c r="H1347" s="27">
        <v>0</v>
      </c>
      <c r="I1347" s="27">
        <v>0</v>
      </c>
      <c r="J1347" s="27">
        <v>0</v>
      </c>
      <c r="K1347" s="27">
        <v>0</v>
      </c>
      <c r="L1347" s="27">
        <v>1</v>
      </c>
      <c r="M1347" s="27">
        <v>0</v>
      </c>
      <c r="N1347" s="27">
        <v>0</v>
      </c>
      <c r="O1347" s="27">
        <v>0</v>
      </c>
      <c r="P1347" s="25">
        <v>700</v>
      </c>
      <c r="Q1347" s="25">
        <v>560</v>
      </c>
      <c r="R1347" s="25" t="s">
        <v>87</v>
      </c>
      <c r="S1347" s="25" t="s">
        <v>89</v>
      </c>
      <c r="T1347" s="25">
        <v>0</v>
      </c>
      <c r="U1347" s="25">
        <v>0</v>
      </c>
      <c r="V1347" s="25">
        <v>0</v>
      </c>
      <c r="W1347" s="25">
        <v>0</v>
      </c>
      <c r="X1347" s="25">
        <v>1</v>
      </c>
      <c r="Y1347" s="25">
        <v>0</v>
      </c>
      <c r="Z1347" s="25">
        <v>0</v>
      </c>
      <c r="AA1347" s="25">
        <v>0</v>
      </c>
      <c r="AB1347" s="25">
        <v>0</v>
      </c>
      <c r="AC1347" s="25">
        <v>0</v>
      </c>
      <c r="AD1347" s="25">
        <v>0</v>
      </c>
      <c r="AE1347" s="25">
        <v>1</v>
      </c>
      <c r="AF1347" s="25" t="s">
        <v>132</v>
      </c>
    </row>
    <row r="1348" spans="1:32" s="25" customFormat="1" x14ac:dyDescent="0.25">
      <c r="A1348" s="25" t="s">
        <v>189</v>
      </c>
      <c r="B1348" s="25">
        <f t="shared" si="36"/>
        <v>11030</v>
      </c>
      <c r="C1348" s="25" t="s">
        <v>12</v>
      </c>
      <c r="D1348" s="25">
        <v>0</v>
      </c>
      <c r="E1348" s="25">
        <v>0</v>
      </c>
      <c r="F1348" s="25">
        <v>256</v>
      </c>
      <c r="G1348" s="25">
        <v>222</v>
      </c>
      <c r="H1348" s="27">
        <v>0</v>
      </c>
      <c r="I1348" s="27">
        <v>0</v>
      </c>
      <c r="J1348" s="27">
        <v>0</v>
      </c>
      <c r="K1348" s="27">
        <v>0</v>
      </c>
      <c r="L1348" s="27">
        <v>1</v>
      </c>
      <c r="M1348" s="27">
        <v>0</v>
      </c>
      <c r="N1348" s="27">
        <v>0</v>
      </c>
      <c r="O1348" s="27">
        <v>0</v>
      </c>
      <c r="P1348" s="25">
        <v>700</v>
      </c>
      <c r="Q1348" s="25">
        <v>560</v>
      </c>
      <c r="R1348" s="25" t="s">
        <v>87</v>
      </c>
      <c r="S1348" s="25" t="s">
        <v>89</v>
      </c>
      <c r="T1348" s="25">
        <v>0</v>
      </c>
      <c r="U1348" s="25">
        <v>0</v>
      </c>
      <c r="V1348" s="25">
        <v>0</v>
      </c>
      <c r="W1348" s="25">
        <v>0</v>
      </c>
      <c r="X1348" s="25">
        <v>1</v>
      </c>
      <c r="Y1348" s="25">
        <v>0</v>
      </c>
      <c r="Z1348" s="25">
        <v>0</v>
      </c>
      <c r="AA1348" s="25">
        <v>0</v>
      </c>
      <c r="AB1348" s="25">
        <v>0</v>
      </c>
      <c r="AC1348" s="25">
        <v>0</v>
      </c>
      <c r="AD1348" s="25">
        <v>0</v>
      </c>
      <c r="AE1348" s="25">
        <v>1</v>
      </c>
      <c r="AF1348" s="25" t="s">
        <v>132</v>
      </c>
    </row>
    <row r="1349" spans="1:32" s="25" customFormat="1" x14ac:dyDescent="0.25">
      <c r="A1349" s="25" t="s">
        <v>189</v>
      </c>
      <c r="B1349" s="25">
        <f t="shared" si="36"/>
        <v>11040</v>
      </c>
      <c r="C1349" s="25" t="s">
        <v>12</v>
      </c>
      <c r="D1349" s="25">
        <v>0</v>
      </c>
      <c r="E1349" s="25">
        <v>0</v>
      </c>
      <c r="F1349" s="25">
        <v>256</v>
      </c>
      <c r="G1349" s="25">
        <v>222</v>
      </c>
      <c r="H1349" s="27">
        <v>0</v>
      </c>
      <c r="I1349" s="27">
        <v>0</v>
      </c>
      <c r="J1349" s="27">
        <v>0</v>
      </c>
      <c r="K1349" s="27">
        <v>0</v>
      </c>
      <c r="L1349" s="27">
        <v>1</v>
      </c>
      <c r="M1349" s="27">
        <v>0</v>
      </c>
      <c r="N1349" s="27">
        <v>0</v>
      </c>
      <c r="O1349" s="27">
        <v>0</v>
      </c>
      <c r="P1349" s="25">
        <v>700</v>
      </c>
      <c r="Q1349" s="25">
        <v>560</v>
      </c>
      <c r="R1349" s="25" t="s">
        <v>87</v>
      </c>
      <c r="S1349" s="25" t="s">
        <v>89</v>
      </c>
      <c r="T1349" s="25">
        <v>0</v>
      </c>
      <c r="U1349" s="25">
        <v>0</v>
      </c>
      <c r="V1349" s="25">
        <v>0</v>
      </c>
      <c r="W1349" s="25">
        <v>0</v>
      </c>
      <c r="X1349" s="25">
        <v>1</v>
      </c>
      <c r="Y1349" s="25">
        <v>0</v>
      </c>
      <c r="Z1349" s="25">
        <v>0</v>
      </c>
      <c r="AA1349" s="25">
        <v>0</v>
      </c>
      <c r="AB1349" s="25">
        <v>0</v>
      </c>
      <c r="AC1349" s="25">
        <v>0</v>
      </c>
      <c r="AD1349" s="25">
        <v>0</v>
      </c>
      <c r="AE1349" s="25">
        <v>1</v>
      </c>
      <c r="AF1349" s="25" t="s">
        <v>132</v>
      </c>
    </row>
    <row r="1350" spans="1:32" s="25" customFormat="1" x14ac:dyDescent="0.25">
      <c r="A1350" s="25" t="s">
        <v>189</v>
      </c>
      <c r="B1350" s="25">
        <f t="shared" si="36"/>
        <v>11050</v>
      </c>
      <c r="C1350" s="25" t="s">
        <v>12</v>
      </c>
      <c r="D1350" s="25">
        <v>0</v>
      </c>
      <c r="E1350" s="25">
        <v>0</v>
      </c>
      <c r="F1350" s="25">
        <v>256</v>
      </c>
      <c r="G1350" s="25">
        <v>222</v>
      </c>
      <c r="H1350" s="27">
        <v>0</v>
      </c>
      <c r="I1350" s="27">
        <v>0</v>
      </c>
      <c r="J1350" s="27">
        <v>0</v>
      </c>
      <c r="K1350" s="27">
        <v>0</v>
      </c>
      <c r="L1350" s="27">
        <v>1</v>
      </c>
      <c r="M1350" s="27">
        <v>0</v>
      </c>
      <c r="N1350" s="27">
        <v>0</v>
      </c>
      <c r="O1350" s="27">
        <v>0</v>
      </c>
      <c r="P1350" s="25">
        <v>700</v>
      </c>
      <c r="Q1350" s="25">
        <v>560</v>
      </c>
      <c r="R1350" s="25" t="s">
        <v>87</v>
      </c>
      <c r="S1350" s="25" t="s">
        <v>89</v>
      </c>
      <c r="T1350" s="25">
        <v>0</v>
      </c>
      <c r="U1350" s="25">
        <v>0</v>
      </c>
      <c r="V1350" s="25">
        <v>0</v>
      </c>
      <c r="W1350" s="25">
        <v>0</v>
      </c>
      <c r="X1350" s="25">
        <v>1</v>
      </c>
      <c r="Y1350" s="25">
        <v>0</v>
      </c>
      <c r="Z1350" s="25">
        <v>0</v>
      </c>
      <c r="AA1350" s="25">
        <v>0</v>
      </c>
      <c r="AB1350" s="25">
        <v>0</v>
      </c>
      <c r="AC1350" s="25">
        <v>0</v>
      </c>
      <c r="AD1350" s="25">
        <v>0</v>
      </c>
      <c r="AE1350" s="25">
        <v>1</v>
      </c>
      <c r="AF1350" s="25" t="s">
        <v>132</v>
      </c>
    </row>
    <row r="1351" spans="1:32" s="25" customFormat="1" x14ac:dyDescent="0.25">
      <c r="A1351" s="25" t="s">
        <v>189</v>
      </c>
      <c r="B1351" s="25">
        <f t="shared" si="36"/>
        <v>11060</v>
      </c>
      <c r="C1351" s="25" t="s">
        <v>12</v>
      </c>
      <c r="D1351" s="25">
        <v>0</v>
      </c>
      <c r="E1351" s="25">
        <v>0</v>
      </c>
      <c r="F1351" s="25">
        <v>256</v>
      </c>
      <c r="G1351" s="25">
        <v>222</v>
      </c>
      <c r="H1351" s="27">
        <v>0</v>
      </c>
      <c r="I1351" s="27">
        <v>0</v>
      </c>
      <c r="J1351" s="27">
        <v>0</v>
      </c>
      <c r="K1351" s="27">
        <v>0</v>
      </c>
      <c r="L1351" s="27">
        <v>1</v>
      </c>
      <c r="M1351" s="27">
        <v>0</v>
      </c>
      <c r="N1351" s="27">
        <v>0</v>
      </c>
      <c r="O1351" s="27">
        <v>0</v>
      </c>
      <c r="P1351" s="25">
        <v>700</v>
      </c>
      <c r="Q1351" s="25">
        <v>560</v>
      </c>
      <c r="R1351" s="25" t="s">
        <v>87</v>
      </c>
      <c r="S1351" s="25" t="s">
        <v>89</v>
      </c>
      <c r="T1351" s="25">
        <v>0</v>
      </c>
      <c r="U1351" s="25">
        <v>0</v>
      </c>
      <c r="V1351" s="25">
        <v>0</v>
      </c>
      <c r="W1351" s="25">
        <v>0</v>
      </c>
      <c r="X1351" s="25">
        <v>1</v>
      </c>
      <c r="Y1351" s="25">
        <v>0</v>
      </c>
      <c r="Z1351" s="25">
        <v>0</v>
      </c>
      <c r="AA1351" s="25">
        <v>0</v>
      </c>
      <c r="AB1351" s="25">
        <v>0</v>
      </c>
      <c r="AC1351" s="25">
        <v>0</v>
      </c>
      <c r="AD1351" s="25">
        <v>0</v>
      </c>
      <c r="AE1351" s="25">
        <v>1</v>
      </c>
      <c r="AF1351" s="25" t="s">
        <v>132</v>
      </c>
    </row>
    <row r="1352" spans="1:32" s="25" customFormat="1" x14ac:dyDescent="0.25">
      <c r="A1352" s="25" t="s">
        <v>189</v>
      </c>
      <c r="B1352" s="25">
        <f t="shared" si="36"/>
        <v>11070</v>
      </c>
      <c r="C1352" s="25" t="s">
        <v>12</v>
      </c>
      <c r="D1352" s="25">
        <v>0</v>
      </c>
      <c r="E1352" s="25">
        <v>0</v>
      </c>
      <c r="F1352" s="25">
        <v>256</v>
      </c>
      <c r="G1352" s="25">
        <v>222</v>
      </c>
      <c r="H1352" s="27">
        <v>0</v>
      </c>
      <c r="I1352" s="27">
        <v>0</v>
      </c>
      <c r="J1352" s="27">
        <v>0</v>
      </c>
      <c r="K1352" s="27">
        <v>0</v>
      </c>
      <c r="L1352" s="27">
        <v>1</v>
      </c>
      <c r="M1352" s="27">
        <v>0</v>
      </c>
      <c r="N1352" s="27">
        <v>0</v>
      </c>
      <c r="O1352" s="27">
        <v>0</v>
      </c>
      <c r="P1352" s="25">
        <v>700</v>
      </c>
      <c r="Q1352" s="25">
        <v>560</v>
      </c>
      <c r="R1352" s="25" t="s">
        <v>87</v>
      </c>
      <c r="S1352" s="25" t="s">
        <v>89</v>
      </c>
      <c r="T1352" s="25">
        <v>0</v>
      </c>
      <c r="U1352" s="25">
        <v>0</v>
      </c>
      <c r="V1352" s="25">
        <v>0</v>
      </c>
      <c r="W1352" s="25">
        <v>0</v>
      </c>
      <c r="X1352" s="25">
        <v>1</v>
      </c>
      <c r="Y1352" s="25">
        <v>0</v>
      </c>
      <c r="Z1352" s="25">
        <v>0</v>
      </c>
      <c r="AA1352" s="25">
        <v>0</v>
      </c>
      <c r="AB1352" s="25">
        <v>0</v>
      </c>
      <c r="AC1352" s="25">
        <v>0</v>
      </c>
      <c r="AD1352" s="25">
        <v>0</v>
      </c>
      <c r="AE1352" s="25">
        <v>1</v>
      </c>
      <c r="AF1352" s="25" t="s">
        <v>132</v>
      </c>
    </row>
    <row r="1353" spans="1:32" s="25" customFormat="1" x14ac:dyDescent="0.25">
      <c r="A1353" s="25" t="s">
        <v>189</v>
      </c>
      <c r="B1353" s="25">
        <f t="shared" si="36"/>
        <v>11080</v>
      </c>
      <c r="C1353" s="25" t="s">
        <v>12</v>
      </c>
      <c r="D1353" s="25">
        <v>0</v>
      </c>
      <c r="E1353" s="25">
        <v>0</v>
      </c>
      <c r="F1353" s="25">
        <v>256</v>
      </c>
      <c r="G1353" s="25">
        <v>222</v>
      </c>
      <c r="H1353" s="27">
        <v>0</v>
      </c>
      <c r="I1353" s="27">
        <v>0</v>
      </c>
      <c r="J1353" s="27">
        <v>0</v>
      </c>
      <c r="K1353" s="27">
        <v>0</v>
      </c>
      <c r="L1353" s="27">
        <v>1</v>
      </c>
      <c r="M1353" s="27">
        <v>0</v>
      </c>
      <c r="N1353" s="27">
        <v>0</v>
      </c>
      <c r="O1353" s="27">
        <v>0</v>
      </c>
      <c r="P1353" s="25">
        <v>700</v>
      </c>
      <c r="Q1353" s="25">
        <v>560</v>
      </c>
      <c r="R1353" s="25" t="s">
        <v>87</v>
      </c>
      <c r="S1353" s="25" t="s">
        <v>89</v>
      </c>
      <c r="T1353" s="25">
        <v>0</v>
      </c>
      <c r="U1353" s="25">
        <v>0</v>
      </c>
      <c r="V1353" s="25">
        <v>0</v>
      </c>
      <c r="W1353" s="25">
        <v>0</v>
      </c>
      <c r="X1353" s="25">
        <v>1</v>
      </c>
      <c r="Y1353" s="25">
        <v>0</v>
      </c>
      <c r="Z1353" s="25">
        <v>0</v>
      </c>
      <c r="AA1353" s="25">
        <v>0</v>
      </c>
      <c r="AB1353" s="25">
        <v>0</v>
      </c>
      <c r="AC1353" s="25">
        <v>0</v>
      </c>
      <c r="AD1353" s="25">
        <v>0</v>
      </c>
      <c r="AE1353" s="25">
        <v>1</v>
      </c>
      <c r="AF1353" s="25" t="s">
        <v>132</v>
      </c>
    </row>
    <row r="1354" spans="1:32" s="25" customFormat="1" x14ac:dyDescent="0.25">
      <c r="A1354" s="25" t="s">
        <v>189</v>
      </c>
      <c r="B1354" s="25">
        <f t="shared" si="36"/>
        <v>11090</v>
      </c>
      <c r="C1354" s="25" t="s">
        <v>12</v>
      </c>
      <c r="D1354" s="25">
        <v>0</v>
      </c>
      <c r="E1354" s="25">
        <v>0</v>
      </c>
      <c r="F1354" s="25">
        <v>256</v>
      </c>
      <c r="G1354" s="25">
        <v>222</v>
      </c>
      <c r="H1354" s="27">
        <v>0</v>
      </c>
      <c r="I1354" s="27">
        <v>0</v>
      </c>
      <c r="J1354" s="27">
        <v>0</v>
      </c>
      <c r="K1354" s="27">
        <v>0</v>
      </c>
      <c r="L1354" s="27">
        <v>1</v>
      </c>
      <c r="M1354" s="27">
        <v>0</v>
      </c>
      <c r="N1354" s="27">
        <v>0</v>
      </c>
      <c r="O1354" s="27">
        <v>0</v>
      </c>
      <c r="P1354" s="25">
        <v>700</v>
      </c>
      <c r="Q1354" s="25">
        <v>560</v>
      </c>
      <c r="R1354" s="25" t="s">
        <v>87</v>
      </c>
      <c r="S1354" s="25" t="s">
        <v>89</v>
      </c>
      <c r="T1354" s="25">
        <v>0</v>
      </c>
      <c r="U1354" s="25">
        <v>0</v>
      </c>
      <c r="V1354" s="25">
        <v>0</v>
      </c>
      <c r="W1354" s="25">
        <v>0</v>
      </c>
      <c r="X1354" s="25">
        <v>1</v>
      </c>
      <c r="Y1354" s="25">
        <v>0</v>
      </c>
      <c r="Z1354" s="25">
        <v>0</v>
      </c>
      <c r="AA1354" s="25">
        <v>0</v>
      </c>
      <c r="AB1354" s="25">
        <v>0</v>
      </c>
      <c r="AC1354" s="25">
        <v>0</v>
      </c>
      <c r="AD1354" s="25">
        <v>0</v>
      </c>
      <c r="AE1354" s="25">
        <v>1</v>
      </c>
      <c r="AF1354" s="25" t="s">
        <v>132</v>
      </c>
    </row>
    <row r="1355" spans="1:32" s="25" customFormat="1" x14ac:dyDescent="0.25">
      <c r="A1355" s="25" t="s">
        <v>189</v>
      </c>
      <c r="B1355" s="25">
        <f t="shared" si="36"/>
        <v>11100</v>
      </c>
      <c r="C1355" s="25" t="s">
        <v>12</v>
      </c>
      <c r="D1355" s="25">
        <v>0</v>
      </c>
      <c r="E1355" s="25">
        <v>0</v>
      </c>
      <c r="F1355" s="25">
        <v>256</v>
      </c>
      <c r="G1355" s="25">
        <v>222</v>
      </c>
      <c r="H1355" s="27">
        <v>0</v>
      </c>
      <c r="I1355" s="27">
        <v>0</v>
      </c>
      <c r="J1355" s="27">
        <v>0</v>
      </c>
      <c r="K1355" s="27">
        <v>0</v>
      </c>
      <c r="L1355" s="27">
        <v>1</v>
      </c>
      <c r="M1355" s="27">
        <v>0</v>
      </c>
      <c r="N1355" s="27">
        <v>0</v>
      </c>
      <c r="O1355" s="27">
        <v>0</v>
      </c>
      <c r="P1355" s="25">
        <v>700</v>
      </c>
      <c r="Q1355" s="25">
        <v>560</v>
      </c>
      <c r="R1355" s="25" t="s">
        <v>87</v>
      </c>
      <c r="S1355" s="25" t="s">
        <v>89</v>
      </c>
      <c r="T1355" s="25">
        <v>0</v>
      </c>
      <c r="U1355" s="25">
        <v>0</v>
      </c>
      <c r="V1355" s="25">
        <v>0</v>
      </c>
      <c r="W1355" s="25">
        <v>0</v>
      </c>
      <c r="X1355" s="25">
        <v>1</v>
      </c>
      <c r="Y1355" s="25">
        <v>0</v>
      </c>
      <c r="Z1355" s="25">
        <v>0</v>
      </c>
      <c r="AA1355" s="25">
        <v>0</v>
      </c>
      <c r="AB1355" s="25">
        <v>0</v>
      </c>
      <c r="AC1355" s="25">
        <v>0</v>
      </c>
      <c r="AD1355" s="25">
        <v>0</v>
      </c>
      <c r="AE1355" s="25">
        <v>1</v>
      </c>
      <c r="AF1355" s="25" t="s">
        <v>132</v>
      </c>
    </row>
    <row r="1356" spans="1:32" s="25" customFormat="1" x14ac:dyDescent="0.25">
      <c r="A1356" s="25" t="s">
        <v>189</v>
      </c>
      <c r="B1356" s="25">
        <f t="shared" si="36"/>
        <v>11110</v>
      </c>
      <c r="C1356" s="25" t="s">
        <v>12</v>
      </c>
      <c r="D1356" s="25">
        <v>0</v>
      </c>
      <c r="E1356" s="25">
        <v>0</v>
      </c>
      <c r="F1356" s="25">
        <v>256</v>
      </c>
      <c r="G1356" s="25">
        <v>222</v>
      </c>
      <c r="H1356" s="27">
        <v>0</v>
      </c>
      <c r="I1356" s="27">
        <v>0</v>
      </c>
      <c r="J1356" s="27">
        <v>0</v>
      </c>
      <c r="K1356" s="27">
        <v>0</v>
      </c>
      <c r="L1356" s="27">
        <v>1</v>
      </c>
      <c r="M1356" s="27">
        <v>0</v>
      </c>
      <c r="N1356" s="27">
        <v>0</v>
      </c>
      <c r="O1356" s="27">
        <v>0</v>
      </c>
      <c r="P1356" s="25">
        <v>700</v>
      </c>
      <c r="Q1356" s="25">
        <v>560</v>
      </c>
      <c r="R1356" s="25" t="s">
        <v>87</v>
      </c>
      <c r="S1356" s="25" t="s">
        <v>89</v>
      </c>
      <c r="T1356" s="25">
        <v>0</v>
      </c>
      <c r="U1356" s="25">
        <v>0</v>
      </c>
      <c r="V1356" s="25">
        <v>0</v>
      </c>
      <c r="W1356" s="25">
        <v>0</v>
      </c>
      <c r="X1356" s="25">
        <v>1</v>
      </c>
      <c r="Y1356" s="25">
        <v>0</v>
      </c>
      <c r="Z1356" s="25">
        <v>0</v>
      </c>
      <c r="AA1356" s="25">
        <v>0</v>
      </c>
      <c r="AB1356" s="25">
        <v>0</v>
      </c>
      <c r="AC1356" s="25">
        <v>0</v>
      </c>
      <c r="AD1356" s="25">
        <v>0</v>
      </c>
      <c r="AE1356" s="25">
        <v>1</v>
      </c>
      <c r="AF1356" s="25" t="s">
        <v>132</v>
      </c>
    </row>
    <row r="1357" spans="1:32" s="25" customFormat="1" x14ac:dyDescent="0.25">
      <c r="A1357" s="25" t="s">
        <v>189</v>
      </c>
      <c r="B1357" s="25">
        <f t="shared" si="36"/>
        <v>11120</v>
      </c>
      <c r="C1357" s="25" t="s">
        <v>12</v>
      </c>
      <c r="D1357" s="25">
        <v>0</v>
      </c>
      <c r="E1357" s="25">
        <v>0</v>
      </c>
      <c r="F1357" s="25">
        <v>256</v>
      </c>
      <c r="G1357" s="25">
        <v>222</v>
      </c>
      <c r="H1357" s="27">
        <v>0</v>
      </c>
      <c r="I1357" s="27">
        <v>0</v>
      </c>
      <c r="J1357" s="27">
        <v>0</v>
      </c>
      <c r="K1357" s="27">
        <v>0</v>
      </c>
      <c r="L1357" s="27">
        <v>1</v>
      </c>
      <c r="M1357" s="27">
        <v>0</v>
      </c>
      <c r="N1357" s="27">
        <v>0</v>
      </c>
      <c r="O1357" s="27">
        <v>0</v>
      </c>
      <c r="P1357" s="25">
        <v>700</v>
      </c>
      <c r="Q1357" s="25">
        <v>560</v>
      </c>
      <c r="R1357" s="25" t="s">
        <v>87</v>
      </c>
      <c r="S1357" s="25" t="s">
        <v>89</v>
      </c>
      <c r="T1357" s="25">
        <v>0</v>
      </c>
      <c r="U1357" s="25">
        <v>0</v>
      </c>
      <c r="V1357" s="25">
        <v>0</v>
      </c>
      <c r="W1357" s="25">
        <v>0</v>
      </c>
      <c r="X1357" s="25">
        <v>1</v>
      </c>
      <c r="Y1357" s="25">
        <v>0</v>
      </c>
      <c r="Z1357" s="25">
        <v>0</v>
      </c>
      <c r="AA1357" s="25">
        <v>0</v>
      </c>
      <c r="AB1357" s="25">
        <v>0</v>
      </c>
      <c r="AC1357" s="25">
        <v>0</v>
      </c>
      <c r="AD1357" s="25">
        <v>0</v>
      </c>
      <c r="AE1357" s="25">
        <v>1</v>
      </c>
      <c r="AF1357" s="25" t="s">
        <v>132</v>
      </c>
    </row>
    <row r="1358" spans="1:32" s="25" customFormat="1" x14ac:dyDescent="0.25">
      <c r="A1358" s="25" t="s">
        <v>189</v>
      </c>
      <c r="B1358" s="25">
        <f t="shared" si="36"/>
        <v>11130</v>
      </c>
      <c r="C1358" s="25" t="s">
        <v>12</v>
      </c>
      <c r="D1358" s="25">
        <v>0</v>
      </c>
      <c r="E1358" s="25">
        <v>0</v>
      </c>
      <c r="F1358" s="25">
        <v>256</v>
      </c>
      <c r="G1358" s="25">
        <v>222</v>
      </c>
      <c r="H1358" s="27">
        <v>0</v>
      </c>
      <c r="I1358" s="27">
        <v>0</v>
      </c>
      <c r="J1358" s="27">
        <v>0</v>
      </c>
      <c r="K1358" s="27">
        <v>0</v>
      </c>
      <c r="L1358" s="27">
        <v>1</v>
      </c>
      <c r="M1358" s="27">
        <v>0</v>
      </c>
      <c r="N1358" s="27">
        <v>0</v>
      </c>
      <c r="O1358" s="27">
        <v>0</v>
      </c>
      <c r="P1358" s="25">
        <v>700</v>
      </c>
      <c r="Q1358" s="25">
        <v>560</v>
      </c>
      <c r="R1358" s="25" t="s">
        <v>87</v>
      </c>
      <c r="S1358" s="25" t="s">
        <v>89</v>
      </c>
      <c r="T1358" s="25">
        <v>0</v>
      </c>
      <c r="U1358" s="25">
        <v>0</v>
      </c>
      <c r="V1358" s="25">
        <v>0</v>
      </c>
      <c r="W1358" s="25">
        <v>0</v>
      </c>
      <c r="X1358" s="25">
        <v>1</v>
      </c>
      <c r="Y1358" s="25">
        <v>0</v>
      </c>
      <c r="Z1358" s="25">
        <v>0</v>
      </c>
      <c r="AA1358" s="25">
        <v>0</v>
      </c>
      <c r="AB1358" s="25">
        <v>0</v>
      </c>
      <c r="AC1358" s="25">
        <v>0</v>
      </c>
      <c r="AD1358" s="25">
        <v>0</v>
      </c>
      <c r="AE1358" s="25">
        <v>1</v>
      </c>
      <c r="AF1358" s="25" t="s">
        <v>132</v>
      </c>
    </row>
    <row r="1359" spans="1:32" s="25" customFormat="1" x14ac:dyDescent="0.25">
      <c r="A1359" s="25" t="s">
        <v>189</v>
      </c>
      <c r="B1359" s="25">
        <f t="shared" si="36"/>
        <v>11140</v>
      </c>
      <c r="C1359" s="25" t="s">
        <v>12</v>
      </c>
      <c r="D1359" s="25">
        <v>0</v>
      </c>
      <c r="E1359" s="25">
        <v>0</v>
      </c>
      <c r="F1359" s="25">
        <v>256</v>
      </c>
      <c r="G1359" s="25">
        <v>222</v>
      </c>
      <c r="H1359" s="27">
        <v>0</v>
      </c>
      <c r="I1359" s="27">
        <v>0</v>
      </c>
      <c r="J1359" s="27">
        <v>0</v>
      </c>
      <c r="K1359" s="27">
        <v>0</v>
      </c>
      <c r="L1359" s="27">
        <v>1</v>
      </c>
      <c r="M1359" s="27">
        <v>0</v>
      </c>
      <c r="N1359" s="27">
        <v>0</v>
      </c>
      <c r="O1359" s="27">
        <v>0</v>
      </c>
      <c r="P1359" s="25">
        <v>700</v>
      </c>
      <c r="Q1359" s="25">
        <v>560</v>
      </c>
      <c r="R1359" s="25" t="s">
        <v>87</v>
      </c>
      <c r="S1359" s="25" t="s">
        <v>89</v>
      </c>
      <c r="T1359" s="25">
        <v>0</v>
      </c>
      <c r="U1359" s="25">
        <v>0</v>
      </c>
      <c r="V1359" s="25">
        <v>0</v>
      </c>
      <c r="W1359" s="25">
        <v>0</v>
      </c>
      <c r="X1359" s="25">
        <v>1</v>
      </c>
      <c r="Y1359" s="25">
        <v>0</v>
      </c>
      <c r="Z1359" s="25">
        <v>0</v>
      </c>
      <c r="AA1359" s="25">
        <v>0</v>
      </c>
      <c r="AB1359" s="25">
        <v>0</v>
      </c>
      <c r="AC1359" s="25">
        <v>0</v>
      </c>
      <c r="AD1359" s="25">
        <v>0</v>
      </c>
      <c r="AE1359" s="25">
        <v>1</v>
      </c>
      <c r="AF1359" s="25" t="s">
        <v>132</v>
      </c>
    </row>
    <row r="1360" spans="1:32" s="25" customFormat="1" x14ac:dyDescent="0.25">
      <c r="A1360" s="25" t="s">
        <v>189</v>
      </c>
      <c r="B1360" s="25">
        <f t="shared" si="36"/>
        <v>11150</v>
      </c>
      <c r="C1360" s="25" t="s">
        <v>12</v>
      </c>
      <c r="D1360" s="25">
        <v>0</v>
      </c>
      <c r="E1360" s="25">
        <v>0</v>
      </c>
      <c r="F1360" s="25">
        <v>256</v>
      </c>
      <c r="G1360" s="25">
        <v>222</v>
      </c>
      <c r="H1360" s="27">
        <v>0</v>
      </c>
      <c r="I1360" s="27">
        <v>0</v>
      </c>
      <c r="J1360" s="27">
        <v>0</v>
      </c>
      <c r="K1360" s="27">
        <v>0</v>
      </c>
      <c r="L1360" s="27">
        <v>1</v>
      </c>
      <c r="M1360" s="27">
        <v>0</v>
      </c>
      <c r="N1360" s="27">
        <v>0</v>
      </c>
      <c r="O1360" s="27">
        <v>0</v>
      </c>
      <c r="P1360" s="25">
        <v>700</v>
      </c>
      <c r="Q1360" s="25">
        <v>560</v>
      </c>
      <c r="R1360" s="25" t="s">
        <v>87</v>
      </c>
      <c r="S1360" s="25" t="s">
        <v>89</v>
      </c>
      <c r="T1360" s="25">
        <v>0</v>
      </c>
      <c r="U1360" s="25">
        <v>0</v>
      </c>
      <c r="V1360" s="25">
        <v>0</v>
      </c>
      <c r="W1360" s="25">
        <v>0</v>
      </c>
      <c r="X1360" s="25">
        <v>1</v>
      </c>
      <c r="Y1360" s="25">
        <v>0</v>
      </c>
      <c r="Z1360" s="25">
        <v>0</v>
      </c>
      <c r="AA1360" s="25">
        <v>0</v>
      </c>
      <c r="AB1360" s="25">
        <v>0</v>
      </c>
      <c r="AC1360" s="25">
        <v>0</v>
      </c>
      <c r="AD1360" s="25">
        <v>0</v>
      </c>
      <c r="AE1360" s="25">
        <v>1</v>
      </c>
      <c r="AF1360" s="25" t="s">
        <v>132</v>
      </c>
    </row>
    <row r="1361" spans="1:32" s="25" customFormat="1" x14ac:dyDescent="0.25">
      <c r="A1361" s="25" t="s">
        <v>189</v>
      </c>
      <c r="B1361" s="25">
        <f t="shared" si="36"/>
        <v>11160</v>
      </c>
      <c r="C1361" s="25" t="s">
        <v>12</v>
      </c>
      <c r="D1361" s="25">
        <v>0</v>
      </c>
      <c r="E1361" s="25">
        <v>0</v>
      </c>
      <c r="F1361" s="25">
        <v>256</v>
      </c>
      <c r="G1361" s="25">
        <v>222</v>
      </c>
      <c r="H1361" s="27">
        <v>0</v>
      </c>
      <c r="I1361" s="27">
        <v>0</v>
      </c>
      <c r="J1361" s="27">
        <v>0</v>
      </c>
      <c r="K1361" s="27">
        <v>0</v>
      </c>
      <c r="L1361" s="27">
        <v>1</v>
      </c>
      <c r="M1361" s="27">
        <v>0</v>
      </c>
      <c r="N1361" s="27">
        <v>0</v>
      </c>
      <c r="O1361" s="27">
        <v>0</v>
      </c>
      <c r="P1361" s="25">
        <v>700</v>
      </c>
      <c r="Q1361" s="25">
        <v>560</v>
      </c>
      <c r="R1361" s="25" t="s">
        <v>87</v>
      </c>
      <c r="S1361" s="25" t="s">
        <v>89</v>
      </c>
      <c r="T1361" s="25">
        <v>0</v>
      </c>
      <c r="U1361" s="25">
        <v>0</v>
      </c>
      <c r="V1361" s="25">
        <v>0</v>
      </c>
      <c r="W1361" s="25">
        <v>0</v>
      </c>
      <c r="X1361" s="25">
        <v>1</v>
      </c>
      <c r="Y1361" s="25">
        <v>0</v>
      </c>
      <c r="Z1361" s="25">
        <v>0</v>
      </c>
      <c r="AA1361" s="25">
        <v>0</v>
      </c>
      <c r="AB1361" s="25">
        <v>0</v>
      </c>
      <c r="AC1361" s="25">
        <v>0</v>
      </c>
      <c r="AD1361" s="25">
        <v>0</v>
      </c>
      <c r="AE1361" s="25">
        <v>1</v>
      </c>
      <c r="AF1361" s="25" t="s">
        <v>132</v>
      </c>
    </row>
    <row r="1362" spans="1:32" s="25" customFormat="1" x14ac:dyDescent="0.25">
      <c r="A1362" s="25" t="s">
        <v>189</v>
      </c>
      <c r="B1362" s="25">
        <f t="shared" si="36"/>
        <v>11170</v>
      </c>
      <c r="C1362" s="25" t="s">
        <v>12</v>
      </c>
      <c r="D1362" s="25">
        <v>0</v>
      </c>
      <c r="E1362" s="25">
        <v>0</v>
      </c>
      <c r="F1362" s="25">
        <v>256</v>
      </c>
      <c r="G1362" s="25">
        <v>222</v>
      </c>
      <c r="H1362" s="27">
        <v>0</v>
      </c>
      <c r="I1362" s="27">
        <v>0</v>
      </c>
      <c r="J1362" s="27">
        <v>0</v>
      </c>
      <c r="K1362" s="27">
        <v>0</v>
      </c>
      <c r="L1362" s="27">
        <v>1</v>
      </c>
      <c r="M1362" s="27">
        <v>0</v>
      </c>
      <c r="N1362" s="27">
        <v>0</v>
      </c>
      <c r="O1362" s="27">
        <v>0</v>
      </c>
      <c r="P1362" s="25">
        <v>700</v>
      </c>
      <c r="Q1362" s="25">
        <v>560</v>
      </c>
      <c r="R1362" s="25" t="s">
        <v>87</v>
      </c>
      <c r="S1362" s="25" t="s">
        <v>89</v>
      </c>
      <c r="T1362" s="25">
        <v>0</v>
      </c>
      <c r="U1362" s="25">
        <v>0</v>
      </c>
      <c r="V1362" s="25">
        <v>0</v>
      </c>
      <c r="W1362" s="25">
        <v>0</v>
      </c>
      <c r="X1362" s="25">
        <v>1</v>
      </c>
      <c r="Y1362" s="25">
        <v>0</v>
      </c>
      <c r="Z1362" s="25">
        <v>0</v>
      </c>
      <c r="AA1362" s="25">
        <v>0</v>
      </c>
      <c r="AB1362" s="25">
        <v>0</v>
      </c>
      <c r="AC1362" s="25">
        <v>0</v>
      </c>
      <c r="AD1362" s="25">
        <v>0</v>
      </c>
      <c r="AE1362" s="25">
        <v>1</v>
      </c>
      <c r="AF1362" s="25" t="s">
        <v>132</v>
      </c>
    </row>
    <row r="1363" spans="1:32" s="25" customFormat="1" x14ac:dyDescent="0.25">
      <c r="A1363" s="25" t="s">
        <v>189</v>
      </c>
      <c r="B1363" s="25">
        <f t="shared" si="36"/>
        <v>11180</v>
      </c>
      <c r="C1363" s="25" t="s">
        <v>12</v>
      </c>
      <c r="D1363" s="25">
        <v>0</v>
      </c>
      <c r="E1363" s="25">
        <v>0</v>
      </c>
      <c r="F1363" s="25">
        <v>256</v>
      </c>
      <c r="G1363" s="25">
        <v>222</v>
      </c>
      <c r="H1363" s="27">
        <v>0</v>
      </c>
      <c r="I1363" s="27">
        <v>0</v>
      </c>
      <c r="J1363" s="27">
        <v>0</v>
      </c>
      <c r="K1363" s="27">
        <v>0</v>
      </c>
      <c r="L1363" s="27">
        <v>1</v>
      </c>
      <c r="M1363" s="27">
        <v>0</v>
      </c>
      <c r="N1363" s="27">
        <v>0</v>
      </c>
      <c r="O1363" s="27">
        <v>0</v>
      </c>
      <c r="P1363" s="25">
        <v>700</v>
      </c>
      <c r="Q1363" s="25">
        <v>560</v>
      </c>
      <c r="R1363" s="25" t="s">
        <v>87</v>
      </c>
      <c r="S1363" s="25" t="s">
        <v>89</v>
      </c>
      <c r="T1363" s="25">
        <v>0</v>
      </c>
      <c r="U1363" s="25">
        <v>0</v>
      </c>
      <c r="V1363" s="25">
        <v>0</v>
      </c>
      <c r="W1363" s="25">
        <v>0</v>
      </c>
      <c r="X1363" s="25">
        <v>1</v>
      </c>
      <c r="Y1363" s="25">
        <v>0</v>
      </c>
      <c r="Z1363" s="25">
        <v>0</v>
      </c>
      <c r="AA1363" s="25">
        <v>0</v>
      </c>
      <c r="AB1363" s="25">
        <v>0</v>
      </c>
      <c r="AC1363" s="25">
        <v>0</v>
      </c>
      <c r="AD1363" s="25">
        <v>0</v>
      </c>
      <c r="AE1363" s="25">
        <v>1</v>
      </c>
      <c r="AF1363" s="25" t="s">
        <v>132</v>
      </c>
    </row>
    <row r="1364" spans="1:32" s="25" customFormat="1" x14ac:dyDescent="0.25">
      <c r="A1364" s="25" t="s">
        <v>189</v>
      </c>
      <c r="B1364" s="25">
        <f t="shared" si="36"/>
        <v>11190</v>
      </c>
      <c r="C1364" s="25" t="s">
        <v>12</v>
      </c>
      <c r="D1364" s="25">
        <v>0</v>
      </c>
      <c r="E1364" s="25">
        <v>0</v>
      </c>
      <c r="F1364" s="25">
        <v>256</v>
      </c>
      <c r="G1364" s="25">
        <v>222</v>
      </c>
      <c r="H1364" s="27">
        <v>0</v>
      </c>
      <c r="I1364" s="27">
        <v>0</v>
      </c>
      <c r="J1364" s="27">
        <v>0</v>
      </c>
      <c r="K1364" s="27">
        <v>0</v>
      </c>
      <c r="L1364" s="27">
        <v>1</v>
      </c>
      <c r="M1364" s="27">
        <v>0</v>
      </c>
      <c r="N1364" s="27">
        <v>0</v>
      </c>
      <c r="O1364" s="27">
        <v>0</v>
      </c>
      <c r="P1364" s="25">
        <v>700</v>
      </c>
      <c r="Q1364" s="25">
        <v>560</v>
      </c>
      <c r="R1364" s="25" t="s">
        <v>87</v>
      </c>
      <c r="S1364" s="25" t="s">
        <v>89</v>
      </c>
      <c r="T1364" s="25">
        <v>0</v>
      </c>
      <c r="U1364" s="25">
        <v>0</v>
      </c>
      <c r="V1364" s="25">
        <v>0</v>
      </c>
      <c r="W1364" s="25">
        <v>0</v>
      </c>
      <c r="X1364" s="25">
        <v>1</v>
      </c>
      <c r="Y1364" s="25">
        <v>0</v>
      </c>
      <c r="Z1364" s="25">
        <v>0</v>
      </c>
      <c r="AA1364" s="25">
        <v>0</v>
      </c>
      <c r="AB1364" s="25">
        <v>0</v>
      </c>
      <c r="AC1364" s="25">
        <v>0</v>
      </c>
      <c r="AD1364" s="25">
        <v>0</v>
      </c>
      <c r="AE1364" s="25">
        <v>1</v>
      </c>
      <c r="AF1364" s="25" t="s">
        <v>132</v>
      </c>
    </row>
    <row r="1365" spans="1:32" s="25" customFormat="1" x14ac:dyDescent="0.25">
      <c r="A1365" s="25" t="s">
        <v>189</v>
      </c>
      <c r="B1365" s="25">
        <f t="shared" si="36"/>
        <v>11200</v>
      </c>
      <c r="C1365" s="25" t="s">
        <v>12</v>
      </c>
      <c r="D1365" s="25">
        <v>0</v>
      </c>
      <c r="E1365" s="25">
        <v>0</v>
      </c>
      <c r="F1365" s="25">
        <v>256</v>
      </c>
      <c r="G1365" s="25">
        <v>222</v>
      </c>
      <c r="H1365" s="27">
        <v>0</v>
      </c>
      <c r="I1365" s="27">
        <v>0</v>
      </c>
      <c r="J1365" s="27">
        <v>0</v>
      </c>
      <c r="K1365" s="27">
        <v>0</v>
      </c>
      <c r="L1365" s="27">
        <v>1</v>
      </c>
      <c r="M1365" s="27">
        <v>0</v>
      </c>
      <c r="N1365" s="27">
        <v>0</v>
      </c>
      <c r="O1365" s="27">
        <v>0</v>
      </c>
      <c r="P1365" s="25">
        <v>700</v>
      </c>
      <c r="Q1365" s="25">
        <v>560</v>
      </c>
      <c r="R1365" s="25" t="s">
        <v>87</v>
      </c>
      <c r="S1365" s="25" t="s">
        <v>89</v>
      </c>
      <c r="T1365" s="25">
        <v>0</v>
      </c>
      <c r="U1365" s="25">
        <v>0</v>
      </c>
      <c r="V1365" s="25">
        <v>0</v>
      </c>
      <c r="W1365" s="25">
        <v>0</v>
      </c>
      <c r="X1365" s="25">
        <v>1</v>
      </c>
      <c r="Y1365" s="25">
        <v>0</v>
      </c>
      <c r="Z1365" s="25">
        <v>0</v>
      </c>
      <c r="AA1365" s="25">
        <v>0</v>
      </c>
      <c r="AB1365" s="25">
        <v>0</v>
      </c>
      <c r="AC1365" s="25">
        <v>0</v>
      </c>
      <c r="AD1365" s="25">
        <v>0</v>
      </c>
      <c r="AE1365" s="25">
        <v>1</v>
      </c>
      <c r="AF1365" s="25" t="s">
        <v>132</v>
      </c>
    </row>
    <row r="1366" spans="1:32" s="25" customFormat="1" x14ac:dyDescent="0.25">
      <c r="A1366" s="25" t="s">
        <v>189</v>
      </c>
      <c r="B1366" s="25">
        <f t="shared" si="36"/>
        <v>11210</v>
      </c>
      <c r="C1366" s="25" t="s">
        <v>12</v>
      </c>
      <c r="D1366" s="25">
        <v>0</v>
      </c>
      <c r="E1366" s="25">
        <v>0</v>
      </c>
      <c r="F1366" s="25">
        <v>256</v>
      </c>
      <c r="G1366" s="25">
        <v>222</v>
      </c>
      <c r="H1366" s="27">
        <v>0</v>
      </c>
      <c r="I1366" s="27">
        <v>0</v>
      </c>
      <c r="J1366" s="27">
        <v>0</v>
      </c>
      <c r="K1366" s="27">
        <v>0</v>
      </c>
      <c r="L1366" s="27">
        <v>1</v>
      </c>
      <c r="M1366" s="27">
        <v>0</v>
      </c>
      <c r="N1366" s="27">
        <v>0</v>
      </c>
      <c r="O1366" s="27">
        <v>0</v>
      </c>
      <c r="P1366" s="25">
        <v>700</v>
      </c>
      <c r="Q1366" s="25">
        <v>560</v>
      </c>
      <c r="R1366" s="25" t="s">
        <v>87</v>
      </c>
      <c r="S1366" s="25" t="s">
        <v>89</v>
      </c>
      <c r="T1366" s="25">
        <v>0</v>
      </c>
      <c r="U1366" s="25">
        <v>0</v>
      </c>
      <c r="V1366" s="25">
        <v>0</v>
      </c>
      <c r="W1366" s="25">
        <v>0</v>
      </c>
      <c r="X1366" s="25">
        <v>1</v>
      </c>
      <c r="Y1366" s="25">
        <v>0</v>
      </c>
      <c r="Z1366" s="25">
        <v>0</v>
      </c>
      <c r="AA1366" s="25">
        <v>0</v>
      </c>
      <c r="AB1366" s="25">
        <v>0</v>
      </c>
      <c r="AC1366" s="25">
        <v>0</v>
      </c>
      <c r="AD1366" s="25">
        <v>0</v>
      </c>
      <c r="AE1366" s="25">
        <v>1</v>
      </c>
      <c r="AF1366" s="25" t="s">
        <v>132</v>
      </c>
    </row>
    <row r="1367" spans="1:32" s="25" customFormat="1" x14ac:dyDescent="0.25">
      <c r="A1367" s="25" t="s">
        <v>189</v>
      </c>
      <c r="B1367" s="25">
        <f t="shared" si="36"/>
        <v>11220</v>
      </c>
      <c r="C1367" s="25" t="s">
        <v>12</v>
      </c>
      <c r="D1367" s="25">
        <v>0</v>
      </c>
      <c r="E1367" s="25">
        <v>0</v>
      </c>
      <c r="F1367" s="25">
        <v>256</v>
      </c>
      <c r="G1367" s="25">
        <v>222</v>
      </c>
      <c r="H1367" s="27">
        <v>0</v>
      </c>
      <c r="I1367" s="27">
        <v>0</v>
      </c>
      <c r="J1367" s="27">
        <v>0</v>
      </c>
      <c r="K1367" s="27">
        <v>0</v>
      </c>
      <c r="L1367" s="27">
        <v>1</v>
      </c>
      <c r="M1367" s="27">
        <v>0</v>
      </c>
      <c r="N1367" s="27">
        <v>0</v>
      </c>
      <c r="O1367" s="27">
        <v>0</v>
      </c>
      <c r="P1367" s="25">
        <v>700</v>
      </c>
      <c r="Q1367" s="25">
        <v>560</v>
      </c>
      <c r="R1367" s="25" t="s">
        <v>87</v>
      </c>
      <c r="S1367" s="25" t="s">
        <v>89</v>
      </c>
      <c r="T1367" s="25">
        <v>0</v>
      </c>
      <c r="U1367" s="25">
        <v>0</v>
      </c>
      <c r="V1367" s="25">
        <v>0</v>
      </c>
      <c r="W1367" s="25">
        <v>0</v>
      </c>
      <c r="X1367" s="25">
        <v>1</v>
      </c>
      <c r="Y1367" s="25">
        <v>0</v>
      </c>
      <c r="Z1367" s="25">
        <v>0</v>
      </c>
      <c r="AA1367" s="25">
        <v>0</v>
      </c>
      <c r="AB1367" s="25">
        <v>0</v>
      </c>
      <c r="AC1367" s="25">
        <v>0</v>
      </c>
      <c r="AD1367" s="25">
        <v>0</v>
      </c>
      <c r="AE1367" s="25">
        <v>1</v>
      </c>
      <c r="AF1367" s="25" t="s">
        <v>132</v>
      </c>
    </row>
    <row r="1368" spans="1:32" s="25" customFormat="1" x14ac:dyDescent="0.25">
      <c r="A1368" s="25" t="s">
        <v>189</v>
      </c>
      <c r="B1368" s="25">
        <f t="shared" si="36"/>
        <v>11230</v>
      </c>
      <c r="C1368" s="25" t="s">
        <v>12</v>
      </c>
      <c r="D1368" s="25">
        <v>0</v>
      </c>
      <c r="E1368" s="25">
        <v>0</v>
      </c>
      <c r="F1368" s="25">
        <v>256</v>
      </c>
      <c r="G1368" s="25">
        <v>222</v>
      </c>
      <c r="H1368" s="27">
        <v>0</v>
      </c>
      <c r="I1368" s="27">
        <v>0</v>
      </c>
      <c r="J1368" s="27">
        <v>0</v>
      </c>
      <c r="K1368" s="27">
        <v>0</v>
      </c>
      <c r="L1368" s="27">
        <v>1</v>
      </c>
      <c r="M1368" s="27">
        <v>0</v>
      </c>
      <c r="N1368" s="27">
        <v>0</v>
      </c>
      <c r="O1368" s="27">
        <v>0</v>
      </c>
      <c r="P1368" s="25">
        <v>700</v>
      </c>
      <c r="Q1368" s="25">
        <v>560</v>
      </c>
      <c r="R1368" s="25" t="s">
        <v>87</v>
      </c>
      <c r="S1368" s="25" t="s">
        <v>89</v>
      </c>
      <c r="T1368" s="25">
        <v>0</v>
      </c>
      <c r="U1368" s="25">
        <v>0</v>
      </c>
      <c r="V1368" s="25">
        <v>0</v>
      </c>
      <c r="W1368" s="25">
        <v>0</v>
      </c>
      <c r="X1368" s="25">
        <v>1</v>
      </c>
      <c r="Y1368" s="25">
        <v>0</v>
      </c>
      <c r="Z1368" s="25">
        <v>0</v>
      </c>
      <c r="AA1368" s="25">
        <v>0</v>
      </c>
      <c r="AB1368" s="25">
        <v>0</v>
      </c>
      <c r="AC1368" s="25">
        <v>0</v>
      </c>
      <c r="AD1368" s="25">
        <v>0</v>
      </c>
      <c r="AE1368" s="25">
        <v>1</v>
      </c>
      <c r="AF1368" s="25" t="s">
        <v>132</v>
      </c>
    </row>
    <row r="1369" spans="1:32" s="25" customFormat="1" x14ac:dyDescent="0.25">
      <c r="A1369" s="25" t="s">
        <v>189</v>
      </c>
      <c r="B1369" s="25">
        <f t="shared" si="36"/>
        <v>11240</v>
      </c>
      <c r="C1369" s="25" t="s">
        <v>12</v>
      </c>
      <c r="D1369" s="25">
        <v>0</v>
      </c>
      <c r="E1369" s="25">
        <v>0</v>
      </c>
      <c r="F1369" s="25">
        <v>256</v>
      </c>
      <c r="G1369" s="25">
        <v>222</v>
      </c>
      <c r="H1369" s="27">
        <v>0</v>
      </c>
      <c r="I1369" s="27">
        <v>0</v>
      </c>
      <c r="J1369" s="27">
        <v>0</v>
      </c>
      <c r="K1369" s="27">
        <v>0</v>
      </c>
      <c r="L1369" s="27">
        <v>1</v>
      </c>
      <c r="M1369" s="27">
        <v>0</v>
      </c>
      <c r="N1369" s="27">
        <v>0</v>
      </c>
      <c r="O1369" s="27">
        <v>0</v>
      </c>
      <c r="P1369" s="25">
        <v>700</v>
      </c>
      <c r="Q1369" s="25">
        <v>560</v>
      </c>
      <c r="R1369" s="25" t="s">
        <v>87</v>
      </c>
      <c r="S1369" s="25" t="s">
        <v>89</v>
      </c>
      <c r="T1369" s="25">
        <v>0</v>
      </c>
      <c r="U1369" s="25">
        <v>0</v>
      </c>
      <c r="V1369" s="25">
        <v>0</v>
      </c>
      <c r="W1369" s="25">
        <v>0</v>
      </c>
      <c r="X1369" s="25">
        <v>1</v>
      </c>
      <c r="Y1369" s="25">
        <v>0</v>
      </c>
      <c r="Z1369" s="25">
        <v>0</v>
      </c>
      <c r="AA1369" s="25">
        <v>0</v>
      </c>
      <c r="AB1369" s="25">
        <v>0</v>
      </c>
      <c r="AC1369" s="25">
        <v>0</v>
      </c>
      <c r="AD1369" s="25">
        <v>0</v>
      </c>
      <c r="AE1369" s="25">
        <v>1</v>
      </c>
      <c r="AF1369" s="25" t="s">
        <v>132</v>
      </c>
    </row>
    <row r="1370" spans="1:32" s="25" customFormat="1" x14ac:dyDescent="0.25">
      <c r="A1370" s="25" t="s">
        <v>189</v>
      </c>
      <c r="B1370" s="25">
        <f t="shared" si="36"/>
        <v>11250</v>
      </c>
      <c r="C1370" s="25" t="s">
        <v>12</v>
      </c>
      <c r="D1370" s="25">
        <v>0</v>
      </c>
      <c r="E1370" s="25">
        <v>0</v>
      </c>
      <c r="F1370" s="25">
        <v>256</v>
      </c>
      <c r="G1370" s="25">
        <v>222</v>
      </c>
      <c r="H1370" s="27">
        <v>0</v>
      </c>
      <c r="I1370" s="27">
        <v>0</v>
      </c>
      <c r="J1370" s="27">
        <v>0</v>
      </c>
      <c r="K1370" s="27">
        <v>0</v>
      </c>
      <c r="L1370" s="27">
        <v>1</v>
      </c>
      <c r="M1370" s="27">
        <v>0</v>
      </c>
      <c r="N1370" s="27">
        <v>0</v>
      </c>
      <c r="O1370" s="27">
        <v>0</v>
      </c>
      <c r="P1370" s="25">
        <v>700</v>
      </c>
      <c r="Q1370" s="25">
        <v>560</v>
      </c>
      <c r="R1370" s="25" t="s">
        <v>87</v>
      </c>
      <c r="S1370" s="25" t="s">
        <v>89</v>
      </c>
      <c r="T1370" s="25">
        <v>0</v>
      </c>
      <c r="U1370" s="25">
        <v>0</v>
      </c>
      <c r="V1370" s="25">
        <v>0</v>
      </c>
      <c r="W1370" s="25">
        <v>0</v>
      </c>
      <c r="X1370" s="25">
        <v>1</v>
      </c>
      <c r="Y1370" s="25">
        <v>0</v>
      </c>
      <c r="Z1370" s="25">
        <v>0</v>
      </c>
      <c r="AA1370" s="25">
        <v>0</v>
      </c>
      <c r="AB1370" s="25">
        <v>0</v>
      </c>
      <c r="AC1370" s="25">
        <v>0</v>
      </c>
      <c r="AD1370" s="25">
        <v>0</v>
      </c>
      <c r="AE1370" s="25">
        <v>1</v>
      </c>
      <c r="AF1370" s="25" t="s">
        <v>132</v>
      </c>
    </row>
    <row r="1371" spans="1:32" s="25" customFormat="1" x14ac:dyDescent="0.25">
      <c r="A1371" s="25" t="s">
        <v>189</v>
      </c>
      <c r="B1371" s="25">
        <f t="shared" si="36"/>
        <v>11260</v>
      </c>
      <c r="C1371" s="25" t="s">
        <v>12</v>
      </c>
      <c r="D1371" s="25">
        <v>0</v>
      </c>
      <c r="E1371" s="25">
        <v>0</v>
      </c>
      <c r="F1371" s="25">
        <v>256</v>
      </c>
      <c r="G1371" s="25">
        <v>222</v>
      </c>
      <c r="H1371" s="27">
        <v>0</v>
      </c>
      <c r="I1371" s="27">
        <v>0</v>
      </c>
      <c r="J1371" s="27">
        <v>0</v>
      </c>
      <c r="K1371" s="27">
        <v>0</v>
      </c>
      <c r="L1371" s="27">
        <v>1</v>
      </c>
      <c r="M1371" s="27">
        <v>0</v>
      </c>
      <c r="N1371" s="27">
        <v>0</v>
      </c>
      <c r="O1371" s="27">
        <v>0</v>
      </c>
      <c r="P1371" s="25">
        <v>700</v>
      </c>
      <c r="Q1371" s="25">
        <v>560</v>
      </c>
      <c r="R1371" s="25" t="s">
        <v>87</v>
      </c>
      <c r="S1371" s="25" t="s">
        <v>89</v>
      </c>
      <c r="T1371" s="25">
        <v>0</v>
      </c>
      <c r="U1371" s="25">
        <v>0</v>
      </c>
      <c r="V1371" s="25">
        <v>0</v>
      </c>
      <c r="W1371" s="25">
        <v>0</v>
      </c>
      <c r="X1371" s="25">
        <v>1</v>
      </c>
      <c r="Y1371" s="25">
        <v>0</v>
      </c>
      <c r="Z1371" s="25">
        <v>0</v>
      </c>
      <c r="AA1371" s="25">
        <v>0</v>
      </c>
      <c r="AB1371" s="25">
        <v>0</v>
      </c>
      <c r="AC1371" s="25">
        <v>0</v>
      </c>
      <c r="AD1371" s="25">
        <v>0</v>
      </c>
      <c r="AE1371" s="25">
        <v>1</v>
      </c>
      <c r="AF1371" s="25" t="s">
        <v>132</v>
      </c>
    </row>
    <row r="1372" spans="1:32" x14ac:dyDescent="0.25">
      <c r="A1372" t="s">
        <v>189</v>
      </c>
      <c r="B1372" s="25">
        <f t="shared" si="36"/>
        <v>11270</v>
      </c>
      <c r="C1372" t="s">
        <v>12</v>
      </c>
      <c r="D1372">
        <v>0</v>
      </c>
      <c r="E1372">
        <v>0</v>
      </c>
      <c r="F1372">
        <v>256</v>
      </c>
      <c r="G1372">
        <v>222</v>
      </c>
      <c r="H1372" s="27">
        <v>0</v>
      </c>
      <c r="I1372" s="27">
        <v>0</v>
      </c>
      <c r="J1372" s="27">
        <v>0</v>
      </c>
      <c r="K1372" s="27">
        <v>0</v>
      </c>
      <c r="L1372" s="27">
        <v>1</v>
      </c>
      <c r="M1372" s="27">
        <v>0</v>
      </c>
      <c r="N1372" s="27">
        <v>0</v>
      </c>
      <c r="O1372" s="27">
        <v>0</v>
      </c>
      <c r="P1372">
        <v>700</v>
      </c>
      <c r="Q1372">
        <v>560</v>
      </c>
      <c r="R1372" t="s">
        <v>87</v>
      </c>
      <c r="S1372" t="s">
        <v>89</v>
      </c>
      <c r="T1372">
        <v>0</v>
      </c>
      <c r="U1372">
        <v>0</v>
      </c>
      <c r="V1372">
        <v>0</v>
      </c>
      <c r="W1372">
        <v>0</v>
      </c>
      <c r="X1372">
        <v>1</v>
      </c>
      <c r="Y1372">
        <v>0</v>
      </c>
      <c r="Z1372">
        <v>0</v>
      </c>
      <c r="AA1372">
        <v>0</v>
      </c>
      <c r="AB1372">
        <v>0</v>
      </c>
      <c r="AC1372">
        <v>0</v>
      </c>
      <c r="AD1372">
        <v>0</v>
      </c>
      <c r="AE1372">
        <v>1</v>
      </c>
      <c r="AF1372" t="s">
        <v>132</v>
      </c>
    </row>
    <row r="1373" spans="1:32" x14ac:dyDescent="0.25">
      <c r="A1373" t="s">
        <v>189</v>
      </c>
      <c r="B1373" s="25">
        <f t="shared" si="36"/>
        <v>11280</v>
      </c>
      <c r="C1373" t="s">
        <v>12</v>
      </c>
      <c r="D1373" t="s">
        <v>13</v>
      </c>
      <c r="E1373" t="s">
        <v>13</v>
      </c>
      <c r="F1373" t="s">
        <v>13</v>
      </c>
      <c r="G1373" t="s">
        <v>13</v>
      </c>
      <c r="H1373" s="27" t="s">
        <v>13</v>
      </c>
      <c r="I1373" s="27" t="s">
        <v>13</v>
      </c>
      <c r="J1373" s="27" t="s">
        <v>13</v>
      </c>
      <c r="K1373" s="27" t="s">
        <v>13</v>
      </c>
      <c r="L1373" s="27" t="s">
        <v>13</v>
      </c>
      <c r="M1373" s="27" t="s">
        <v>13</v>
      </c>
      <c r="N1373" s="27" t="s">
        <v>13</v>
      </c>
      <c r="O1373" s="27" t="s">
        <v>13</v>
      </c>
      <c r="P1373">
        <v>700</v>
      </c>
      <c r="Q1373">
        <v>560</v>
      </c>
      <c r="R1373" t="s">
        <v>87</v>
      </c>
      <c r="S1373" t="s">
        <v>89</v>
      </c>
      <c r="T1373">
        <v>0</v>
      </c>
      <c r="U1373">
        <v>0</v>
      </c>
      <c r="V1373">
        <v>0</v>
      </c>
      <c r="W1373">
        <v>0</v>
      </c>
      <c r="X1373">
        <v>1</v>
      </c>
      <c r="Y1373">
        <v>0</v>
      </c>
      <c r="Z1373">
        <v>0</v>
      </c>
      <c r="AA1373">
        <v>0</v>
      </c>
      <c r="AB1373">
        <v>0</v>
      </c>
      <c r="AC1373">
        <v>0</v>
      </c>
      <c r="AD1373">
        <v>0</v>
      </c>
      <c r="AE1373">
        <v>1</v>
      </c>
      <c r="AF1373" t="s">
        <v>128</v>
      </c>
    </row>
    <row r="1374" spans="1:32" x14ac:dyDescent="0.25">
      <c r="A1374" t="s">
        <v>189</v>
      </c>
      <c r="B1374" s="25">
        <f t="shared" si="36"/>
        <v>11290</v>
      </c>
      <c r="C1374" t="s">
        <v>12</v>
      </c>
      <c r="D1374" t="s">
        <v>13</v>
      </c>
      <c r="E1374" t="s">
        <v>13</v>
      </c>
      <c r="F1374" t="s">
        <v>13</v>
      </c>
      <c r="G1374" t="s">
        <v>13</v>
      </c>
      <c r="H1374" s="27" t="s">
        <v>13</v>
      </c>
      <c r="I1374" s="27" t="s">
        <v>13</v>
      </c>
      <c r="J1374" s="27" t="s">
        <v>13</v>
      </c>
      <c r="K1374" s="27" t="s">
        <v>13</v>
      </c>
      <c r="L1374" s="27" t="s">
        <v>13</v>
      </c>
      <c r="M1374" s="27" t="s">
        <v>13</v>
      </c>
      <c r="N1374" s="27" t="s">
        <v>13</v>
      </c>
      <c r="O1374" s="27" t="s">
        <v>13</v>
      </c>
      <c r="P1374">
        <v>700</v>
      </c>
      <c r="Q1374">
        <v>560</v>
      </c>
      <c r="R1374" t="s">
        <v>87</v>
      </c>
      <c r="S1374" t="s">
        <v>89</v>
      </c>
      <c r="T1374">
        <v>0</v>
      </c>
      <c r="U1374">
        <v>0</v>
      </c>
      <c r="V1374">
        <v>0</v>
      </c>
      <c r="W1374">
        <v>0</v>
      </c>
      <c r="X1374">
        <v>1</v>
      </c>
      <c r="Y1374">
        <v>0</v>
      </c>
      <c r="Z1374">
        <v>0</v>
      </c>
      <c r="AA1374">
        <v>0</v>
      </c>
      <c r="AB1374">
        <v>0</v>
      </c>
      <c r="AC1374">
        <v>0</v>
      </c>
      <c r="AD1374">
        <v>0</v>
      </c>
      <c r="AE1374">
        <v>1</v>
      </c>
      <c r="AF1374" t="s">
        <v>129</v>
      </c>
    </row>
    <row r="1375" spans="1:32" x14ac:dyDescent="0.25">
      <c r="A1375" t="s">
        <v>189</v>
      </c>
      <c r="B1375" s="25">
        <f t="shared" si="36"/>
        <v>11300</v>
      </c>
      <c r="C1375" t="s">
        <v>12</v>
      </c>
      <c r="D1375" t="s">
        <v>13</v>
      </c>
      <c r="E1375" t="s">
        <v>13</v>
      </c>
      <c r="F1375" t="s">
        <v>13</v>
      </c>
      <c r="G1375" t="s">
        <v>13</v>
      </c>
      <c r="H1375" s="27" t="s">
        <v>13</v>
      </c>
      <c r="I1375" s="27" t="s">
        <v>13</v>
      </c>
      <c r="J1375" s="27" t="s">
        <v>13</v>
      </c>
      <c r="K1375" s="27" t="s">
        <v>13</v>
      </c>
      <c r="L1375" s="27" t="s">
        <v>13</v>
      </c>
      <c r="M1375" s="27" t="s">
        <v>13</v>
      </c>
      <c r="N1375" s="27" t="s">
        <v>13</v>
      </c>
      <c r="O1375" s="27" t="s">
        <v>13</v>
      </c>
      <c r="P1375">
        <v>700</v>
      </c>
      <c r="Q1375">
        <v>560</v>
      </c>
      <c r="R1375" t="s">
        <v>87</v>
      </c>
      <c r="S1375" t="s">
        <v>89</v>
      </c>
      <c r="T1375">
        <v>0</v>
      </c>
      <c r="U1375">
        <v>0</v>
      </c>
      <c r="V1375">
        <v>0</v>
      </c>
      <c r="W1375">
        <v>0</v>
      </c>
      <c r="X1375">
        <v>1</v>
      </c>
      <c r="Y1375">
        <v>0</v>
      </c>
      <c r="Z1375">
        <v>0</v>
      </c>
      <c r="AA1375">
        <v>0</v>
      </c>
      <c r="AB1375">
        <v>0</v>
      </c>
      <c r="AC1375">
        <v>0</v>
      </c>
      <c r="AD1375">
        <v>0</v>
      </c>
      <c r="AE1375">
        <v>1</v>
      </c>
      <c r="AF1375" t="s">
        <v>130</v>
      </c>
    </row>
    <row r="1376" spans="1:32" x14ac:dyDescent="0.25">
      <c r="A1376" t="s">
        <v>189</v>
      </c>
      <c r="B1376" s="25">
        <f t="shared" si="36"/>
        <v>11310</v>
      </c>
      <c r="C1376" t="s">
        <v>12</v>
      </c>
      <c r="D1376">
        <v>0</v>
      </c>
      <c r="E1376">
        <v>0</v>
      </c>
      <c r="F1376">
        <v>256</v>
      </c>
      <c r="G1376">
        <v>222</v>
      </c>
      <c r="H1376" s="27">
        <v>0</v>
      </c>
      <c r="I1376" s="27">
        <v>0</v>
      </c>
      <c r="J1376" s="27">
        <v>0</v>
      </c>
      <c r="K1376" s="27">
        <v>0</v>
      </c>
      <c r="L1376" s="27">
        <v>1</v>
      </c>
      <c r="M1376" s="27">
        <v>0</v>
      </c>
      <c r="N1376" s="27">
        <v>0</v>
      </c>
      <c r="O1376" s="27">
        <v>0</v>
      </c>
      <c r="P1376">
        <v>700</v>
      </c>
      <c r="Q1376">
        <v>560</v>
      </c>
      <c r="R1376" t="s">
        <v>87</v>
      </c>
      <c r="S1376" t="s">
        <v>89</v>
      </c>
      <c r="T1376">
        <v>0</v>
      </c>
      <c r="U1376">
        <v>0</v>
      </c>
      <c r="V1376">
        <v>0</v>
      </c>
      <c r="W1376">
        <v>0</v>
      </c>
      <c r="X1376">
        <v>1</v>
      </c>
      <c r="Y1376">
        <v>0</v>
      </c>
      <c r="Z1376">
        <v>0</v>
      </c>
      <c r="AA1376">
        <v>0</v>
      </c>
      <c r="AB1376">
        <v>0</v>
      </c>
      <c r="AC1376">
        <v>0</v>
      </c>
      <c r="AD1376">
        <v>0</v>
      </c>
      <c r="AE1376">
        <v>1</v>
      </c>
      <c r="AF1376" t="s">
        <v>131</v>
      </c>
    </row>
    <row r="1377" spans="1:32" s="25" customFormat="1" x14ac:dyDescent="0.25">
      <c r="A1377" s="25" t="s">
        <v>189</v>
      </c>
      <c r="B1377" s="25">
        <f t="shared" ref="B1377:B1427" si="37">B1376+10</f>
        <v>11320</v>
      </c>
      <c r="C1377" s="25" t="s">
        <v>12</v>
      </c>
      <c r="D1377" s="25">
        <v>0</v>
      </c>
      <c r="E1377" s="25">
        <v>0</v>
      </c>
      <c r="F1377" s="25">
        <v>256</v>
      </c>
      <c r="G1377" s="25">
        <v>222</v>
      </c>
      <c r="H1377" s="27">
        <v>0</v>
      </c>
      <c r="I1377" s="27">
        <v>0</v>
      </c>
      <c r="J1377" s="27">
        <v>0</v>
      </c>
      <c r="K1377" s="27">
        <v>0</v>
      </c>
      <c r="L1377" s="27">
        <v>1</v>
      </c>
      <c r="M1377" s="27">
        <v>0</v>
      </c>
      <c r="N1377" s="27">
        <v>0</v>
      </c>
      <c r="O1377" s="27">
        <v>0</v>
      </c>
      <c r="P1377" s="25">
        <v>700</v>
      </c>
      <c r="Q1377" s="25">
        <v>560</v>
      </c>
      <c r="R1377" s="25" t="s">
        <v>87</v>
      </c>
      <c r="S1377" s="25" t="s">
        <v>89</v>
      </c>
      <c r="T1377" s="25">
        <v>0</v>
      </c>
      <c r="U1377" s="25">
        <v>0</v>
      </c>
      <c r="V1377" s="25">
        <v>0</v>
      </c>
      <c r="W1377" s="25">
        <v>0</v>
      </c>
      <c r="X1377" s="25">
        <v>1</v>
      </c>
      <c r="Y1377" s="25">
        <v>0</v>
      </c>
      <c r="Z1377" s="25">
        <v>0</v>
      </c>
      <c r="AA1377" s="25">
        <v>0</v>
      </c>
      <c r="AB1377" s="25">
        <v>0</v>
      </c>
      <c r="AC1377" s="25">
        <v>0</v>
      </c>
      <c r="AD1377" s="25">
        <v>0</v>
      </c>
      <c r="AE1377" s="25">
        <v>1</v>
      </c>
      <c r="AF1377" s="25" t="s">
        <v>131</v>
      </c>
    </row>
    <row r="1378" spans="1:32" s="25" customFormat="1" x14ac:dyDescent="0.25">
      <c r="A1378" s="25" t="s">
        <v>189</v>
      </c>
      <c r="B1378" s="25">
        <f t="shared" si="37"/>
        <v>11330</v>
      </c>
      <c r="C1378" s="25" t="s">
        <v>12</v>
      </c>
      <c r="D1378" s="25">
        <v>0</v>
      </c>
      <c r="E1378" s="25">
        <v>0</v>
      </c>
      <c r="F1378" s="25">
        <v>256</v>
      </c>
      <c r="G1378" s="25">
        <v>222</v>
      </c>
      <c r="H1378" s="27">
        <v>0</v>
      </c>
      <c r="I1378" s="27">
        <v>0</v>
      </c>
      <c r="J1378" s="27">
        <v>0</v>
      </c>
      <c r="K1378" s="27">
        <v>0</v>
      </c>
      <c r="L1378" s="27">
        <v>1</v>
      </c>
      <c r="M1378" s="27">
        <v>0</v>
      </c>
      <c r="N1378" s="27">
        <v>0</v>
      </c>
      <c r="O1378" s="27">
        <v>0</v>
      </c>
      <c r="P1378" s="25">
        <v>700</v>
      </c>
      <c r="Q1378" s="25">
        <v>560</v>
      </c>
      <c r="R1378" s="25" t="s">
        <v>87</v>
      </c>
      <c r="S1378" s="25" t="s">
        <v>89</v>
      </c>
      <c r="T1378" s="25">
        <v>0</v>
      </c>
      <c r="U1378" s="25">
        <v>0</v>
      </c>
      <c r="V1378" s="25">
        <v>0</v>
      </c>
      <c r="W1378" s="25">
        <v>0</v>
      </c>
      <c r="X1378" s="25">
        <v>1</v>
      </c>
      <c r="Y1378" s="25">
        <v>0</v>
      </c>
      <c r="Z1378" s="25">
        <v>0</v>
      </c>
      <c r="AA1378" s="25">
        <v>0</v>
      </c>
      <c r="AB1378" s="25">
        <v>0</v>
      </c>
      <c r="AC1378" s="25">
        <v>0</v>
      </c>
      <c r="AD1378" s="25">
        <v>0</v>
      </c>
      <c r="AE1378" s="25">
        <v>1</v>
      </c>
      <c r="AF1378" s="25" t="s">
        <v>131</v>
      </c>
    </row>
    <row r="1379" spans="1:32" s="25" customFormat="1" x14ac:dyDescent="0.25">
      <c r="A1379" s="25" t="s">
        <v>189</v>
      </c>
      <c r="B1379" s="25">
        <f t="shared" si="37"/>
        <v>11340</v>
      </c>
      <c r="C1379" s="25" t="s">
        <v>12</v>
      </c>
      <c r="D1379" s="25">
        <v>0</v>
      </c>
      <c r="E1379" s="25">
        <v>0</v>
      </c>
      <c r="F1379" s="25">
        <v>256</v>
      </c>
      <c r="G1379" s="25">
        <v>222</v>
      </c>
      <c r="H1379" s="27">
        <v>0</v>
      </c>
      <c r="I1379" s="27">
        <v>0</v>
      </c>
      <c r="J1379" s="27">
        <v>0</v>
      </c>
      <c r="K1379" s="27">
        <v>0</v>
      </c>
      <c r="L1379" s="27">
        <v>1</v>
      </c>
      <c r="M1379" s="27">
        <v>0</v>
      </c>
      <c r="N1379" s="27">
        <v>0</v>
      </c>
      <c r="O1379" s="27">
        <v>0</v>
      </c>
      <c r="P1379" s="25">
        <v>700</v>
      </c>
      <c r="Q1379" s="25">
        <v>560</v>
      </c>
      <c r="R1379" s="25" t="s">
        <v>87</v>
      </c>
      <c r="S1379" s="25" t="s">
        <v>89</v>
      </c>
      <c r="T1379" s="25">
        <v>0</v>
      </c>
      <c r="U1379" s="25">
        <v>0</v>
      </c>
      <c r="V1379" s="25">
        <v>0</v>
      </c>
      <c r="W1379" s="25">
        <v>0</v>
      </c>
      <c r="X1379" s="25">
        <v>1</v>
      </c>
      <c r="Y1379" s="25">
        <v>0</v>
      </c>
      <c r="Z1379" s="25">
        <v>0</v>
      </c>
      <c r="AA1379" s="25">
        <v>0</v>
      </c>
      <c r="AB1379" s="25">
        <v>0</v>
      </c>
      <c r="AC1379" s="25">
        <v>0</v>
      </c>
      <c r="AD1379" s="25">
        <v>0</v>
      </c>
      <c r="AE1379" s="25">
        <v>1</v>
      </c>
      <c r="AF1379" s="25" t="s">
        <v>131</v>
      </c>
    </row>
    <row r="1380" spans="1:32" s="25" customFormat="1" x14ac:dyDescent="0.25">
      <c r="A1380" s="25" t="s">
        <v>189</v>
      </c>
      <c r="B1380" s="25">
        <f t="shared" si="37"/>
        <v>11350</v>
      </c>
      <c r="C1380" s="25" t="s">
        <v>12</v>
      </c>
      <c r="D1380" s="25">
        <v>0</v>
      </c>
      <c r="E1380" s="25">
        <v>0</v>
      </c>
      <c r="F1380" s="25">
        <v>256</v>
      </c>
      <c r="G1380" s="25">
        <v>222</v>
      </c>
      <c r="H1380" s="27">
        <v>0</v>
      </c>
      <c r="I1380" s="27">
        <v>0</v>
      </c>
      <c r="J1380" s="27">
        <v>0</v>
      </c>
      <c r="K1380" s="27">
        <v>0</v>
      </c>
      <c r="L1380" s="27">
        <v>1</v>
      </c>
      <c r="M1380" s="27">
        <v>0</v>
      </c>
      <c r="N1380" s="27">
        <v>0</v>
      </c>
      <c r="O1380" s="27">
        <v>0</v>
      </c>
      <c r="P1380" s="25">
        <v>700</v>
      </c>
      <c r="Q1380" s="25">
        <v>560</v>
      </c>
      <c r="R1380" s="25" t="s">
        <v>87</v>
      </c>
      <c r="S1380" s="25" t="s">
        <v>89</v>
      </c>
      <c r="T1380" s="25">
        <v>0</v>
      </c>
      <c r="U1380" s="25">
        <v>0</v>
      </c>
      <c r="V1380" s="25">
        <v>0</v>
      </c>
      <c r="W1380" s="25">
        <v>0</v>
      </c>
      <c r="X1380" s="25">
        <v>1</v>
      </c>
      <c r="Y1380" s="25">
        <v>0</v>
      </c>
      <c r="Z1380" s="25">
        <v>0</v>
      </c>
      <c r="AA1380" s="25">
        <v>0</v>
      </c>
      <c r="AB1380" s="25">
        <v>0</v>
      </c>
      <c r="AC1380" s="25">
        <v>0</v>
      </c>
      <c r="AD1380" s="25">
        <v>0</v>
      </c>
      <c r="AE1380" s="25">
        <v>1</v>
      </c>
      <c r="AF1380" s="25" t="s">
        <v>131</v>
      </c>
    </row>
    <row r="1381" spans="1:32" s="25" customFormat="1" x14ac:dyDescent="0.25">
      <c r="A1381" s="25" t="s">
        <v>189</v>
      </c>
      <c r="B1381" s="25">
        <f t="shared" si="37"/>
        <v>11360</v>
      </c>
      <c r="C1381" s="25" t="s">
        <v>12</v>
      </c>
      <c r="D1381" s="25">
        <v>0</v>
      </c>
      <c r="E1381" s="25">
        <v>0</v>
      </c>
      <c r="F1381" s="25">
        <v>256</v>
      </c>
      <c r="G1381" s="25">
        <v>222</v>
      </c>
      <c r="H1381" s="27">
        <v>0</v>
      </c>
      <c r="I1381" s="27">
        <v>0</v>
      </c>
      <c r="J1381" s="27">
        <v>0</v>
      </c>
      <c r="K1381" s="27">
        <v>0</v>
      </c>
      <c r="L1381" s="27">
        <v>1</v>
      </c>
      <c r="M1381" s="27">
        <v>0</v>
      </c>
      <c r="N1381" s="27">
        <v>0</v>
      </c>
      <c r="O1381" s="27">
        <v>0</v>
      </c>
      <c r="P1381" s="25">
        <v>700</v>
      </c>
      <c r="Q1381" s="25">
        <v>560</v>
      </c>
      <c r="R1381" s="25" t="s">
        <v>87</v>
      </c>
      <c r="S1381" s="25" t="s">
        <v>89</v>
      </c>
      <c r="T1381" s="25">
        <v>0</v>
      </c>
      <c r="U1381" s="25">
        <v>0</v>
      </c>
      <c r="V1381" s="25">
        <v>0</v>
      </c>
      <c r="W1381" s="25">
        <v>0</v>
      </c>
      <c r="X1381" s="25">
        <v>1</v>
      </c>
      <c r="Y1381" s="25">
        <v>0</v>
      </c>
      <c r="Z1381" s="25">
        <v>0</v>
      </c>
      <c r="AA1381" s="25">
        <v>0</v>
      </c>
      <c r="AB1381" s="25">
        <v>0</v>
      </c>
      <c r="AC1381" s="25">
        <v>0</v>
      </c>
      <c r="AD1381" s="25">
        <v>0</v>
      </c>
      <c r="AE1381" s="25">
        <v>1</v>
      </c>
      <c r="AF1381" s="25" t="s">
        <v>131</v>
      </c>
    </row>
    <row r="1382" spans="1:32" s="25" customFormat="1" x14ac:dyDescent="0.25">
      <c r="A1382" s="25" t="s">
        <v>189</v>
      </c>
      <c r="B1382" s="25">
        <f t="shared" si="37"/>
        <v>11370</v>
      </c>
      <c r="C1382" s="25" t="s">
        <v>12</v>
      </c>
      <c r="D1382" s="25">
        <v>0</v>
      </c>
      <c r="E1382" s="25">
        <v>0</v>
      </c>
      <c r="F1382" s="25">
        <v>256</v>
      </c>
      <c r="G1382" s="25">
        <v>222</v>
      </c>
      <c r="H1382" s="27">
        <v>0</v>
      </c>
      <c r="I1382" s="27">
        <v>0</v>
      </c>
      <c r="J1382" s="27">
        <v>0</v>
      </c>
      <c r="K1382" s="27">
        <v>0</v>
      </c>
      <c r="L1382" s="27">
        <v>1</v>
      </c>
      <c r="M1382" s="27">
        <v>0</v>
      </c>
      <c r="N1382" s="27">
        <v>0</v>
      </c>
      <c r="O1382" s="27">
        <v>0</v>
      </c>
      <c r="P1382" s="25">
        <v>700</v>
      </c>
      <c r="Q1382" s="25">
        <v>560</v>
      </c>
      <c r="R1382" s="25" t="s">
        <v>87</v>
      </c>
      <c r="S1382" s="25" t="s">
        <v>89</v>
      </c>
      <c r="T1382" s="25">
        <v>0</v>
      </c>
      <c r="U1382" s="25">
        <v>0</v>
      </c>
      <c r="V1382" s="25">
        <v>0</v>
      </c>
      <c r="W1382" s="25">
        <v>0</v>
      </c>
      <c r="X1382" s="25">
        <v>1</v>
      </c>
      <c r="Y1382" s="25">
        <v>0</v>
      </c>
      <c r="Z1382" s="25">
        <v>0</v>
      </c>
      <c r="AA1382" s="25">
        <v>0</v>
      </c>
      <c r="AB1382" s="25">
        <v>0</v>
      </c>
      <c r="AC1382" s="25">
        <v>0</v>
      </c>
      <c r="AD1382" s="25">
        <v>0</v>
      </c>
      <c r="AE1382" s="25">
        <v>1</v>
      </c>
      <c r="AF1382" s="25" t="s">
        <v>131</v>
      </c>
    </row>
    <row r="1383" spans="1:32" s="25" customFormat="1" x14ac:dyDescent="0.25">
      <c r="A1383" s="25" t="s">
        <v>189</v>
      </c>
      <c r="B1383" s="25">
        <f t="shared" si="37"/>
        <v>11380</v>
      </c>
      <c r="C1383" s="25" t="s">
        <v>12</v>
      </c>
      <c r="D1383" s="25">
        <v>0</v>
      </c>
      <c r="E1383" s="25">
        <v>0</v>
      </c>
      <c r="F1383" s="25">
        <v>256</v>
      </c>
      <c r="G1383" s="25">
        <v>222</v>
      </c>
      <c r="H1383" s="27">
        <v>0</v>
      </c>
      <c r="I1383" s="27">
        <v>0</v>
      </c>
      <c r="J1383" s="27">
        <v>0</v>
      </c>
      <c r="K1383" s="27">
        <v>0</v>
      </c>
      <c r="L1383" s="27">
        <v>1</v>
      </c>
      <c r="M1383" s="27">
        <v>0</v>
      </c>
      <c r="N1383" s="27">
        <v>0</v>
      </c>
      <c r="O1383" s="27">
        <v>0</v>
      </c>
      <c r="P1383" s="25">
        <v>700</v>
      </c>
      <c r="Q1383" s="25">
        <v>560</v>
      </c>
      <c r="R1383" s="25" t="s">
        <v>87</v>
      </c>
      <c r="S1383" s="25" t="s">
        <v>89</v>
      </c>
      <c r="T1383" s="25">
        <v>0</v>
      </c>
      <c r="U1383" s="25">
        <v>0</v>
      </c>
      <c r="V1383" s="25">
        <v>0</v>
      </c>
      <c r="W1383" s="25">
        <v>0</v>
      </c>
      <c r="X1383" s="25">
        <v>1</v>
      </c>
      <c r="Y1383" s="25">
        <v>0</v>
      </c>
      <c r="Z1383" s="25">
        <v>0</v>
      </c>
      <c r="AA1383" s="25">
        <v>0</v>
      </c>
      <c r="AB1383" s="25">
        <v>0</v>
      </c>
      <c r="AC1383" s="25">
        <v>0</v>
      </c>
      <c r="AD1383" s="25">
        <v>0</v>
      </c>
      <c r="AE1383" s="25">
        <v>1</v>
      </c>
      <c r="AF1383" s="25" t="s">
        <v>131</v>
      </c>
    </row>
    <row r="1384" spans="1:32" s="25" customFormat="1" x14ac:dyDescent="0.25">
      <c r="A1384" s="25" t="s">
        <v>189</v>
      </c>
      <c r="B1384" s="25">
        <f t="shared" si="37"/>
        <v>11390</v>
      </c>
      <c r="C1384" s="25" t="s">
        <v>12</v>
      </c>
      <c r="D1384" s="25">
        <v>0</v>
      </c>
      <c r="E1384" s="25">
        <v>0</v>
      </c>
      <c r="F1384" s="25">
        <v>256</v>
      </c>
      <c r="G1384" s="25">
        <v>222</v>
      </c>
      <c r="H1384" s="27">
        <v>0</v>
      </c>
      <c r="I1384" s="27">
        <v>0</v>
      </c>
      <c r="J1384" s="27">
        <v>0</v>
      </c>
      <c r="K1384" s="27">
        <v>0</v>
      </c>
      <c r="L1384" s="27">
        <v>1</v>
      </c>
      <c r="M1384" s="27">
        <v>0</v>
      </c>
      <c r="N1384" s="27">
        <v>0</v>
      </c>
      <c r="O1384" s="27">
        <v>0</v>
      </c>
      <c r="P1384" s="25">
        <v>700</v>
      </c>
      <c r="Q1384" s="25">
        <v>560</v>
      </c>
      <c r="R1384" s="25" t="s">
        <v>87</v>
      </c>
      <c r="S1384" s="25" t="s">
        <v>89</v>
      </c>
      <c r="T1384" s="25">
        <v>0</v>
      </c>
      <c r="U1384" s="25">
        <v>0</v>
      </c>
      <c r="V1384" s="25">
        <v>0</v>
      </c>
      <c r="W1384" s="25">
        <v>0</v>
      </c>
      <c r="X1384" s="25">
        <v>1</v>
      </c>
      <c r="Y1384" s="25">
        <v>0</v>
      </c>
      <c r="Z1384" s="25">
        <v>0</v>
      </c>
      <c r="AA1384" s="25">
        <v>0</v>
      </c>
      <c r="AB1384" s="25">
        <v>0</v>
      </c>
      <c r="AC1384" s="25">
        <v>0</v>
      </c>
      <c r="AD1384" s="25">
        <v>0</v>
      </c>
      <c r="AE1384" s="25">
        <v>1</v>
      </c>
      <c r="AF1384" s="25" t="s">
        <v>131</v>
      </c>
    </row>
    <row r="1385" spans="1:32" s="25" customFormat="1" x14ac:dyDescent="0.25">
      <c r="A1385" s="25" t="s">
        <v>189</v>
      </c>
      <c r="B1385" s="25">
        <f t="shared" si="37"/>
        <v>11400</v>
      </c>
      <c r="C1385" s="25" t="s">
        <v>12</v>
      </c>
      <c r="D1385" s="25">
        <v>0</v>
      </c>
      <c r="E1385" s="25">
        <v>0</v>
      </c>
      <c r="F1385" s="25">
        <v>256</v>
      </c>
      <c r="G1385" s="25">
        <v>222</v>
      </c>
      <c r="H1385" s="27">
        <v>0</v>
      </c>
      <c r="I1385" s="27">
        <v>0</v>
      </c>
      <c r="J1385" s="27">
        <v>0</v>
      </c>
      <c r="K1385" s="27">
        <v>0</v>
      </c>
      <c r="L1385" s="27">
        <v>1</v>
      </c>
      <c r="M1385" s="27">
        <v>0</v>
      </c>
      <c r="N1385" s="27">
        <v>0</v>
      </c>
      <c r="O1385" s="27">
        <v>0</v>
      </c>
      <c r="P1385" s="25">
        <v>700</v>
      </c>
      <c r="Q1385" s="25">
        <v>560</v>
      </c>
      <c r="R1385" s="25" t="s">
        <v>87</v>
      </c>
      <c r="S1385" s="25" t="s">
        <v>89</v>
      </c>
      <c r="T1385" s="25">
        <v>0</v>
      </c>
      <c r="U1385" s="25">
        <v>0</v>
      </c>
      <c r="V1385" s="25">
        <v>0</v>
      </c>
      <c r="W1385" s="25">
        <v>0</v>
      </c>
      <c r="X1385" s="25">
        <v>1</v>
      </c>
      <c r="Y1385" s="25">
        <v>0</v>
      </c>
      <c r="Z1385" s="25">
        <v>0</v>
      </c>
      <c r="AA1385" s="25">
        <v>0</v>
      </c>
      <c r="AB1385" s="25">
        <v>0</v>
      </c>
      <c r="AC1385" s="25">
        <v>0</v>
      </c>
      <c r="AD1385" s="25">
        <v>0</v>
      </c>
      <c r="AE1385" s="25">
        <v>1</v>
      </c>
      <c r="AF1385" s="25" t="s">
        <v>131</v>
      </c>
    </row>
    <row r="1386" spans="1:32" s="25" customFormat="1" x14ac:dyDescent="0.25">
      <c r="A1386" s="25" t="s">
        <v>189</v>
      </c>
      <c r="B1386" s="25">
        <f t="shared" si="37"/>
        <v>11410</v>
      </c>
      <c r="C1386" s="25" t="s">
        <v>12</v>
      </c>
      <c r="D1386" s="25">
        <v>0</v>
      </c>
      <c r="E1386" s="25">
        <v>0</v>
      </c>
      <c r="F1386" s="25">
        <v>256</v>
      </c>
      <c r="G1386" s="25">
        <v>222</v>
      </c>
      <c r="H1386" s="27">
        <v>0</v>
      </c>
      <c r="I1386" s="27">
        <v>0</v>
      </c>
      <c r="J1386" s="27">
        <v>0</v>
      </c>
      <c r="K1386" s="27">
        <v>0</v>
      </c>
      <c r="L1386" s="27">
        <v>1</v>
      </c>
      <c r="M1386" s="27">
        <v>0</v>
      </c>
      <c r="N1386" s="27">
        <v>0</v>
      </c>
      <c r="O1386" s="27">
        <v>0</v>
      </c>
      <c r="P1386" s="25">
        <v>700</v>
      </c>
      <c r="Q1386" s="25">
        <v>560</v>
      </c>
      <c r="R1386" s="25" t="s">
        <v>87</v>
      </c>
      <c r="S1386" s="25" t="s">
        <v>89</v>
      </c>
      <c r="T1386" s="25">
        <v>0</v>
      </c>
      <c r="U1386" s="25">
        <v>0</v>
      </c>
      <c r="V1386" s="25">
        <v>0</v>
      </c>
      <c r="W1386" s="25">
        <v>0</v>
      </c>
      <c r="X1386" s="25">
        <v>1</v>
      </c>
      <c r="Y1386" s="25">
        <v>0</v>
      </c>
      <c r="Z1386" s="25">
        <v>0</v>
      </c>
      <c r="AA1386" s="25">
        <v>0</v>
      </c>
      <c r="AB1386" s="25">
        <v>0</v>
      </c>
      <c r="AC1386" s="25">
        <v>0</v>
      </c>
      <c r="AD1386" s="25">
        <v>0</v>
      </c>
      <c r="AE1386" s="25">
        <v>1</v>
      </c>
      <c r="AF1386" s="25" t="s">
        <v>131</v>
      </c>
    </row>
    <row r="1387" spans="1:32" s="25" customFormat="1" x14ac:dyDescent="0.25">
      <c r="A1387" s="25" t="s">
        <v>189</v>
      </c>
      <c r="B1387" s="25">
        <f t="shared" si="37"/>
        <v>11420</v>
      </c>
      <c r="C1387" s="25" t="s">
        <v>12</v>
      </c>
      <c r="D1387" s="25">
        <v>0</v>
      </c>
      <c r="E1387" s="25">
        <v>0</v>
      </c>
      <c r="F1387" s="25">
        <v>256</v>
      </c>
      <c r="G1387" s="25">
        <v>222</v>
      </c>
      <c r="H1387" s="27">
        <v>0</v>
      </c>
      <c r="I1387" s="27">
        <v>0</v>
      </c>
      <c r="J1387" s="27">
        <v>0</v>
      </c>
      <c r="K1387" s="27">
        <v>0</v>
      </c>
      <c r="L1387" s="27">
        <v>1</v>
      </c>
      <c r="M1387" s="27">
        <v>0</v>
      </c>
      <c r="N1387" s="27">
        <v>0</v>
      </c>
      <c r="O1387" s="27">
        <v>0</v>
      </c>
      <c r="P1387" s="25">
        <v>700</v>
      </c>
      <c r="Q1387" s="25">
        <v>560</v>
      </c>
      <c r="R1387" s="25" t="s">
        <v>87</v>
      </c>
      <c r="S1387" s="25" t="s">
        <v>89</v>
      </c>
      <c r="T1387" s="25">
        <v>0</v>
      </c>
      <c r="U1387" s="25">
        <v>0</v>
      </c>
      <c r="V1387" s="25">
        <v>0</v>
      </c>
      <c r="W1387" s="25">
        <v>0</v>
      </c>
      <c r="X1387" s="25">
        <v>1</v>
      </c>
      <c r="Y1387" s="25">
        <v>0</v>
      </c>
      <c r="Z1387" s="25">
        <v>0</v>
      </c>
      <c r="AA1387" s="25">
        <v>0</v>
      </c>
      <c r="AB1387" s="25">
        <v>0</v>
      </c>
      <c r="AC1387" s="25">
        <v>0</v>
      </c>
      <c r="AD1387" s="25">
        <v>0</v>
      </c>
      <c r="AE1387" s="25">
        <v>1</v>
      </c>
      <c r="AF1387" s="25" t="s">
        <v>131</v>
      </c>
    </row>
    <row r="1388" spans="1:32" s="25" customFormat="1" x14ac:dyDescent="0.25">
      <c r="A1388" s="25" t="s">
        <v>189</v>
      </c>
      <c r="B1388" s="25">
        <f t="shared" si="37"/>
        <v>11430</v>
      </c>
      <c r="C1388" s="25" t="s">
        <v>12</v>
      </c>
      <c r="D1388" s="25">
        <v>0</v>
      </c>
      <c r="E1388" s="25">
        <v>0</v>
      </c>
      <c r="F1388" s="25">
        <v>256</v>
      </c>
      <c r="G1388" s="25">
        <v>222</v>
      </c>
      <c r="H1388" s="27">
        <v>0</v>
      </c>
      <c r="I1388" s="27">
        <v>0</v>
      </c>
      <c r="J1388" s="27">
        <v>0</v>
      </c>
      <c r="K1388" s="27">
        <v>0</v>
      </c>
      <c r="L1388" s="27">
        <v>1</v>
      </c>
      <c r="M1388" s="27">
        <v>0</v>
      </c>
      <c r="N1388" s="27">
        <v>0</v>
      </c>
      <c r="O1388" s="27">
        <v>0</v>
      </c>
      <c r="P1388" s="25">
        <v>700</v>
      </c>
      <c r="Q1388" s="25">
        <v>560</v>
      </c>
      <c r="R1388" s="25" t="s">
        <v>87</v>
      </c>
      <c r="S1388" s="25" t="s">
        <v>89</v>
      </c>
      <c r="T1388" s="25">
        <v>0</v>
      </c>
      <c r="U1388" s="25">
        <v>0</v>
      </c>
      <c r="V1388" s="25">
        <v>0</v>
      </c>
      <c r="W1388" s="25">
        <v>0</v>
      </c>
      <c r="X1388" s="25">
        <v>1</v>
      </c>
      <c r="Y1388" s="25">
        <v>0</v>
      </c>
      <c r="Z1388" s="25">
        <v>0</v>
      </c>
      <c r="AA1388" s="25">
        <v>0</v>
      </c>
      <c r="AB1388" s="25">
        <v>0</v>
      </c>
      <c r="AC1388" s="25">
        <v>0</v>
      </c>
      <c r="AD1388" s="25">
        <v>0</v>
      </c>
      <c r="AE1388" s="25">
        <v>1</v>
      </c>
      <c r="AF1388" s="25" t="s">
        <v>131</v>
      </c>
    </row>
    <row r="1389" spans="1:32" s="25" customFormat="1" x14ac:dyDescent="0.25">
      <c r="A1389" s="25" t="s">
        <v>189</v>
      </c>
      <c r="B1389" s="25">
        <f t="shared" si="37"/>
        <v>11440</v>
      </c>
      <c r="C1389" s="25" t="s">
        <v>12</v>
      </c>
      <c r="D1389" s="25">
        <v>0</v>
      </c>
      <c r="E1389" s="25">
        <v>0</v>
      </c>
      <c r="F1389" s="25">
        <v>256</v>
      </c>
      <c r="G1389" s="25">
        <v>222</v>
      </c>
      <c r="H1389" s="27">
        <v>0</v>
      </c>
      <c r="I1389" s="27">
        <v>0</v>
      </c>
      <c r="J1389" s="27">
        <v>0</v>
      </c>
      <c r="K1389" s="27">
        <v>0</v>
      </c>
      <c r="L1389" s="27">
        <v>1</v>
      </c>
      <c r="M1389" s="27">
        <v>0</v>
      </c>
      <c r="N1389" s="27">
        <v>0</v>
      </c>
      <c r="O1389" s="27">
        <v>0</v>
      </c>
      <c r="P1389" s="25">
        <v>700</v>
      </c>
      <c r="Q1389" s="25">
        <v>560</v>
      </c>
      <c r="R1389" s="25" t="s">
        <v>87</v>
      </c>
      <c r="S1389" s="25" t="s">
        <v>89</v>
      </c>
      <c r="T1389" s="25">
        <v>0</v>
      </c>
      <c r="U1389" s="25">
        <v>0</v>
      </c>
      <c r="V1389" s="25">
        <v>0</v>
      </c>
      <c r="W1389" s="25">
        <v>0</v>
      </c>
      <c r="X1389" s="25">
        <v>1</v>
      </c>
      <c r="Y1389" s="25">
        <v>0</v>
      </c>
      <c r="Z1389" s="25">
        <v>0</v>
      </c>
      <c r="AA1389" s="25">
        <v>0</v>
      </c>
      <c r="AB1389" s="25">
        <v>0</v>
      </c>
      <c r="AC1389" s="25">
        <v>0</v>
      </c>
      <c r="AD1389" s="25">
        <v>0</v>
      </c>
      <c r="AE1389" s="25">
        <v>1</v>
      </c>
      <c r="AF1389" s="25" t="s">
        <v>131</v>
      </c>
    </row>
    <row r="1390" spans="1:32" s="25" customFormat="1" x14ac:dyDescent="0.25">
      <c r="A1390" s="25" t="s">
        <v>189</v>
      </c>
      <c r="B1390" s="25">
        <f t="shared" si="37"/>
        <v>11450</v>
      </c>
      <c r="C1390" s="25" t="s">
        <v>12</v>
      </c>
      <c r="D1390" s="25">
        <v>0</v>
      </c>
      <c r="E1390" s="25">
        <v>0</v>
      </c>
      <c r="F1390" s="25">
        <v>256</v>
      </c>
      <c r="G1390" s="25">
        <v>222</v>
      </c>
      <c r="H1390" s="27">
        <v>0</v>
      </c>
      <c r="I1390" s="27">
        <v>0</v>
      </c>
      <c r="J1390" s="27">
        <v>0</v>
      </c>
      <c r="K1390" s="27">
        <v>0</v>
      </c>
      <c r="L1390" s="27">
        <v>1</v>
      </c>
      <c r="M1390" s="27">
        <v>0</v>
      </c>
      <c r="N1390" s="27">
        <v>0</v>
      </c>
      <c r="O1390" s="27">
        <v>0</v>
      </c>
      <c r="P1390" s="25">
        <v>700</v>
      </c>
      <c r="Q1390" s="25">
        <v>560</v>
      </c>
      <c r="R1390" s="25" t="s">
        <v>87</v>
      </c>
      <c r="S1390" s="25" t="s">
        <v>89</v>
      </c>
      <c r="T1390" s="25">
        <v>0</v>
      </c>
      <c r="U1390" s="25">
        <v>0</v>
      </c>
      <c r="V1390" s="25">
        <v>0</v>
      </c>
      <c r="W1390" s="25">
        <v>0</v>
      </c>
      <c r="X1390" s="25">
        <v>1</v>
      </c>
      <c r="Y1390" s="25">
        <v>0</v>
      </c>
      <c r="Z1390" s="25">
        <v>0</v>
      </c>
      <c r="AA1390" s="25">
        <v>0</v>
      </c>
      <c r="AB1390" s="25">
        <v>0</v>
      </c>
      <c r="AC1390" s="25">
        <v>0</v>
      </c>
      <c r="AD1390" s="25">
        <v>0</v>
      </c>
      <c r="AE1390" s="25">
        <v>1</v>
      </c>
      <c r="AF1390" s="25" t="s">
        <v>131</v>
      </c>
    </row>
    <row r="1391" spans="1:32" s="25" customFormat="1" x14ac:dyDescent="0.25">
      <c r="A1391" s="25" t="s">
        <v>189</v>
      </c>
      <c r="B1391" s="25">
        <f t="shared" si="37"/>
        <v>11460</v>
      </c>
      <c r="C1391" s="25" t="s">
        <v>12</v>
      </c>
      <c r="D1391" s="25">
        <v>0</v>
      </c>
      <c r="E1391" s="25">
        <v>0</v>
      </c>
      <c r="F1391" s="25">
        <v>256</v>
      </c>
      <c r="G1391" s="25">
        <v>222</v>
      </c>
      <c r="H1391" s="27">
        <v>0</v>
      </c>
      <c r="I1391" s="27">
        <v>0</v>
      </c>
      <c r="J1391" s="27">
        <v>0</v>
      </c>
      <c r="K1391" s="27">
        <v>0</v>
      </c>
      <c r="L1391" s="27">
        <v>1</v>
      </c>
      <c r="M1391" s="27">
        <v>0</v>
      </c>
      <c r="N1391" s="27">
        <v>0</v>
      </c>
      <c r="O1391" s="27">
        <v>0</v>
      </c>
      <c r="P1391" s="25">
        <v>700</v>
      </c>
      <c r="Q1391" s="25">
        <v>560</v>
      </c>
      <c r="R1391" s="25" t="s">
        <v>87</v>
      </c>
      <c r="S1391" s="25" t="s">
        <v>89</v>
      </c>
      <c r="T1391" s="25">
        <v>0</v>
      </c>
      <c r="U1391" s="25">
        <v>0</v>
      </c>
      <c r="V1391" s="25">
        <v>0</v>
      </c>
      <c r="W1391" s="25">
        <v>0</v>
      </c>
      <c r="X1391" s="25">
        <v>1</v>
      </c>
      <c r="Y1391" s="25">
        <v>0</v>
      </c>
      <c r="Z1391" s="25">
        <v>0</v>
      </c>
      <c r="AA1391" s="25">
        <v>0</v>
      </c>
      <c r="AB1391" s="25">
        <v>0</v>
      </c>
      <c r="AC1391" s="25">
        <v>0</v>
      </c>
      <c r="AD1391" s="25">
        <v>0</v>
      </c>
      <c r="AE1391" s="25">
        <v>1</v>
      </c>
      <c r="AF1391" s="25" t="s">
        <v>131</v>
      </c>
    </row>
    <row r="1392" spans="1:32" s="25" customFormat="1" x14ac:dyDescent="0.25">
      <c r="A1392" s="25" t="s">
        <v>189</v>
      </c>
      <c r="B1392" s="25">
        <f t="shared" si="37"/>
        <v>11470</v>
      </c>
      <c r="C1392" s="25" t="s">
        <v>12</v>
      </c>
      <c r="D1392" s="25">
        <v>0</v>
      </c>
      <c r="E1392" s="25">
        <v>0</v>
      </c>
      <c r="F1392" s="25">
        <v>256</v>
      </c>
      <c r="G1392" s="25">
        <v>222</v>
      </c>
      <c r="H1392" s="27">
        <v>0</v>
      </c>
      <c r="I1392" s="27">
        <v>0</v>
      </c>
      <c r="J1392" s="27">
        <v>0</v>
      </c>
      <c r="K1392" s="27">
        <v>0</v>
      </c>
      <c r="L1392" s="27">
        <v>1</v>
      </c>
      <c r="M1392" s="27">
        <v>0</v>
      </c>
      <c r="N1392" s="27">
        <v>0</v>
      </c>
      <c r="O1392" s="27">
        <v>0</v>
      </c>
      <c r="P1392" s="25">
        <v>700</v>
      </c>
      <c r="Q1392" s="25">
        <v>560</v>
      </c>
      <c r="R1392" s="25" t="s">
        <v>87</v>
      </c>
      <c r="S1392" s="25" t="s">
        <v>89</v>
      </c>
      <c r="T1392" s="25">
        <v>0</v>
      </c>
      <c r="U1392" s="25">
        <v>0</v>
      </c>
      <c r="V1392" s="25">
        <v>0</v>
      </c>
      <c r="W1392" s="25">
        <v>0</v>
      </c>
      <c r="X1392" s="25">
        <v>1</v>
      </c>
      <c r="Y1392" s="25">
        <v>0</v>
      </c>
      <c r="Z1392" s="25">
        <v>0</v>
      </c>
      <c r="AA1392" s="25">
        <v>0</v>
      </c>
      <c r="AB1392" s="25">
        <v>0</v>
      </c>
      <c r="AC1392" s="25">
        <v>0</v>
      </c>
      <c r="AD1392" s="25">
        <v>0</v>
      </c>
      <c r="AE1392" s="25">
        <v>1</v>
      </c>
      <c r="AF1392" s="25" t="s">
        <v>131</v>
      </c>
    </row>
    <row r="1393" spans="1:32" s="25" customFormat="1" x14ac:dyDescent="0.25">
      <c r="A1393" s="25" t="s">
        <v>189</v>
      </c>
      <c r="B1393" s="25">
        <f t="shared" si="37"/>
        <v>11480</v>
      </c>
      <c r="C1393" s="25" t="s">
        <v>12</v>
      </c>
      <c r="D1393" s="25">
        <v>0</v>
      </c>
      <c r="E1393" s="25">
        <v>0</v>
      </c>
      <c r="F1393" s="25">
        <v>256</v>
      </c>
      <c r="G1393" s="25">
        <v>222</v>
      </c>
      <c r="H1393" s="27">
        <v>0</v>
      </c>
      <c r="I1393" s="27">
        <v>0</v>
      </c>
      <c r="J1393" s="27">
        <v>0</v>
      </c>
      <c r="K1393" s="27">
        <v>0</v>
      </c>
      <c r="L1393" s="27">
        <v>1</v>
      </c>
      <c r="M1393" s="27">
        <v>0</v>
      </c>
      <c r="N1393" s="27">
        <v>0</v>
      </c>
      <c r="O1393" s="27">
        <v>0</v>
      </c>
      <c r="P1393" s="25">
        <v>700</v>
      </c>
      <c r="Q1393" s="25">
        <v>560</v>
      </c>
      <c r="R1393" s="25" t="s">
        <v>87</v>
      </c>
      <c r="S1393" s="25" t="s">
        <v>89</v>
      </c>
      <c r="T1393" s="25">
        <v>0</v>
      </c>
      <c r="U1393" s="25">
        <v>0</v>
      </c>
      <c r="V1393" s="25">
        <v>0</v>
      </c>
      <c r="W1393" s="25">
        <v>0</v>
      </c>
      <c r="X1393" s="25">
        <v>1</v>
      </c>
      <c r="Y1393" s="25">
        <v>0</v>
      </c>
      <c r="Z1393" s="25">
        <v>0</v>
      </c>
      <c r="AA1393" s="25">
        <v>0</v>
      </c>
      <c r="AB1393" s="25">
        <v>0</v>
      </c>
      <c r="AC1393" s="25">
        <v>0</v>
      </c>
      <c r="AD1393" s="25">
        <v>0</v>
      </c>
      <c r="AE1393" s="25">
        <v>1</v>
      </c>
      <c r="AF1393" s="25" t="s">
        <v>131</v>
      </c>
    </row>
    <row r="1394" spans="1:32" s="25" customFormat="1" x14ac:dyDescent="0.25">
      <c r="A1394" s="25" t="s">
        <v>189</v>
      </c>
      <c r="B1394" s="25">
        <f t="shared" si="37"/>
        <v>11490</v>
      </c>
      <c r="C1394" s="25" t="s">
        <v>12</v>
      </c>
      <c r="D1394" s="25">
        <v>0</v>
      </c>
      <c r="E1394" s="25">
        <v>0</v>
      </c>
      <c r="F1394" s="25">
        <v>256</v>
      </c>
      <c r="G1394" s="25">
        <v>222</v>
      </c>
      <c r="H1394" s="27">
        <v>0</v>
      </c>
      <c r="I1394" s="27">
        <v>0</v>
      </c>
      <c r="J1394" s="27">
        <v>0</v>
      </c>
      <c r="K1394" s="27">
        <v>0</v>
      </c>
      <c r="L1394" s="27">
        <v>1</v>
      </c>
      <c r="M1394" s="27">
        <v>0</v>
      </c>
      <c r="N1394" s="27">
        <v>0</v>
      </c>
      <c r="O1394" s="27">
        <v>0</v>
      </c>
      <c r="P1394" s="25">
        <v>700</v>
      </c>
      <c r="Q1394" s="25">
        <v>560</v>
      </c>
      <c r="R1394" s="25" t="s">
        <v>87</v>
      </c>
      <c r="S1394" s="25" t="s">
        <v>89</v>
      </c>
      <c r="T1394" s="25">
        <v>0</v>
      </c>
      <c r="U1394" s="25">
        <v>0</v>
      </c>
      <c r="V1394" s="25">
        <v>0</v>
      </c>
      <c r="W1394" s="25">
        <v>0</v>
      </c>
      <c r="X1394" s="25">
        <v>1</v>
      </c>
      <c r="Y1394" s="25">
        <v>0</v>
      </c>
      <c r="Z1394" s="25">
        <v>0</v>
      </c>
      <c r="AA1394" s="25">
        <v>0</v>
      </c>
      <c r="AB1394" s="25">
        <v>0</v>
      </c>
      <c r="AC1394" s="25">
        <v>0</v>
      </c>
      <c r="AD1394" s="25">
        <v>0</v>
      </c>
      <c r="AE1394" s="25">
        <v>1</v>
      </c>
      <c r="AF1394" s="25" t="s">
        <v>131</v>
      </c>
    </row>
    <row r="1395" spans="1:32" s="25" customFormat="1" x14ac:dyDescent="0.25">
      <c r="A1395" s="25" t="s">
        <v>189</v>
      </c>
      <c r="B1395" s="25">
        <f t="shared" si="37"/>
        <v>11500</v>
      </c>
      <c r="C1395" s="25" t="s">
        <v>12</v>
      </c>
      <c r="D1395" s="25">
        <v>0</v>
      </c>
      <c r="E1395" s="25">
        <v>0</v>
      </c>
      <c r="F1395" s="25">
        <v>256</v>
      </c>
      <c r="G1395" s="25">
        <v>222</v>
      </c>
      <c r="H1395" s="27">
        <v>0</v>
      </c>
      <c r="I1395" s="27">
        <v>0</v>
      </c>
      <c r="J1395" s="27">
        <v>0</v>
      </c>
      <c r="K1395" s="27">
        <v>0</v>
      </c>
      <c r="L1395" s="27">
        <v>1</v>
      </c>
      <c r="M1395" s="27">
        <v>0</v>
      </c>
      <c r="N1395" s="27">
        <v>0</v>
      </c>
      <c r="O1395" s="27">
        <v>0</v>
      </c>
      <c r="P1395" s="25">
        <v>700</v>
      </c>
      <c r="Q1395" s="25">
        <v>560</v>
      </c>
      <c r="R1395" s="25" t="s">
        <v>87</v>
      </c>
      <c r="S1395" s="25" t="s">
        <v>89</v>
      </c>
      <c r="T1395" s="25">
        <v>0</v>
      </c>
      <c r="U1395" s="25">
        <v>0</v>
      </c>
      <c r="V1395" s="25">
        <v>0</v>
      </c>
      <c r="W1395" s="25">
        <v>0</v>
      </c>
      <c r="X1395" s="25">
        <v>1</v>
      </c>
      <c r="Y1395" s="25">
        <v>0</v>
      </c>
      <c r="Z1395" s="25">
        <v>0</v>
      </c>
      <c r="AA1395" s="25">
        <v>0</v>
      </c>
      <c r="AB1395" s="25">
        <v>0</v>
      </c>
      <c r="AC1395" s="25">
        <v>0</v>
      </c>
      <c r="AD1395" s="25">
        <v>0</v>
      </c>
      <c r="AE1395" s="25">
        <v>1</v>
      </c>
      <c r="AF1395" s="25" t="s">
        <v>131</v>
      </c>
    </row>
    <row r="1396" spans="1:32" s="25" customFormat="1" x14ac:dyDescent="0.25">
      <c r="A1396" s="25" t="s">
        <v>189</v>
      </c>
      <c r="B1396" s="25">
        <f t="shared" si="37"/>
        <v>11510</v>
      </c>
      <c r="C1396" s="25" t="s">
        <v>12</v>
      </c>
      <c r="D1396" s="25">
        <v>0</v>
      </c>
      <c r="E1396" s="25">
        <v>0</v>
      </c>
      <c r="F1396" s="25">
        <v>256</v>
      </c>
      <c r="G1396" s="25">
        <v>222</v>
      </c>
      <c r="H1396" s="27">
        <v>0</v>
      </c>
      <c r="I1396" s="27">
        <v>0</v>
      </c>
      <c r="J1396" s="27">
        <v>0</v>
      </c>
      <c r="K1396" s="27">
        <v>0</v>
      </c>
      <c r="L1396" s="27">
        <v>1</v>
      </c>
      <c r="M1396" s="27">
        <v>0</v>
      </c>
      <c r="N1396" s="27">
        <v>0</v>
      </c>
      <c r="O1396" s="27">
        <v>0</v>
      </c>
      <c r="P1396" s="25">
        <v>700</v>
      </c>
      <c r="Q1396" s="25">
        <v>560</v>
      </c>
      <c r="R1396" s="25" t="s">
        <v>87</v>
      </c>
      <c r="S1396" s="25" t="s">
        <v>89</v>
      </c>
      <c r="T1396" s="25">
        <v>0</v>
      </c>
      <c r="U1396" s="25">
        <v>0</v>
      </c>
      <c r="V1396" s="25">
        <v>0</v>
      </c>
      <c r="W1396" s="25">
        <v>0</v>
      </c>
      <c r="X1396" s="25">
        <v>1</v>
      </c>
      <c r="Y1396" s="25">
        <v>0</v>
      </c>
      <c r="Z1396" s="25">
        <v>0</v>
      </c>
      <c r="AA1396" s="25">
        <v>0</v>
      </c>
      <c r="AB1396" s="25">
        <v>0</v>
      </c>
      <c r="AC1396" s="25">
        <v>0</v>
      </c>
      <c r="AD1396" s="25">
        <v>0</v>
      </c>
      <c r="AE1396" s="25">
        <v>1</v>
      </c>
      <c r="AF1396" s="25" t="s">
        <v>131</v>
      </c>
    </row>
    <row r="1397" spans="1:32" s="25" customFormat="1" x14ac:dyDescent="0.25">
      <c r="A1397" s="25" t="s">
        <v>189</v>
      </c>
      <c r="B1397" s="25">
        <f t="shared" si="37"/>
        <v>11520</v>
      </c>
      <c r="C1397" s="25" t="s">
        <v>12</v>
      </c>
      <c r="D1397" s="25">
        <v>0</v>
      </c>
      <c r="E1397" s="25">
        <v>0</v>
      </c>
      <c r="F1397" s="25">
        <v>256</v>
      </c>
      <c r="G1397" s="25">
        <v>222</v>
      </c>
      <c r="H1397" s="27">
        <v>0</v>
      </c>
      <c r="I1397" s="27">
        <v>0</v>
      </c>
      <c r="J1397" s="27">
        <v>0</v>
      </c>
      <c r="K1397" s="27">
        <v>0</v>
      </c>
      <c r="L1397" s="27">
        <v>1</v>
      </c>
      <c r="M1397" s="27">
        <v>0</v>
      </c>
      <c r="N1397" s="27">
        <v>0</v>
      </c>
      <c r="O1397" s="27">
        <v>0</v>
      </c>
      <c r="P1397" s="25">
        <v>700</v>
      </c>
      <c r="Q1397" s="25">
        <v>560</v>
      </c>
      <c r="R1397" s="25" t="s">
        <v>87</v>
      </c>
      <c r="S1397" s="25" t="s">
        <v>89</v>
      </c>
      <c r="T1397" s="25">
        <v>0</v>
      </c>
      <c r="U1397" s="25">
        <v>0</v>
      </c>
      <c r="V1397" s="25">
        <v>0</v>
      </c>
      <c r="W1397" s="25">
        <v>0</v>
      </c>
      <c r="X1397" s="25">
        <v>1</v>
      </c>
      <c r="Y1397" s="25">
        <v>0</v>
      </c>
      <c r="Z1397" s="25">
        <v>0</v>
      </c>
      <c r="AA1397" s="25">
        <v>0</v>
      </c>
      <c r="AB1397" s="25">
        <v>0</v>
      </c>
      <c r="AC1397" s="25">
        <v>0</v>
      </c>
      <c r="AD1397" s="25">
        <v>0</v>
      </c>
      <c r="AE1397" s="25">
        <v>1</v>
      </c>
      <c r="AF1397" s="25" t="s">
        <v>131</v>
      </c>
    </row>
    <row r="1398" spans="1:32" s="25" customFormat="1" x14ac:dyDescent="0.25">
      <c r="A1398" s="25" t="s">
        <v>189</v>
      </c>
      <c r="B1398" s="25">
        <f t="shared" si="37"/>
        <v>11530</v>
      </c>
      <c r="C1398" s="25" t="s">
        <v>12</v>
      </c>
      <c r="D1398" s="25">
        <v>0</v>
      </c>
      <c r="E1398" s="25">
        <v>0</v>
      </c>
      <c r="F1398" s="25">
        <v>256</v>
      </c>
      <c r="G1398" s="25">
        <v>222</v>
      </c>
      <c r="H1398" s="27">
        <v>0</v>
      </c>
      <c r="I1398" s="27">
        <v>0</v>
      </c>
      <c r="J1398" s="27">
        <v>0</v>
      </c>
      <c r="K1398" s="27">
        <v>0</v>
      </c>
      <c r="L1398" s="27">
        <v>1</v>
      </c>
      <c r="M1398" s="27">
        <v>0</v>
      </c>
      <c r="N1398" s="27">
        <v>0</v>
      </c>
      <c r="O1398" s="27">
        <v>0</v>
      </c>
      <c r="P1398" s="25">
        <v>700</v>
      </c>
      <c r="Q1398" s="25">
        <v>560</v>
      </c>
      <c r="R1398" s="25" t="s">
        <v>87</v>
      </c>
      <c r="S1398" s="25" t="s">
        <v>89</v>
      </c>
      <c r="T1398" s="25">
        <v>0</v>
      </c>
      <c r="U1398" s="25">
        <v>0</v>
      </c>
      <c r="V1398" s="25">
        <v>0</v>
      </c>
      <c r="W1398" s="25">
        <v>0</v>
      </c>
      <c r="X1398" s="25">
        <v>1</v>
      </c>
      <c r="Y1398" s="25">
        <v>0</v>
      </c>
      <c r="Z1398" s="25">
        <v>0</v>
      </c>
      <c r="AA1398" s="25">
        <v>0</v>
      </c>
      <c r="AB1398" s="25">
        <v>0</v>
      </c>
      <c r="AC1398" s="25">
        <v>0</v>
      </c>
      <c r="AD1398" s="25">
        <v>0</v>
      </c>
      <c r="AE1398" s="25">
        <v>1</v>
      </c>
      <c r="AF1398" s="25" t="s">
        <v>131</v>
      </c>
    </row>
    <row r="1399" spans="1:32" s="25" customFormat="1" x14ac:dyDescent="0.25">
      <c r="A1399" s="25" t="s">
        <v>189</v>
      </c>
      <c r="B1399" s="25">
        <f t="shared" si="37"/>
        <v>11540</v>
      </c>
      <c r="C1399" s="25" t="s">
        <v>12</v>
      </c>
      <c r="D1399" s="25">
        <v>0</v>
      </c>
      <c r="E1399" s="25">
        <v>0</v>
      </c>
      <c r="F1399" s="25">
        <v>256</v>
      </c>
      <c r="G1399" s="25">
        <v>222</v>
      </c>
      <c r="H1399" s="27">
        <v>0</v>
      </c>
      <c r="I1399" s="27">
        <v>0</v>
      </c>
      <c r="J1399" s="27">
        <v>0</v>
      </c>
      <c r="K1399" s="27">
        <v>0</v>
      </c>
      <c r="L1399" s="27">
        <v>1</v>
      </c>
      <c r="M1399" s="27">
        <v>0</v>
      </c>
      <c r="N1399" s="27">
        <v>0</v>
      </c>
      <c r="O1399" s="27">
        <v>0</v>
      </c>
      <c r="P1399" s="25">
        <v>700</v>
      </c>
      <c r="Q1399" s="25">
        <v>560</v>
      </c>
      <c r="R1399" s="25" t="s">
        <v>87</v>
      </c>
      <c r="S1399" s="25" t="s">
        <v>89</v>
      </c>
      <c r="T1399" s="25">
        <v>0</v>
      </c>
      <c r="U1399" s="25">
        <v>0</v>
      </c>
      <c r="V1399" s="25">
        <v>0</v>
      </c>
      <c r="W1399" s="25">
        <v>0</v>
      </c>
      <c r="X1399" s="25">
        <v>1</v>
      </c>
      <c r="Y1399" s="25">
        <v>0</v>
      </c>
      <c r="Z1399" s="25">
        <v>0</v>
      </c>
      <c r="AA1399" s="25">
        <v>0</v>
      </c>
      <c r="AB1399" s="25">
        <v>0</v>
      </c>
      <c r="AC1399" s="25">
        <v>0</v>
      </c>
      <c r="AD1399" s="25">
        <v>0</v>
      </c>
      <c r="AE1399" s="25">
        <v>1</v>
      </c>
      <c r="AF1399" s="25" t="s">
        <v>131</v>
      </c>
    </row>
    <row r="1400" spans="1:32" s="25" customFormat="1" x14ac:dyDescent="0.25">
      <c r="A1400" s="25" t="s">
        <v>189</v>
      </c>
      <c r="B1400" s="25">
        <f t="shared" si="37"/>
        <v>11550</v>
      </c>
      <c r="C1400" s="25" t="s">
        <v>12</v>
      </c>
      <c r="D1400" s="25">
        <v>0</v>
      </c>
      <c r="E1400" s="25">
        <v>0</v>
      </c>
      <c r="F1400" s="25">
        <v>256</v>
      </c>
      <c r="G1400" s="25">
        <v>222</v>
      </c>
      <c r="H1400" s="27">
        <v>0</v>
      </c>
      <c r="I1400" s="27">
        <v>0</v>
      </c>
      <c r="J1400" s="27">
        <v>0</v>
      </c>
      <c r="K1400" s="27">
        <v>0</v>
      </c>
      <c r="L1400" s="27">
        <v>1</v>
      </c>
      <c r="M1400" s="27">
        <v>0</v>
      </c>
      <c r="N1400" s="27">
        <v>0</v>
      </c>
      <c r="O1400" s="27">
        <v>0</v>
      </c>
      <c r="P1400" s="25">
        <v>700</v>
      </c>
      <c r="Q1400" s="25">
        <v>560</v>
      </c>
      <c r="R1400" s="25" t="s">
        <v>87</v>
      </c>
      <c r="S1400" s="25" t="s">
        <v>89</v>
      </c>
      <c r="T1400" s="25">
        <v>0</v>
      </c>
      <c r="U1400" s="25">
        <v>0</v>
      </c>
      <c r="V1400" s="25">
        <v>0</v>
      </c>
      <c r="W1400" s="25">
        <v>0</v>
      </c>
      <c r="X1400" s="25">
        <v>1</v>
      </c>
      <c r="Y1400" s="25">
        <v>0</v>
      </c>
      <c r="Z1400" s="25">
        <v>0</v>
      </c>
      <c r="AA1400" s="25">
        <v>0</v>
      </c>
      <c r="AB1400" s="25">
        <v>0</v>
      </c>
      <c r="AC1400" s="25">
        <v>0</v>
      </c>
      <c r="AD1400" s="25">
        <v>0</v>
      </c>
      <c r="AE1400" s="25">
        <v>1</v>
      </c>
      <c r="AF1400" s="25" t="s">
        <v>131</v>
      </c>
    </row>
    <row r="1401" spans="1:32" s="25" customFormat="1" x14ac:dyDescent="0.25">
      <c r="A1401" s="25" t="s">
        <v>189</v>
      </c>
      <c r="B1401" s="25">
        <f t="shared" si="37"/>
        <v>11560</v>
      </c>
      <c r="C1401" s="25" t="s">
        <v>12</v>
      </c>
      <c r="D1401" s="25">
        <v>0</v>
      </c>
      <c r="E1401" s="25">
        <v>0</v>
      </c>
      <c r="F1401" s="25">
        <v>256</v>
      </c>
      <c r="G1401" s="25">
        <v>222</v>
      </c>
      <c r="H1401" s="27">
        <v>0</v>
      </c>
      <c r="I1401" s="27">
        <v>0</v>
      </c>
      <c r="J1401" s="27">
        <v>0</v>
      </c>
      <c r="K1401" s="27">
        <v>0</v>
      </c>
      <c r="L1401" s="27">
        <v>1</v>
      </c>
      <c r="M1401" s="27">
        <v>0</v>
      </c>
      <c r="N1401" s="27">
        <v>0</v>
      </c>
      <c r="O1401" s="27">
        <v>0</v>
      </c>
      <c r="P1401" s="25">
        <v>700</v>
      </c>
      <c r="Q1401" s="25">
        <v>560</v>
      </c>
      <c r="R1401" s="25" t="s">
        <v>87</v>
      </c>
      <c r="S1401" s="25" t="s">
        <v>89</v>
      </c>
      <c r="T1401" s="25">
        <v>0</v>
      </c>
      <c r="U1401" s="25">
        <v>0</v>
      </c>
      <c r="V1401" s="25">
        <v>0</v>
      </c>
      <c r="W1401" s="25">
        <v>0</v>
      </c>
      <c r="X1401" s="25">
        <v>1</v>
      </c>
      <c r="Y1401" s="25">
        <v>0</v>
      </c>
      <c r="Z1401" s="25">
        <v>0</v>
      </c>
      <c r="AA1401" s="25">
        <v>0</v>
      </c>
      <c r="AB1401" s="25">
        <v>0</v>
      </c>
      <c r="AC1401" s="25">
        <v>0</v>
      </c>
      <c r="AD1401" s="25">
        <v>0</v>
      </c>
      <c r="AE1401" s="25">
        <v>1</v>
      </c>
      <c r="AF1401" s="25" t="s">
        <v>131</v>
      </c>
    </row>
    <row r="1402" spans="1:32" s="25" customFormat="1" x14ac:dyDescent="0.25">
      <c r="A1402" s="25" t="s">
        <v>189</v>
      </c>
      <c r="B1402" s="25">
        <f t="shared" si="37"/>
        <v>11570</v>
      </c>
      <c r="C1402" s="25" t="s">
        <v>12</v>
      </c>
      <c r="D1402" s="25">
        <v>0</v>
      </c>
      <c r="E1402" s="25">
        <v>0</v>
      </c>
      <c r="F1402" s="25">
        <v>256</v>
      </c>
      <c r="G1402" s="25">
        <v>222</v>
      </c>
      <c r="H1402" s="27">
        <v>0</v>
      </c>
      <c r="I1402" s="27">
        <v>0</v>
      </c>
      <c r="J1402" s="27">
        <v>0</v>
      </c>
      <c r="K1402" s="27">
        <v>0</v>
      </c>
      <c r="L1402" s="27">
        <v>1</v>
      </c>
      <c r="M1402" s="27">
        <v>0</v>
      </c>
      <c r="N1402" s="27">
        <v>0</v>
      </c>
      <c r="O1402" s="27">
        <v>0</v>
      </c>
      <c r="P1402" s="25">
        <v>700</v>
      </c>
      <c r="Q1402" s="25">
        <v>560</v>
      </c>
      <c r="R1402" s="25" t="s">
        <v>87</v>
      </c>
      <c r="S1402" s="25" t="s">
        <v>89</v>
      </c>
      <c r="T1402" s="25">
        <v>0</v>
      </c>
      <c r="U1402" s="25">
        <v>0</v>
      </c>
      <c r="V1402" s="25">
        <v>0</v>
      </c>
      <c r="W1402" s="25">
        <v>0</v>
      </c>
      <c r="X1402" s="25">
        <v>1</v>
      </c>
      <c r="Y1402" s="25">
        <v>0</v>
      </c>
      <c r="Z1402" s="25">
        <v>0</v>
      </c>
      <c r="AA1402" s="25">
        <v>0</v>
      </c>
      <c r="AB1402" s="25">
        <v>0</v>
      </c>
      <c r="AC1402" s="25">
        <v>0</v>
      </c>
      <c r="AD1402" s="25">
        <v>0</v>
      </c>
      <c r="AE1402" s="25">
        <v>1</v>
      </c>
      <c r="AF1402" s="25" t="s">
        <v>131</v>
      </c>
    </row>
    <row r="1403" spans="1:32" s="25" customFormat="1" x14ac:dyDescent="0.25">
      <c r="A1403" s="25" t="s">
        <v>189</v>
      </c>
      <c r="B1403" s="25">
        <f t="shared" si="37"/>
        <v>11580</v>
      </c>
      <c r="C1403" s="25" t="s">
        <v>12</v>
      </c>
      <c r="D1403" s="25">
        <v>0</v>
      </c>
      <c r="E1403" s="25">
        <v>0</v>
      </c>
      <c r="F1403" s="25">
        <v>256</v>
      </c>
      <c r="G1403" s="25">
        <v>222</v>
      </c>
      <c r="H1403" s="27">
        <v>0</v>
      </c>
      <c r="I1403" s="27">
        <v>0</v>
      </c>
      <c r="J1403" s="27">
        <v>0</v>
      </c>
      <c r="K1403" s="27">
        <v>0</v>
      </c>
      <c r="L1403" s="27">
        <v>1</v>
      </c>
      <c r="M1403" s="27">
        <v>0</v>
      </c>
      <c r="N1403" s="27">
        <v>0</v>
      </c>
      <c r="O1403" s="27">
        <v>0</v>
      </c>
      <c r="P1403" s="25">
        <v>700</v>
      </c>
      <c r="Q1403" s="25">
        <v>560</v>
      </c>
      <c r="R1403" s="25" t="s">
        <v>87</v>
      </c>
      <c r="S1403" s="25" t="s">
        <v>89</v>
      </c>
      <c r="T1403" s="25">
        <v>0</v>
      </c>
      <c r="U1403" s="25">
        <v>0</v>
      </c>
      <c r="V1403" s="25">
        <v>0</v>
      </c>
      <c r="W1403" s="25">
        <v>0</v>
      </c>
      <c r="X1403" s="25">
        <v>1</v>
      </c>
      <c r="Y1403" s="25">
        <v>0</v>
      </c>
      <c r="Z1403" s="25">
        <v>0</v>
      </c>
      <c r="AA1403" s="25">
        <v>0</v>
      </c>
      <c r="AB1403" s="25">
        <v>0</v>
      </c>
      <c r="AC1403" s="25">
        <v>0</v>
      </c>
      <c r="AD1403" s="25">
        <v>0</v>
      </c>
      <c r="AE1403" s="25">
        <v>1</v>
      </c>
      <c r="AF1403" s="25" t="s">
        <v>131</v>
      </c>
    </row>
    <row r="1404" spans="1:32" s="25" customFormat="1" x14ac:dyDescent="0.25">
      <c r="A1404" s="25" t="s">
        <v>189</v>
      </c>
      <c r="B1404" s="25">
        <f t="shared" si="37"/>
        <v>11590</v>
      </c>
      <c r="C1404" s="25" t="s">
        <v>12</v>
      </c>
      <c r="D1404" s="25">
        <v>0</v>
      </c>
      <c r="E1404" s="25">
        <v>0</v>
      </c>
      <c r="F1404" s="25">
        <v>256</v>
      </c>
      <c r="G1404" s="25">
        <v>222</v>
      </c>
      <c r="H1404" s="27">
        <v>0</v>
      </c>
      <c r="I1404" s="27">
        <v>0</v>
      </c>
      <c r="J1404" s="27">
        <v>0</v>
      </c>
      <c r="K1404" s="27">
        <v>0</v>
      </c>
      <c r="L1404" s="27">
        <v>1</v>
      </c>
      <c r="M1404" s="27">
        <v>0</v>
      </c>
      <c r="N1404" s="27">
        <v>0</v>
      </c>
      <c r="O1404" s="27">
        <v>0</v>
      </c>
      <c r="P1404" s="25">
        <v>700</v>
      </c>
      <c r="Q1404" s="25">
        <v>560</v>
      </c>
      <c r="R1404" s="25" t="s">
        <v>87</v>
      </c>
      <c r="S1404" s="25" t="s">
        <v>89</v>
      </c>
      <c r="T1404" s="25">
        <v>0</v>
      </c>
      <c r="U1404" s="25">
        <v>0</v>
      </c>
      <c r="V1404" s="25">
        <v>0</v>
      </c>
      <c r="W1404" s="25">
        <v>0</v>
      </c>
      <c r="X1404" s="25">
        <v>1</v>
      </c>
      <c r="Y1404" s="25">
        <v>0</v>
      </c>
      <c r="Z1404" s="25">
        <v>0</v>
      </c>
      <c r="AA1404" s="25">
        <v>0</v>
      </c>
      <c r="AB1404" s="25">
        <v>0</v>
      </c>
      <c r="AC1404" s="25">
        <v>0</v>
      </c>
      <c r="AD1404" s="25">
        <v>0</v>
      </c>
      <c r="AE1404" s="25">
        <v>1</v>
      </c>
      <c r="AF1404" s="25" t="s">
        <v>131</v>
      </c>
    </row>
    <row r="1405" spans="1:32" s="25" customFormat="1" x14ac:dyDescent="0.25">
      <c r="A1405" s="25" t="s">
        <v>189</v>
      </c>
      <c r="B1405" s="25">
        <f t="shared" si="37"/>
        <v>11600</v>
      </c>
      <c r="C1405" s="25" t="s">
        <v>12</v>
      </c>
      <c r="D1405" s="25">
        <v>0</v>
      </c>
      <c r="E1405" s="25">
        <v>0</v>
      </c>
      <c r="F1405" s="25">
        <v>256</v>
      </c>
      <c r="G1405" s="25">
        <v>222</v>
      </c>
      <c r="H1405" s="27">
        <v>0</v>
      </c>
      <c r="I1405" s="27">
        <v>0</v>
      </c>
      <c r="J1405" s="27">
        <v>0</v>
      </c>
      <c r="K1405" s="27">
        <v>0</v>
      </c>
      <c r="L1405" s="27">
        <v>1</v>
      </c>
      <c r="M1405" s="27">
        <v>0</v>
      </c>
      <c r="N1405" s="27">
        <v>0</v>
      </c>
      <c r="O1405" s="27">
        <v>0</v>
      </c>
      <c r="P1405" s="25">
        <v>700</v>
      </c>
      <c r="Q1405" s="25">
        <v>560</v>
      </c>
      <c r="R1405" s="25" t="s">
        <v>87</v>
      </c>
      <c r="S1405" s="25" t="s">
        <v>89</v>
      </c>
      <c r="T1405" s="25">
        <v>0</v>
      </c>
      <c r="U1405" s="25">
        <v>0</v>
      </c>
      <c r="V1405" s="25">
        <v>0</v>
      </c>
      <c r="W1405" s="25">
        <v>0</v>
      </c>
      <c r="X1405" s="25">
        <v>1</v>
      </c>
      <c r="Y1405" s="25">
        <v>0</v>
      </c>
      <c r="Z1405" s="25">
        <v>0</v>
      </c>
      <c r="AA1405" s="25">
        <v>0</v>
      </c>
      <c r="AB1405" s="25">
        <v>0</v>
      </c>
      <c r="AC1405" s="25">
        <v>0</v>
      </c>
      <c r="AD1405" s="25">
        <v>0</v>
      </c>
      <c r="AE1405" s="25">
        <v>1</v>
      </c>
      <c r="AF1405" s="25" t="s">
        <v>131</v>
      </c>
    </row>
    <row r="1406" spans="1:32" s="25" customFormat="1" x14ac:dyDescent="0.25">
      <c r="A1406" s="25" t="s">
        <v>189</v>
      </c>
      <c r="B1406" s="25">
        <f t="shared" si="37"/>
        <v>11610</v>
      </c>
      <c r="C1406" s="25" t="s">
        <v>12</v>
      </c>
      <c r="D1406" s="25">
        <v>0</v>
      </c>
      <c r="E1406" s="25">
        <v>0</v>
      </c>
      <c r="F1406" s="25">
        <v>256</v>
      </c>
      <c r="G1406" s="25">
        <v>222</v>
      </c>
      <c r="H1406" s="27">
        <v>0</v>
      </c>
      <c r="I1406" s="27">
        <v>0</v>
      </c>
      <c r="J1406" s="27">
        <v>0</v>
      </c>
      <c r="K1406" s="27">
        <v>0</v>
      </c>
      <c r="L1406" s="27">
        <v>1</v>
      </c>
      <c r="M1406" s="27">
        <v>0</v>
      </c>
      <c r="N1406" s="27">
        <v>0</v>
      </c>
      <c r="O1406" s="27">
        <v>0</v>
      </c>
      <c r="P1406" s="25">
        <v>700</v>
      </c>
      <c r="Q1406" s="25">
        <v>560</v>
      </c>
      <c r="R1406" s="25" t="s">
        <v>87</v>
      </c>
      <c r="S1406" s="25" t="s">
        <v>89</v>
      </c>
      <c r="T1406" s="25">
        <v>0</v>
      </c>
      <c r="U1406" s="25">
        <v>0</v>
      </c>
      <c r="V1406" s="25">
        <v>0</v>
      </c>
      <c r="W1406" s="25">
        <v>0</v>
      </c>
      <c r="X1406" s="25">
        <v>1</v>
      </c>
      <c r="Y1406" s="25">
        <v>0</v>
      </c>
      <c r="Z1406" s="25">
        <v>0</v>
      </c>
      <c r="AA1406" s="25">
        <v>0</v>
      </c>
      <c r="AB1406" s="25">
        <v>0</v>
      </c>
      <c r="AC1406" s="25">
        <v>0</v>
      </c>
      <c r="AD1406" s="25">
        <v>0</v>
      </c>
      <c r="AE1406" s="25">
        <v>1</v>
      </c>
      <c r="AF1406" s="25" t="s">
        <v>131</v>
      </c>
    </row>
    <row r="1407" spans="1:32" s="25" customFormat="1" x14ac:dyDescent="0.25">
      <c r="A1407" s="25" t="s">
        <v>189</v>
      </c>
      <c r="B1407" s="25">
        <f t="shared" si="37"/>
        <v>11620</v>
      </c>
      <c r="C1407" s="25" t="s">
        <v>12</v>
      </c>
      <c r="D1407" s="25">
        <v>0</v>
      </c>
      <c r="E1407" s="25">
        <v>0</v>
      </c>
      <c r="F1407" s="25">
        <v>256</v>
      </c>
      <c r="G1407" s="25">
        <v>222</v>
      </c>
      <c r="H1407" s="27">
        <v>0</v>
      </c>
      <c r="I1407" s="27">
        <v>0</v>
      </c>
      <c r="J1407" s="27">
        <v>0</v>
      </c>
      <c r="K1407" s="27">
        <v>0</v>
      </c>
      <c r="L1407" s="27">
        <v>1</v>
      </c>
      <c r="M1407" s="27">
        <v>0</v>
      </c>
      <c r="N1407" s="27">
        <v>0</v>
      </c>
      <c r="O1407" s="27">
        <v>0</v>
      </c>
      <c r="P1407" s="25">
        <v>700</v>
      </c>
      <c r="Q1407" s="25">
        <v>560</v>
      </c>
      <c r="R1407" s="25" t="s">
        <v>87</v>
      </c>
      <c r="S1407" s="25" t="s">
        <v>89</v>
      </c>
      <c r="T1407" s="25">
        <v>0</v>
      </c>
      <c r="U1407" s="25">
        <v>0</v>
      </c>
      <c r="V1407" s="25">
        <v>0</v>
      </c>
      <c r="W1407" s="25">
        <v>0</v>
      </c>
      <c r="X1407" s="25">
        <v>1</v>
      </c>
      <c r="Y1407" s="25">
        <v>0</v>
      </c>
      <c r="Z1407" s="25">
        <v>0</v>
      </c>
      <c r="AA1407" s="25">
        <v>0</v>
      </c>
      <c r="AB1407" s="25">
        <v>0</v>
      </c>
      <c r="AC1407" s="25">
        <v>0</v>
      </c>
      <c r="AD1407" s="25">
        <v>0</v>
      </c>
      <c r="AE1407" s="25">
        <v>1</v>
      </c>
      <c r="AF1407" s="25" t="s">
        <v>131</v>
      </c>
    </row>
    <row r="1408" spans="1:32" s="25" customFormat="1" x14ac:dyDescent="0.25">
      <c r="A1408" s="25" t="s">
        <v>189</v>
      </c>
      <c r="B1408" s="25">
        <f t="shared" si="37"/>
        <v>11630</v>
      </c>
      <c r="C1408" s="25" t="s">
        <v>12</v>
      </c>
      <c r="D1408" s="25">
        <v>0</v>
      </c>
      <c r="E1408" s="25">
        <v>0</v>
      </c>
      <c r="F1408" s="25">
        <v>256</v>
      </c>
      <c r="G1408" s="25">
        <v>222</v>
      </c>
      <c r="H1408" s="27">
        <v>0</v>
      </c>
      <c r="I1408" s="27">
        <v>0</v>
      </c>
      <c r="J1408" s="27">
        <v>0</v>
      </c>
      <c r="K1408" s="27">
        <v>0</v>
      </c>
      <c r="L1408" s="27">
        <v>1</v>
      </c>
      <c r="M1408" s="27">
        <v>0</v>
      </c>
      <c r="N1408" s="27">
        <v>0</v>
      </c>
      <c r="O1408" s="27">
        <v>0</v>
      </c>
      <c r="P1408" s="25">
        <v>700</v>
      </c>
      <c r="Q1408" s="25">
        <v>560</v>
      </c>
      <c r="R1408" s="25" t="s">
        <v>87</v>
      </c>
      <c r="S1408" s="25" t="s">
        <v>89</v>
      </c>
      <c r="T1408" s="25">
        <v>0</v>
      </c>
      <c r="U1408" s="25">
        <v>0</v>
      </c>
      <c r="V1408" s="25">
        <v>0</v>
      </c>
      <c r="W1408" s="25">
        <v>0</v>
      </c>
      <c r="X1408" s="25">
        <v>1</v>
      </c>
      <c r="Y1408" s="25">
        <v>0</v>
      </c>
      <c r="Z1408" s="25">
        <v>0</v>
      </c>
      <c r="AA1408" s="25">
        <v>0</v>
      </c>
      <c r="AB1408" s="25">
        <v>0</v>
      </c>
      <c r="AC1408" s="25">
        <v>0</v>
      </c>
      <c r="AD1408" s="25">
        <v>0</v>
      </c>
      <c r="AE1408" s="25">
        <v>1</v>
      </c>
      <c r="AF1408" s="25" t="s">
        <v>131</v>
      </c>
    </row>
    <row r="1409" spans="1:32" s="25" customFormat="1" x14ac:dyDescent="0.25">
      <c r="A1409" s="25" t="s">
        <v>189</v>
      </c>
      <c r="B1409" s="25">
        <f t="shared" si="37"/>
        <v>11640</v>
      </c>
      <c r="C1409" s="25" t="s">
        <v>12</v>
      </c>
      <c r="D1409" s="25">
        <v>0</v>
      </c>
      <c r="E1409" s="25">
        <v>0</v>
      </c>
      <c r="F1409" s="25">
        <v>256</v>
      </c>
      <c r="G1409" s="25">
        <v>222</v>
      </c>
      <c r="H1409" s="27">
        <v>0</v>
      </c>
      <c r="I1409" s="27">
        <v>0</v>
      </c>
      <c r="J1409" s="27">
        <v>0</v>
      </c>
      <c r="K1409" s="27">
        <v>0</v>
      </c>
      <c r="L1409" s="27">
        <v>1</v>
      </c>
      <c r="M1409" s="27">
        <v>0</v>
      </c>
      <c r="N1409" s="27">
        <v>0</v>
      </c>
      <c r="O1409" s="27">
        <v>0</v>
      </c>
      <c r="P1409" s="25">
        <v>700</v>
      </c>
      <c r="Q1409" s="25">
        <v>560</v>
      </c>
      <c r="R1409" s="25" t="s">
        <v>87</v>
      </c>
      <c r="S1409" s="25" t="s">
        <v>89</v>
      </c>
      <c r="T1409" s="25">
        <v>0</v>
      </c>
      <c r="U1409" s="25">
        <v>0</v>
      </c>
      <c r="V1409" s="25">
        <v>0</v>
      </c>
      <c r="W1409" s="25">
        <v>0</v>
      </c>
      <c r="X1409" s="25">
        <v>1</v>
      </c>
      <c r="Y1409" s="25">
        <v>0</v>
      </c>
      <c r="Z1409" s="25">
        <v>0</v>
      </c>
      <c r="AA1409" s="25">
        <v>0</v>
      </c>
      <c r="AB1409" s="25">
        <v>0</v>
      </c>
      <c r="AC1409" s="25">
        <v>0</v>
      </c>
      <c r="AD1409" s="25">
        <v>0</v>
      </c>
      <c r="AE1409" s="25">
        <v>1</v>
      </c>
      <c r="AF1409" s="25" t="s">
        <v>131</v>
      </c>
    </row>
    <row r="1410" spans="1:32" s="25" customFormat="1" x14ac:dyDescent="0.25">
      <c r="A1410" s="25" t="s">
        <v>189</v>
      </c>
      <c r="B1410" s="25">
        <f t="shared" si="37"/>
        <v>11650</v>
      </c>
      <c r="C1410" s="25" t="s">
        <v>12</v>
      </c>
      <c r="D1410" s="25">
        <v>0</v>
      </c>
      <c r="E1410" s="25">
        <v>0</v>
      </c>
      <c r="F1410" s="25">
        <v>256</v>
      </c>
      <c r="G1410" s="25">
        <v>222</v>
      </c>
      <c r="H1410" s="27">
        <v>0</v>
      </c>
      <c r="I1410" s="27">
        <v>0</v>
      </c>
      <c r="J1410" s="27">
        <v>0</v>
      </c>
      <c r="K1410" s="27">
        <v>0</v>
      </c>
      <c r="L1410" s="27">
        <v>1</v>
      </c>
      <c r="M1410" s="27">
        <v>0</v>
      </c>
      <c r="N1410" s="27">
        <v>0</v>
      </c>
      <c r="O1410" s="27">
        <v>0</v>
      </c>
      <c r="P1410" s="25">
        <v>700</v>
      </c>
      <c r="Q1410" s="25">
        <v>560</v>
      </c>
      <c r="R1410" s="25" t="s">
        <v>87</v>
      </c>
      <c r="S1410" s="25" t="s">
        <v>89</v>
      </c>
      <c r="T1410" s="25">
        <v>0</v>
      </c>
      <c r="U1410" s="25">
        <v>0</v>
      </c>
      <c r="V1410" s="25">
        <v>0</v>
      </c>
      <c r="W1410" s="25">
        <v>0</v>
      </c>
      <c r="X1410" s="25">
        <v>1</v>
      </c>
      <c r="Y1410" s="25">
        <v>0</v>
      </c>
      <c r="Z1410" s="25">
        <v>0</v>
      </c>
      <c r="AA1410" s="25">
        <v>0</v>
      </c>
      <c r="AB1410" s="25">
        <v>0</v>
      </c>
      <c r="AC1410" s="25">
        <v>0</v>
      </c>
      <c r="AD1410" s="25">
        <v>0</v>
      </c>
      <c r="AE1410" s="25">
        <v>1</v>
      </c>
      <c r="AF1410" s="25" t="s">
        <v>131</v>
      </c>
    </row>
    <row r="1411" spans="1:32" s="25" customFormat="1" x14ac:dyDescent="0.25">
      <c r="A1411" s="25" t="s">
        <v>189</v>
      </c>
      <c r="B1411" s="25">
        <f t="shared" si="37"/>
        <v>11660</v>
      </c>
      <c r="C1411" s="25" t="s">
        <v>12</v>
      </c>
      <c r="D1411" s="25">
        <v>0</v>
      </c>
      <c r="E1411" s="25">
        <v>0</v>
      </c>
      <c r="F1411" s="25">
        <v>256</v>
      </c>
      <c r="G1411" s="25">
        <v>222</v>
      </c>
      <c r="H1411" s="27">
        <v>0</v>
      </c>
      <c r="I1411" s="27">
        <v>0</v>
      </c>
      <c r="J1411" s="27">
        <v>0</v>
      </c>
      <c r="K1411" s="27">
        <v>0</v>
      </c>
      <c r="L1411" s="27">
        <v>1</v>
      </c>
      <c r="M1411" s="27">
        <v>0</v>
      </c>
      <c r="N1411" s="27">
        <v>0</v>
      </c>
      <c r="O1411" s="27">
        <v>0</v>
      </c>
      <c r="P1411" s="25">
        <v>700</v>
      </c>
      <c r="Q1411" s="25">
        <v>560</v>
      </c>
      <c r="R1411" s="25" t="s">
        <v>87</v>
      </c>
      <c r="S1411" s="25" t="s">
        <v>89</v>
      </c>
      <c r="T1411" s="25">
        <v>0</v>
      </c>
      <c r="U1411" s="25">
        <v>0</v>
      </c>
      <c r="V1411" s="25">
        <v>0</v>
      </c>
      <c r="W1411" s="25">
        <v>0</v>
      </c>
      <c r="X1411" s="25">
        <v>1</v>
      </c>
      <c r="Y1411" s="25">
        <v>0</v>
      </c>
      <c r="Z1411" s="25">
        <v>0</v>
      </c>
      <c r="AA1411" s="25">
        <v>0</v>
      </c>
      <c r="AB1411" s="25">
        <v>0</v>
      </c>
      <c r="AC1411" s="25">
        <v>0</v>
      </c>
      <c r="AD1411" s="25">
        <v>0</v>
      </c>
      <c r="AE1411" s="25">
        <v>1</v>
      </c>
      <c r="AF1411" s="25" t="s">
        <v>131</v>
      </c>
    </row>
    <row r="1412" spans="1:32" s="25" customFormat="1" x14ac:dyDescent="0.25">
      <c r="A1412" s="25" t="s">
        <v>189</v>
      </c>
      <c r="B1412" s="25">
        <f t="shared" si="37"/>
        <v>11670</v>
      </c>
      <c r="C1412" s="25" t="s">
        <v>12</v>
      </c>
      <c r="D1412" s="25">
        <v>0</v>
      </c>
      <c r="E1412" s="25">
        <v>0</v>
      </c>
      <c r="F1412" s="25">
        <v>256</v>
      </c>
      <c r="G1412" s="25">
        <v>222</v>
      </c>
      <c r="H1412" s="27">
        <v>0</v>
      </c>
      <c r="I1412" s="27">
        <v>0</v>
      </c>
      <c r="J1412" s="27">
        <v>0</v>
      </c>
      <c r="K1412" s="27">
        <v>0</v>
      </c>
      <c r="L1412" s="27">
        <v>1</v>
      </c>
      <c r="M1412" s="27">
        <v>0</v>
      </c>
      <c r="N1412" s="27">
        <v>0</v>
      </c>
      <c r="O1412" s="27">
        <v>0</v>
      </c>
      <c r="P1412" s="25">
        <v>700</v>
      </c>
      <c r="Q1412" s="25">
        <v>560</v>
      </c>
      <c r="R1412" s="25" t="s">
        <v>87</v>
      </c>
      <c r="S1412" s="25" t="s">
        <v>89</v>
      </c>
      <c r="T1412" s="25">
        <v>0</v>
      </c>
      <c r="U1412" s="25">
        <v>0</v>
      </c>
      <c r="V1412" s="25">
        <v>0</v>
      </c>
      <c r="W1412" s="25">
        <v>0</v>
      </c>
      <c r="X1412" s="25">
        <v>1</v>
      </c>
      <c r="Y1412" s="25">
        <v>0</v>
      </c>
      <c r="Z1412" s="25">
        <v>0</v>
      </c>
      <c r="AA1412" s="25">
        <v>0</v>
      </c>
      <c r="AB1412" s="25">
        <v>0</v>
      </c>
      <c r="AC1412" s="25">
        <v>0</v>
      </c>
      <c r="AD1412" s="25">
        <v>0</v>
      </c>
      <c r="AE1412" s="25">
        <v>1</v>
      </c>
      <c r="AF1412" s="25" t="s">
        <v>131</v>
      </c>
    </row>
    <row r="1413" spans="1:32" s="25" customFormat="1" x14ac:dyDescent="0.25">
      <c r="A1413" s="25" t="s">
        <v>189</v>
      </c>
      <c r="B1413" s="25">
        <f t="shared" si="37"/>
        <v>11680</v>
      </c>
      <c r="C1413" s="25" t="s">
        <v>12</v>
      </c>
      <c r="D1413" s="25">
        <v>0</v>
      </c>
      <c r="E1413" s="25">
        <v>0</v>
      </c>
      <c r="F1413" s="25">
        <v>256</v>
      </c>
      <c r="G1413" s="25">
        <v>222</v>
      </c>
      <c r="H1413" s="27">
        <v>0</v>
      </c>
      <c r="I1413" s="27">
        <v>0</v>
      </c>
      <c r="J1413" s="27">
        <v>0</v>
      </c>
      <c r="K1413" s="27">
        <v>0</v>
      </c>
      <c r="L1413" s="27">
        <v>1</v>
      </c>
      <c r="M1413" s="27">
        <v>0</v>
      </c>
      <c r="N1413" s="27">
        <v>0</v>
      </c>
      <c r="O1413" s="27">
        <v>0</v>
      </c>
      <c r="P1413" s="25">
        <v>700</v>
      </c>
      <c r="Q1413" s="25">
        <v>560</v>
      </c>
      <c r="R1413" s="25" t="s">
        <v>87</v>
      </c>
      <c r="S1413" s="25" t="s">
        <v>89</v>
      </c>
      <c r="T1413" s="25">
        <v>0</v>
      </c>
      <c r="U1413" s="25">
        <v>0</v>
      </c>
      <c r="V1413" s="25">
        <v>0</v>
      </c>
      <c r="W1413" s="25">
        <v>0</v>
      </c>
      <c r="X1413" s="25">
        <v>1</v>
      </c>
      <c r="Y1413" s="25">
        <v>0</v>
      </c>
      <c r="Z1413" s="25">
        <v>0</v>
      </c>
      <c r="AA1413" s="25">
        <v>0</v>
      </c>
      <c r="AB1413" s="25">
        <v>0</v>
      </c>
      <c r="AC1413" s="25">
        <v>0</v>
      </c>
      <c r="AD1413" s="25">
        <v>0</v>
      </c>
      <c r="AE1413" s="25">
        <v>1</v>
      </c>
      <c r="AF1413" s="25" t="s">
        <v>131</v>
      </c>
    </row>
    <row r="1414" spans="1:32" s="25" customFormat="1" x14ac:dyDescent="0.25">
      <c r="A1414" s="25" t="s">
        <v>189</v>
      </c>
      <c r="B1414" s="25">
        <f t="shared" si="37"/>
        <v>11690</v>
      </c>
      <c r="C1414" s="25" t="s">
        <v>12</v>
      </c>
      <c r="D1414" s="25">
        <v>0</v>
      </c>
      <c r="E1414" s="25">
        <v>0</v>
      </c>
      <c r="F1414" s="25">
        <v>256</v>
      </c>
      <c r="G1414" s="25">
        <v>222</v>
      </c>
      <c r="H1414" s="27">
        <v>0</v>
      </c>
      <c r="I1414" s="27">
        <v>0</v>
      </c>
      <c r="J1414" s="27">
        <v>0</v>
      </c>
      <c r="K1414" s="27">
        <v>0</v>
      </c>
      <c r="L1414" s="27">
        <v>1</v>
      </c>
      <c r="M1414" s="27">
        <v>0</v>
      </c>
      <c r="N1414" s="27">
        <v>0</v>
      </c>
      <c r="O1414" s="27">
        <v>0</v>
      </c>
      <c r="P1414" s="25">
        <v>700</v>
      </c>
      <c r="Q1414" s="25">
        <v>560</v>
      </c>
      <c r="R1414" s="25" t="s">
        <v>87</v>
      </c>
      <c r="S1414" s="25" t="s">
        <v>89</v>
      </c>
      <c r="T1414" s="25">
        <v>0</v>
      </c>
      <c r="U1414" s="25">
        <v>0</v>
      </c>
      <c r="V1414" s="25">
        <v>0</v>
      </c>
      <c r="W1414" s="25">
        <v>0</v>
      </c>
      <c r="X1414" s="25">
        <v>1</v>
      </c>
      <c r="Y1414" s="25">
        <v>0</v>
      </c>
      <c r="Z1414" s="25">
        <v>0</v>
      </c>
      <c r="AA1414" s="25">
        <v>0</v>
      </c>
      <c r="AB1414" s="25">
        <v>0</v>
      </c>
      <c r="AC1414" s="25">
        <v>0</v>
      </c>
      <c r="AD1414" s="25">
        <v>0</v>
      </c>
      <c r="AE1414" s="25">
        <v>1</v>
      </c>
      <c r="AF1414" s="25" t="s">
        <v>131</v>
      </c>
    </row>
    <row r="1415" spans="1:32" s="25" customFormat="1" x14ac:dyDescent="0.25">
      <c r="A1415" s="25" t="s">
        <v>189</v>
      </c>
      <c r="B1415" s="25">
        <f t="shared" si="37"/>
        <v>11700</v>
      </c>
      <c r="C1415" s="25" t="s">
        <v>12</v>
      </c>
      <c r="D1415" s="25">
        <v>0</v>
      </c>
      <c r="E1415" s="25">
        <v>0</v>
      </c>
      <c r="F1415" s="25">
        <v>256</v>
      </c>
      <c r="G1415" s="25">
        <v>222</v>
      </c>
      <c r="H1415" s="27">
        <v>0</v>
      </c>
      <c r="I1415" s="27">
        <v>0</v>
      </c>
      <c r="J1415" s="27">
        <v>0</v>
      </c>
      <c r="K1415" s="27">
        <v>0</v>
      </c>
      <c r="L1415" s="27">
        <v>1</v>
      </c>
      <c r="M1415" s="27">
        <v>0</v>
      </c>
      <c r="N1415" s="27">
        <v>0</v>
      </c>
      <c r="O1415" s="27">
        <v>0</v>
      </c>
      <c r="P1415" s="25">
        <v>700</v>
      </c>
      <c r="Q1415" s="25">
        <v>560</v>
      </c>
      <c r="R1415" s="25" t="s">
        <v>87</v>
      </c>
      <c r="S1415" s="25" t="s">
        <v>89</v>
      </c>
      <c r="T1415" s="25">
        <v>0</v>
      </c>
      <c r="U1415" s="25">
        <v>0</v>
      </c>
      <c r="V1415" s="25">
        <v>0</v>
      </c>
      <c r="W1415" s="25">
        <v>0</v>
      </c>
      <c r="X1415" s="25">
        <v>1</v>
      </c>
      <c r="Y1415" s="25">
        <v>0</v>
      </c>
      <c r="Z1415" s="25">
        <v>0</v>
      </c>
      <c r="AA1415" s="25">
        <v>0</v>
      </c>
      <c r="AB1415" s="25">
        <v>0</v>
      </c>
      <c r="AC1415" s="25">
        <v>0</v>
      </c>
      <c r="AD1415" s="25">
        <v>0</v>
      </c>
      <c r="AE1415" s="25">
        <v>1</v>
      </c>
      <c r="AF1415" s="25" t="s">
        <v>131</v>
      </c>
    </row>
    <row r="1416" spans="1:32" s="25" customFormat="1" x14ac:dyDescent="0.25">
      <c r="A1416" s="25" t="s">
        <v>189</v>
      </c>
      <c r="B1416" s="25">
        <f t="shared" si="37"/>
        <v>11710</v>
      </c>
      <c r="C1416" s="25" t="s">
        <v>12</v>
      </c>
      <c r="D1416" s="25">
        <v>0</v>
      </c>
      <c r="E1416" s="25">
        <v>0</v>
      </c>
      <c r="F1416" s="25">
        <v>256</v>
      </c>
      <c r="G1416" s="25">
        <v>222</v>
      </c>
      <c r="H1416" s="27">
        <v>0</v>
      </c>
      <c r="I1416" s="27">
        <v>0</v>
      </c>
      <c r="J1416" s="27">
        <v>0</v>
      </c>
      <c r="K1416" s="27">
        <v>0</v>
      </c>
      <c r="L1416" s="27">
        <v>1</v>
      </c>
      <c r="M1416" s="27">
        <v>0</v>
      </c>
      <c r="N1416" s="27">
        <v>0</v>
      </c>
      <c r="O1416" s="27">
        <v>0</v>
      </c>
      <c r="P1416" s="25">
        <v>700</v>
      </c>
      <c r="Q1416" s="25">
        <v>560</v>
      </c>
      <c r="R1416" s="25" t="s">
        <v>87</v>
      </c>
      <c r="S1416" s="25" t="s">
        <v>89</v>
      </c>
      <c r="T1416" s="25">
        <v>0</v>
      </c>
      <c r="U1416" s="25">
        <v>0</v>
      </c>
      <c r="V1416" s="25">
        <v>0</v>
      </c>
      <c r="W1416" s="25">
        <v>0</v>
      </c>
      <c r="X1416" s="25">
        <v>1</v>
      </c>
      <c r="Y1416" s="25">
        <v>0</v>
      </c>
      <c r="Z1416" s="25">
        <v>0</v>
      </c>
      <c r="AA1416" s="25">
        <v>0</v>
      </c>
      <c r="AB1416" s="25">
        <v>0</v>
      </c>
      <c r="AC1416" s="25">
        <v>0</v>
      </c>
      <c r="AD1416" s="25">
        <v>0</v>
      </c>
      <c r="AE1416" s="25">
        <v>1</v>
      </c>
      <c r="AF1416" s="25" t="s">
        <v>131</v>
      </c>
    </row>
    <row r="1417" spans="1:32" s="25" customFormat="1" x14ac:dyDescent="0.25">
      <c r="A1417" s="25" t="s">
        <v>189</v>
      </c>
      <c r="B1417" s="25">
        <f t="shared" si="37"/>
        <v>11720</v>
      </c>
      <c r="C1417" s="25" t="s">
        <v>12</v>
      </c>
      <c r="D1417" s="25">
        <v>0</v>
      </c>
      <c r="E1417" s="25">
        <v>0</v>
      </c>
      <c r="F1417" s="25">
        <v>256</v>
      </c>
      <c r="G1417" s="25">
        <v>222</v>
      </c>
      <c r="H1417" s="27">
        <v>0</v>
      </c>
      <c r="I1417" s="27">
        <v>0</v>
      </c>
      <c r="J1417" s="27">
        <v>0</v>
      </c>
      <c r="K1417" s="27">
        <v>0</v>
      </c>
      <c r="L1417" s="27">
        <v>1</v>
      </c>
      <c r="M1417" s="27">
        <v>0</v>
      </c>
      <c r="N1417" s="27">
        <v>0</v>
      </c>
      <c r="O1417" s="27">
        <v>0</v>
      </c>
      <c r="P1417" s="25">
        <v>700</v>
      </c>
      <c r="Q1417" s="25">
        <v>560</v>
      </c>
      <c r="R1417" s="25" t="s">
        <v>87</v>
      </c>
      <c r="S1417" s="25" t="s">
        <v>89</v>
      </c>
      <c r="T1417" s="25">
        <v>0</v>
      </c>
      <c r="U1417" s="25">
        <v>0</v>
      </c>
      <c r="V1417" s="25">
        <v>0</v>
      </c>
      <c r="W1417" s="25">
        <v>0</v>
      </c>
      <c r="X1417" s="25">
        <v>1</v>
      </c>
      <c r="Y1417" s="25">
        <v>0</v>
      </c>
      <c r="Z1417" s="25">
        <v>0</v>
      </c>
      <c r="AA1417" s="25">
        <v>0</v>
      </c>
      <c r="AB1417" s="25">
        <v>0</v>
      </c>
      <c r="AC1417" s="25">
        <v>0</v>
      </c>
      <c r="AD1417" s="25">
        <v>0</v>
      </c>
      <c r="AE1417" s="25">
        <v>1</v>
      </c>
      <c r="AF1417" s="25" t="s">
        <v>131</v>
      </c>
    </row>
    <row r="1418" spans="1:32" s="25" customFormat="1" x14ac:dyDescent="0.25">
      <c r="A1418" s="25" t="s">
        <v>189</v>
      </c>
      <c r="B1418" s="25">
        <f t="shared" si="37"/>
        <v>11730</v>
      </c>
      <c r="C1418" s="25" t="s">
        <v>12</v>
      </c>
      <c r="D1418" s="25">
        <v>0</v>
      </c>
      <c r="E1418" s="25">
        <v>0</v>
      </c>
      <c r="F1418" s="25">
        <v>256</v>
      </c>
      <c r="G1418" s="25">
        <v>222</v>
      </c>
      <c r="H1418" s="27">
        <v>0</v>
      </c>
      <c r="I1418" s="27">
        <v>0</v>
      </c>
      <c r="J1418" s="27">
        <v>0</v>
      </c>
      <c r="K1418" s="27">
        <v>0</v>
      </c>
      <c r="L1418" s="27">
        <v>1</v>
      </c>
      <c r="M1418" s="27">
        <v>0</v>
      </c>
      <c r="N1418" s="27">
        <v>0</v>
      </c>
      <c r="O1418" s="27">
        <v>0</v>
      </c>
      <c r="P1418" s="25">
        <v>700</v>
      </c>
      <c r="Q1418" s="25">
        <v>560</v>
      </c>
      <c r="R1418" s="25" t="s">
        <v>87</v>
      </c>
      <c r="S1418" s="25" t="s">
        <v>89</v>
      </c>
      <c r="T1418" s="25">
        <v>0</v>
      </c>
      <c r="U1418" s="25">
        <v>0</v>
      </c>
      <c r="V1418" s="25">
        <v>0</v>
      </c>
      <c r="W1418" s="25">
        <v>0</v>
      </c>
      <c r="X1418" s="25">
        <v>1</v>
      </c>
      <c r="Y1418" s="25">
        <v>0</v>
      </c>
      <c r="Z1418" s="25">
        <v>0</v>
      </c>
      <c r="AA1418" s="25">
        <v>0</v>
      </c>
      <c r="AB1418" s="25">
        <v>0</v>
      </c>
      <c r="AC1418" s="25">
        <v>0</v>
      </c>
      <c r="AD1418" s="25">
        <v>0</v>
      </c>
      <c r="AE1418" s="25">
        <v>1</v>
      </c>
      <c r="AF1418" s="25" t="s">
        <v>131</v>
      </c>
    </row>
    <row r="1419" spans="1:32" s="25" customFormat="1" x14ac:dyDescent="0.25">
      <c r="A1419" s="25" t="s">
        <v>189</v>
      </c>
      <c r="B1419" s="25">
        <f t="shared" si="37"/>
        <v>11740</v>
      </c>
      <c r="C1419" s="25" t="s">
        <v>12</v>
      </c>
      <c r="D1419" s="25">
        <v>0</v>
      </c>
      <c r="E1419" s="25">
        <v>0</v>
      </c>
      <c r="F1419" s="25">
        <v>256</v>
      </c>
      <c r="G1419" s="25">
        <v>222</v>
      </c>
      <c r="H1419" s="27">
        <v>0</v>
      </c>
      <c r="I1419" s="27">
        <v>0</v>
      </c>
      <c r="J1419" s="27">
        <v>0</v>
      </c>
      <c r="K1419" s="27">
        <v>0</v>
      </c>
      <c r="L1419" s="27">
        <v>1</v>
      </c>
      <c r="M1419" s="27">
        <v>0</v>
      </c>
      <c r="N1419" s="27">
        <v>0</v>
      </c>
      <c r="O1419" s="27">
        <v>0</v>
      </c>
      <c r="P1419" s="25">
        <v>700</v>
      </c>
      <c r="Q1419" s="25">
        <v>560</v>
      </c>
      <c r="R1419" s="25" t="s">
        <v>87</v>
      </c>
      <c r="S1419" s="25" t="s">
        <v>89</v>
      </c>
      <c r="T1419" s="25">
        <v>0</v>
      </c>
      <c r="U1419" s="25">
        <v>0</v>
      </c>
      <c r="V1419" s="25">
        <v>0</v>
      </c>
      <c r="W1419" s="25">
        <v>0</v>
      </c>
      <c r="X1419" s="25">
        <v>1</v>
      </c>
      <c r="Y1419" s="25">
        <v>0</v>
      </c>
      <c r="Z1419" s="25">
        <v>0</v>
      </c>
      <c r="AA1419" s="25">
        <v>0</v>
      </c>
      <c r="AB1419" s="25">
        <v>0</v>
      </c>
      <c r="AC1419" s="25">
        <v>0</v>
      </c>
      <c r="AD1419" s="25">
        <v>0</v>
      </c>
      <c r="AE1419" s="25">
        <v>1</v>
      </c>
      <c r="AF1419" s="25" t="s">
        <v>131</v>
      </c>
    </row>
    <row r="1420" spans="1:32" s="25" customFormat="1" x14ac:dyDescent="0.25">
      <c r="A1420" s="25" t="s">
        <v>189</v>
      </c>
      <c r="B1420" s="25">
        <f t="shared" si="37"/>
        <v>11750</v>
      </c>
      <c r="C1420" s="25" t="s">
        <v>12</v>
      </c>
      <c r="D1420" s="25">
        <v>0</v>
      </c>
      <c r="E1420" s="25">
        <v>0</v>
      </c>
      <c r="F1420" s="25">
        <v>256</v>
      </c>
      <c r="G1420" s="25">
        <v>222</v>
      </c>
      <c r="H1420" s="27">
        <v>0</v>
      </c>
      <c r="I1420" s="27">
        <v>0</v>
      </c>
      <c r="J1420" s="27">
        <v>0</v>
      </c>
      <c r="K1420" s="27">
        <v>0</v>
      </c>
      <c r="L1420" s="27">
        <v>1</v>
      </c>
      <c r="M1420" s="27">
        <v>0</v>
      </c>
      <c r="N1420" s="27">
        <v>0</v>
      </c>
      <c r="O1420" s="27">
        <v>0</v>
      </c>
      <c r="P1420" s="25">
        <v>700</v>
      </c>
      <c r="Q1420" s="25">
        <v>560</v>
      </c>
      <c r="R1420" s="25" t="s">
        <v>87</v>
      </c>
      <c r="S1420" s="25" t="s">
        <v>89</v>
      </c>
      <c r="T1420" s="25">
        <v>0</v>
      </c>
      <c r="U1420" s="25">
        <v>0</v>
      </c>
      <c r="V1420" s="25">
        <v>0</v>
      </c>
      <c r="W1420" s="25">
        <v>0</v>
      </c>
      <c r="X1420" s="25">
        <v>1</v>
      </c>
      <c r="Y1420" s="25">
        <v>0</v>
      </c>
      <c r="Z1420" s="25">
        <v>0</v>
      </c>
      <c r="AA1420" s="25">
        <v>0</v>
      </c>
      <c r="AB1420" s="25">
        <v>0</v>
      </c>
      <c r="AC1420" s="25">
        <v>0</v>
      </c>
      <c r="AD1420" s="25">
        <v>0</v>
      </c>
      <c r="AE1420" s="25">
        <v>1</v>
      </c>
      <c r="AF1420" s="25" t="s">
        <v>131</v>
      </c>
    </row>
    <row r="1421" spans="1:32" s="25" customFormat="1" x14ac:dyDescent="0.25">
      <c r="A1421" s="25" t="s">
        <v>189</v>
      </c>
      <c r="B1421" s="25">
        <f t="shared" si="37"/>
        <v>11760</v>
      </c>
      <c r="C1421" s="25" t="s">
        <v>12</v>
      </c>
      <c r="D1421" s="25">
        <v>0</v>
      </c>
      <c r="E1421" s="25">
        <v>0</v>
      </c>
      <c r="F1421" s="25">
        <v>256</v>
      </c>
      <c r="G1421" s="25">
        <v>222</v>
      </c>
      <c r="H1421" s="27">
        <v>0</v>
      </c>
      <c r="I1421" s="27">
        <v>0</v>
      </c>
      <c r="J1421" s="27">
        <v>0</v>
      </c>
      <c r="K1421" s="27">
        <v>0</v>
      </c>
      <c r="L1421" s="27">
        <v>1</v>
      </c>
      <c r="M1421" s="27">
        <v>0</v>
      </c>
      <c r="N1421" s="27">
        <v>0</v>
      </c>
      <c r="O1421" s="27">
        <v>0</v>
      </c>
      <c r="P1421" s="25">
        <v>700</v>
      </c>
      <c r="Q1421" s="25">
        <v>560</v>
      </c>
      <c r="R1421" s="25" t="s">
        <v>87</v>
      </c>
      <c r="S1421" s="25" t="s">
        <v>89</v>
      </c>
      <c r="T1421" s="25">
        <v>0</v>
      </c>
      <c r="U1421" s="25">
        <v>0</v>
      </c>
      <c r="V1421" s="25">
        <v>0</v>
      </c>
      <c r="W1421" s="25">
        <v>0</v>
      </c>
      <c r="X1421" s="25">
        <v>1</v>
      </c>
      <c r="Y1421" s="25">
        <v>0</v>
      </c>
      <c r="Z1421" s="25">
        <v>0</v>
      </c>
      <c r="AA1421" s="25">
        <v>0</v>
      </c>
      <c r="AB1421" s="25">
        <v>0</v>
      </c>
      <c r="AC1421" s="25">
        <v>0</v>
      </c>
      <c r="AD1421" s="25">
        <v>0</v>
      </c>
      <c r="AE1421" s="25">
        <v>1</v>
      </c>
      <c r="AF1421" s="25" t="s">
        <v>131</v>
      </c>
    </row>
    <row r="1422" spans="1:32" s="25" customFormat="1" x14ac:dyDescent="0.25">
      <c r="A1422" s="25" t="s">
        <v>189</v>
      </c>
      <c r="B1422" s="25">
        <f t="shared" si="37"/>
        <v>11770</v>
      </c>
      <c r="C1422" s="25" t="s">
        <v>12</v>
      </c>
      <c r="D1422" s="25">
        <v>0</v>
      </c>
      <c r="E1422" s="25">
        <v>0</v>
      </c>
      <c r="F1422" s="25">
        <v>256</v>
      </c>
      <c r="G1422" s="25">
        <v>222</v>
      </c>
      <c r="H1422" s="27">
        <v>0</v>
      </c>
      <c r="I1422" s="27">
        <v>0</v>
      </c>
      <c r="J1422" s="27">
        <v>0</v>
      </c>
      <c r="K1422" s="27">
        <v>0</v>
      </c>
      <c r="L1422" s="27">
        <v>1</v>
      </c>
      <c r="M1422" s="27">
        <v>0</v>
      </c>
      <c r="N1422" s="27">
        <v>0</v>
      </c>
      <c r="O1422" s="27">
        <v>0</v>
      </c>
      <c r="P1422" s="25">
        <v>700</v>
      </c>
      <c r="Q1422" s="25">
        <v>560</v>
      </c>
      <c r="R1422" s="25" t="s">
        <v>87</v>
      </c>
      <c r="S1422" s="25" t="s">
        <v>89</v>
      </c>
      <c r="T1422" s="25">
        <v>0</v>
      </c>
      <c r="U1422" s="25">
        <v>0</v>
      </c>
      <c r="V1422" s="25">
        <v>0</v>
      </c>
      <c r="W1422" s="25">
        <v>0</v>
      </c>
      <c r="X1422" s="25">
        <v>1</v>
      </c>
      <c r="Y1422" s="25">
        <v>0</v>
      </c>
      <c r="Z1422" s="25">
        <v>0</v>
      </c>
      <c r="AA1422" s="25">
        <v>0</v>
      </c>
      <c r="AB1422" s="25">
        <v>0</v>
      </c>
      <c r="AC1422" s="25">
        <v>0</v>
      </c>
      <c r="AD1422" s="25">
        <v>0</v>
      </c>
      <c r="AE1422" s="25">
        <v>1</v>
      </c>
      <c r="AF1422" s="25" t="s">
        <v>131</v>
      </c>
    </row>
    <row r="1423" spans="1:32" s="25" customFormat="1" x14ac:dyDescent="0.25">
      <c r="A1423" s="25" t="s">
        <v>189</v>
      </c>
      <c r="B1423" s="25">
        <f t="shared" si="37"/>
        <v>11780</v>
      </c>
      <c r="C1423" s="25" t="s">
        <v>12</v>
      </c>
      <c r="D1423" s="25">
        <v>0</v>
      </c>
      <c r="E1423" s="25">
        <v>0</v>
      </c>
      <c r="F1423" s="25">
        <v>256</v>
      </c>
      <c r="G1423" s="25">
        <v>222</v>
      </c>
      <c r="H1423" s="27">
        <v>0</v>
      </c>
      <c r="I1423" s="27">
        <v>0</v>
      </c>
      <c r="J1423" s="27">
        <v>0</v>
      </c>
      <c r="K1423" s="27">
        <v>0</v>
      </c>
      <c r="L1423" s="27">
        <v>1</v>
      </c>
      <c r="M1423" s="27">
        <v>0</v>
      </c>
      <c r="N1423" s="27">
        <v>0</v>
      </c>
      <c r="O1423" s="27">
        <v>0</v>
      </c>
      <c r="P1423" s="25">
        <v>700</v>
      </c>
      <c r="Q1423" s="25">
        <v>560</v>
      </c>
      <c r="R1423" s="25" t="s">
        <v>87</v>
      </c>
      <c r="S1423" s="25" t="s">
        <v>89</v>
      </c>
      <c r="T1423" s="25">
        <v>0</v>
      </c>
      <c r="U1423" s="25">
        <v>0</v>
      </c>
      <c r="V1423" s="25">
        <v>0</v>
      </c>
      <c r="W1423" s="25">
        <v>0</v>
      </c>
      <c r="X1423" s="25">
        <v>1</v>
      </c>
      <c r="Y1423" s="25">
        <v>0</v>
      </c>
      <c r="Z1423" s="25">
        <v>0</v>
      </c>
      <c r="AA1423" s="25">
        <v>0</v>
      </c>
      <c r="AB1423" s="25">
        <v>0</v>
      </c>
      <c r="AC1423" s="25">
        <v>0</v>
      </c>
      <c r="AD1423" s="25">
        <v>0</v>
      </c>
      <c r="AE1423" s="25">
        <v>1</v>
      </c>
      <c r="AF1423" s="25" t="s">
        <v>131</v>
      </c>
    </row>
    <row r="1424" spans="1:32" s="25" customFormat="1" x14ac:dyDescent="0.25">
      <c r="A1424" s="25" t="s">
        <v>189</v>
      </c>
      <c r="B1424" s="25">
        <f t="shared" si="37"/>
        <v>11790</v>
      </c>
      <c r="C1424" s="25" t="s">
        <v>12</v>
      </c>
      <c r="D1424" s="25">
        <v>0</v>
      </c>
      <c r="E1424" s="25">
        <v>0</v>
      </c>
      <c r="F1424" s="25">
        <v>256</v>
      </c>
      <c r="G1424" s="25">
        <v>222</v>
      </c>
      <c r="H1424" s="27">
        <v>0</v>
      </c>
      <c r="I1424" s="27">
        <v>0</v>
      </c>
      <c r="J1424" s="27">
        <v>0</v>
      </c>
      <c r="K1424" s="27">
        <v>0</v>
      </c>
      <c r="L1424" s="27">
        <v>1</v>
      </c>
      <c r="M1424" s="27">
        <v>0</v>
      </c>
      <c r="N1424" s="27">
        <v>0</v>
      </c>
      <c r="O1424" s="27">
        <v>0</v>
      </c>
      <c r="P1424" s="25">
        <v>700</v>
      </c>
      <c r="Q1424" s="25">
        <v>560</v>
      </c>
      <c r="R1424" s="25" t="s">
        <v>87</v>
      </c>
      <c r="S1424" s="25" t="s">
        <v>89</v>
      </c>
      <c r="T1424" s="25">
        <v>0</v>
      </c>
      <c r="U1424" s="25">
        <v>0</v>
      </c>
      <c r="V1424" s="25">
        <v>0</v>
      </c>
      <c r="W1424" s="25">
        <v>0</v>
      </c>
      <c r="X1424" s="25">
        <v>1</v>
      </c>
      <c r="Y1424" s="25">
        <v>0</v>
      </c>
      <c r="Z1424" s="25">
        <v>0</v>
      </c>
      <c r="AA1424" s="25">
        <v>0</v>
      </c>
      <c r="AB1424" s="25">
        <v>0</v>
      </c>
      <c r="AC1424" s="25">
        <v>0</v>
      </c>
      <c r="AD1424" s="25">
        <v>0</v>
      </c>
      <c r="AE1424" s="25">
        <v>1</v>
      </c>
      <c r="AF1424" s="25" t="s">
        <v>131</v>
      </c>
    </row>
    <row r="1425" spans="1:32" x14ac:dyDescent="0.25">
      <c r="A1425" t="s">
        <v>189</v>
      </c>
      <c r="B1425" s="25">
        <f t="shared" si="37"/>
        <v>11800</v>
      </c>
      <c r="C1425" t="s">
        <v>12</v>
      </c>
      <c r="D1425">
        <v>0</v>
      </c>
      <c r="E1425">
        <v>0</v>
      </c>
      <c r="F1425">
        <v>256</v>
      </c>
      <c r="G1425">
        <v>222</v>
      </c>
      <c r="H1425" s="27">
        <v>0</v>
      </c>
      <c r="I1425" s="27">
        <v>0</v>
      </c>
      <c r="J1425" s="27">
        <v>0</v>
      </c>
      <c r="K1425" s="27">
        <v>0</v>
      </c>
      <c r="L1425" s="27">
        <v>1</v>
      </c>
      <c r="M1425" s="27">
        <v>0</v>
      </c>
      <c r="N1425" s="27">
        <v>0</v>
      </c>
      <c r="O1425" s="27">
        <v>0</v>
      </c>
      <c r="P1425">
        <v>700</v>
      </c>
      <c r="Q1425">
        <v>560</v>
      </c>
      <c r="R1425" t="s">
        <v>87</v>
      </c>
      <c r="S1425" t="s">
        <v>89</v>
      </c>
      <c r="T1425">
        <v>0</v>
      </c>
      <c r="U1425">
        <v>0</v>
      </c>
      <c r="V1425">
        <v>0</v>
      </c>
      <c r="W1425">
        <v>0</v>
      </c>
      <c r="X1425">
        <v>1</v>
      </c>
      <c r="Y1425">
        <v>0</v>
      </c>
      <c r="Z1425">
        <v>0</v>
      </c>
      <c r="AA1425">
        <v>0</v>
      </c>
      <c r="AB1425">
        <v>0</v>
      </c>
      <c r="AC1425">
        <v>0</v>
      </c>
      <c r="AD1425">
        <v>0</v>
      </c>
      <c r="AE1425">
        <v>1</v>
      </c>
      <c r="AF1425" t="s">
        <v>131</v>
      </c>
    </row>
    <row r="1426" spans="1:32" x14ac:dyDescent="0.25">
      <c r="A1426" t="s">
        <v>189</v>
      </c>
      <c r="B1426" s="25">
        <f t="shared" si="37"/>
        <v>11810</v>
      </c>
      <c r="C1426" t="s">
        <v>12</v>
      </c>
      <c r="D1426" t="s">
        <v>13</v>
      </c>
      <c r="E1426" t="s">
        <v>13</v>
      </c>
      <c r="F1426" t="s">
        <v>13</v>
      </c>
      <c r="G1426" t="s">
        <v>13</v>
      </c>
      <c r="H1426" s="27" t="s">
        <v>13</v>
      </c>
      <c r="I1426" s="27" t="s">
        <v>13</v>
      </c>
      <c r="J1426" s="27" t="s">
        <v>13</v>
      </c>
      <c r="K1426" s="27" t="s">
        <v>13</v>
      </c>
      <c r="L1426" s="27" t="s">
        <v>13</v>
      </c>
      <c r="M1426" s="27" t="s">
        <v>13</v>
      </c>
      <c r="N1426" s="27" t="s">
        <v>13</v>
      </c>
      <c r="O1426" s="27" t="s">
        <v>13</v>
      </c>
      <c r="P1426">
        <v>700</v>
      </c>
      <c r="Q1426">
        <v>560</v>
      </c>
      <c r="R1426" t="s">
        <v>87</v>
      </c>
      <c r="S1426" t="s">
        <v>89</v>
      </c>
      <c r="T1426">
        <v>0</v>
      </c>
      <c r="U1426">
        <v>0</v>
      </c>
      <c r="V1426">
        <v>0</v>
      </c>
      <c r="W1426">
        <v>0</v>
      </c>
      <c r="X1426">
        <v>1</v>
      </c>
      <c r="Y1426">
        <v>0</v>
      </c>
      <c r="Z1426">
        <v>0</v>
      </c>
      <c r="AA1426">
        <v>0</v>
      </c>
      <c r="AB1426">
        <v>0</v>
      </c>
      <c r="AC1426">
        <v>0</v>
      </c>
      <c r="AD1426">
        <v>1</v>
      </c>
      <c r="AE1426">
        <v>1</v>
      </c>
      <c r="AF1426" t="s">
        <v>132</v>
      </c>
    </row>
    <row r="1427" spans="1:32" x14ac:dyDescent="0.25">
      <c r="A1427">
        <v>11</v>
      </c>
      <c r="B1427" s="25">
        <f t="shared" si="37"/>
        <v>11820</v>
      </c>
      <c r="C1427" t="s">
        <v>14</v>
      </c>
      <c r="D1427" t="s">
        <v>13</v>
      </c>
      <c r="E1427" t="s">
        <v>13</v>
      </c>
      <c r="F1427" t="s">
        <v>13</v>
      </c>
      <c r="G1427" t="s">
        <v>13</v>
      </c>
      <c r="H1427" s="27" t="s">
        <v>13</v>
      </c>
      <c r="I1427" s="27" t="s">
        <v>13</v>
      </c>
      <c r="J1427" s="27" t="s">
        <v>13</v>
      </c>
      <c r="K1427" s="27" t="s">
        <v>13</v>
      </c>
      <c r="L1427" s="27" t="s">
        <v>13</v>
      </c>
      <c r="M1427" s="27" t="s">
        <v>13</v>
      </c>
      <c r="N1427" s="27" t="s">
        <v>13</v>
      </c>
      <c r="O1427" s="27" t="s">
        <v>13</v>
      </c>
      <c r="P1427">
        <v>700</v>
      </c>
      <c r="Q1427">
        <v>560</v>
      </c>
      <c r="R1427">
        <v>0</v>
      </c>
      <c r="S1427">
        <v>0</v>
      </c>
      <c r="T1427">
        <v>0</v>
      </c>
      <c r="U1427">
        <v>0</v>
      </c>
      <c r="V1427">
        <v>0</v>
      </c>
      <c r="W1427">
        <v>0</v>
      </c>
      <c r="X1427">
        <v>1</v>
      </c>
      <c r="Y1427">
        <v>0</v>
      </c>
      <c r="Z1427">
        <v>0</v>
      </c>
      <c r="AA1427">
        <v>0</v>
      </c>
      <c r="AB1427">
        <v>0</v>
      </c>
      <c r="AC1427">
        <v>0</v>
      </c>
      <c r="AD1427">
        <v>0</v>
      </c>
      <c r="AE1427">
        <v>1</v>
      </c>
      <c r="AF1427" t="s">
        <v>132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8"/>
  <sheetViews>
    <sheetView workbookViewId="0">
      <selection activeCell="E44" sqref="E44"/>
    </sheetView>
  </sheetViews>
  <sheetFormatPr defaultRowHeight="15" customHeight="1" x14ac:dyDescent="0.25"/>
  <cols>
    <col min="1" max="1" width="17.42578125" bestFit="1" customWidth="1"/>
  </cols>
  <sheetData>
    <row r="1" spans="1:12" ht="15" customHeight="1" x14ac:dyDescent="0.25">
      <c r="A1" t="s">
        <v>265</v>
      </c>
      <c r="B1" t="s">
        <v>266</v>
      </c>
      <c r="C1" t="s">
        <v>267</v>
      </c>
    </row>
    <row r="2" spans="1:12" ht="15" customHeight="1" x14ac:dyDescent="0.25">
      <c r="A2" t="s">
        <v>268</v>
      </c>
      <c r="B2" t="s">
        <v>269</v>
      </c>
      <c r="D2" t="s">
        <v>270</v>
      </c>
      <c r="E2" t="s">
        <v>271</v>
      </c>
      <c r="G2" s="26" t="s">
        <v>375</v>
      </c>
    </row>
    <row r="3" spans="1:12" ht="15" customHeight="1" x14ac:dyDescent="0.25">
      <c r="A3" t="s">
        <v>272</v>
      </c>
      <c r="B3" t="s">
        <v>273</v>
      </c>
      <c r="D3" t="s">
        <v>274</v>
      </c>
      <c r="E3" t="s">
        <v>275</v>
      </c>
    </row>
    <row r="4" spans="1:12" ht="15" customHeight="1" x14ac:dyDescent="0.25">
      <c r="A4" t="s">
        <v>276</v>
      </c>
      <c r="B4" t="s">
        <v>277</v>
      </c>
      <c r="E4" t="s">
        <v>278</v>
      </c>
      <c r="G4" s="26" t="s">
        <v>376</v>
      </c>
    </row>
    <row r="5" spans="1:12" ht="15" customHeight="1" x14ac:dyDescent="0.25">
      <c r="A5" t="s">
        <v>55</v>
      </c>
      <c r="B5" t="s">
        <v>279</v>
      </c>
      <c r="E5" t="s">
        <v>280</v>
      </c>
      <c r="F5">
        <v>1</v>
      </c>
      <c r="G5" s="26" t="s">
        <v>453</v>
      </c>
      <c r="H5" s="26" t="s">
        <v>192</v>
      </c>
      <c r="I5" t="s">
        <v>72</v>
      </c>
      <c r="J5" s="26" t="s">
        <v>377</v>
      </c>
      <c r="K5" s="26" t="s">
        <v>378</v>
      </c>
      <c r="L5" t="s">
        <v>281</v>
      </c>
    </row>
    <row r="6" spans="1:12" ht="15" customHeight="1" x14ac:dyDescent="0.25">
      <c r="A6" t="s">
        <v>56</v>
      </c>
      <c r="B6" t="s">
        <v>282</v>
      </c>
      <c r="E6" t="s">
        <v>280</v>
      </c>
      <c r="F6">
        <v>2</v>
      </c>
      <c r="G6" s="26" t="s">
        <v>193</v>
      </c>
      <c r="H6" s="26" t="s">
        <v>194</v>
      </c>
      <c r="I6" t="s">
        <v>72</v>
      </c>
      <c r="J6" s="26" t="s">
        <v>379</v>
      </c>
      <c r="K6" s="26" t="s">
        <v>380</v>
      </c>
      <c r="L6" t="s">
        <v>281</v>
      </c>
    </row>
    <row r="7" spans="1:12" ht="15" customHeight="1" x14ac:dyDescent="0.25">
      <c r="A7" t="s">
        <v>57</v>
      </c>
      <c r="B7" t="s">
        <v>283</v>
      </c>
      <c r="E7" t="s">
        <v>280</v>
      </c>
      <c r="F7">
        <v>3</v>
      </c>
      <c r="G7" s="26" t="s">
        <v>195</v>
      </c>
      <c r="H7" s="26" t="s">
        <v>196</v>
      </c>
      <c r="I7" t="s">
        <v>72</v>
      </c>
      <c r="J7" s="26" t="s">
        <v>381</v>
      </c>
      <c r="K7" s="26" t="s">
        <v>382</v>
      </c>
      <c r="L7" t="s">
        <v>281</v>
      </c>
    </row>
    <row r="8" spans="1:12" ht="15" customHeight="1" x14ac:dyDescent="0.25">
      <c r="A8" t="s">
        <v>94</v>
      </c>
      <c r="B8" t="s">
        <v>284</v>
      </c>
      <c r="E8" t="s">
        <v>280</v>
      </c>
      <c r="G8" s="26" t="s">
        <v>197</v>
      </c>
      <c r="H8" s="26" t="s">
        <v>198</v>
      </c>
      <c r="I8" t="s">
        <v>72</v>
      </c>
      <c r="J8" s="26" t="s">
        <v>383</v>
      </c>
      <c r="K8" s="26" t="s">
        <v>243</v>
      </c>
      <c r="L8" t="s">
        <v>281</v>
      </c>
    </row>
    <row r="9" spans="1:12" ht="15" customHeight="1" x14ac:dyDescent="0.25">
      <c r="A9" t="s">
        <v>95</v>
      </c>
      <c r="B9" t="s">
        <v>285</v>
      </c>
      <c r="E9" t="s">
        <v>280</v>
      </c>
      <c r="F9">
        <v>4</v>
      </c>
      <c r="G9" s="26" t="s">
        <v>199</v>
      </c>
      <c r="H9" s="26" t="s">
        <v>200</v>
      </c>
      <c r="I9" t="s">
        <v>72</v>
      </c>
      <c r="J9" s="26" t="s">
        <v>384</v>
      </c>
      <c r="K9" s="26" t="s">
        <v>385</v>
      </c>
      <c r="L9" t="s">
        <v>281</v>
      </c>
    </row>
    <row r="10" spans="1:12" ht="15" customHeight="1" x14ac:dyDescent="0.25">
      <c r="A10" t="s">
        <v>96</v>
      </c>
      <c r="B10" t="s">
        <v>286</v>
      </c>
      <c r="E10" t="s">
        <v>280</v>
      </c>
      <c r="G10" s="26" t="s">
        <v>201</v>
      </c>
      <c r="H10" s="26" t="s">
        <v>202</v>
      </c>
      <c r="I10" t="s">
        <v>72</v>
      </c>
      <c r="J10" s="26" t="s">
        <v>386</v>
      </c>
      <c r="K10" s="26" t="s">
        <v>385</v>
      </c>
      <c r="L10" t="s">
        <v>281</v>
      </c>
    </row>
    <row r="11" spans="1:12" ht="15" customHeight="1" x14ac:dyDescent="0.25">
      <c r="A11" t="s">
        <v>97</v>
      </c>
      <c r="B11" t="s">
        <v>287</v>
      </c>
      <c r="E11" t="s">
        <v>280</v>
      </c>
      <c r="G11" s="26" t="s">
        <v>203</v>
      </c>
      <c r="H11" s="26" t="s">
        <v>204</v>
      </c>
      <c r="I11" t="s">
        <v>72</v>
      </c>
      <c r="J11" s="26" t="s">
        <v>387</v>
      </c>
      <c r="K11" s="26" t="s">
        <v>385</v>
      </c>
      <c r="L11" t="s">
        <v>281</v>
      </c>
    </row>
    <row r="12" spans="1:12" ht="15" customHeight="1" x14ac:dyDescent="0.25">
      <c r="A12" t="s">
        <v>288</v>
      </c>
      <c r="B12" t="s">
        <v>289</v>
      </c>
      <c r="E12" t="s">
        <v>280</v>
      </c>
      <c r="G12" s="26" t="s">
        <v>205</v>
      </c>
      <c r="H12" s="26" t="s">
        <v>206</v>
      </c>
      <c r="I12" t="s">
        <v>72</v>
      </c>
      <c r="J12" s="26" t="s">
        <v>388</v>
      </c>
      <c r="K12" s="26" t="s">
        <v>385</v>
      </c>
      <c r="L12" t="s">
        <v>281</v>
      </c>
    </row>
    <row r="13" spans="1:12" s="25" customFormat="1" ht="15" customHeight="1" x14ac:dyDescent="0.25">
      <c r="G13" s="26" t="s">
        <v>207</v>
      </c>
      <c r="H13" s="26" t="s">
        <v>208</v>
      </c>
      <c r="J13" s="26"/>
      <c r="K13" s="26"/>
    </row>
    <row r="14" spans="1:12" s="25" customFormat="1" ht="15" customHeight="1" x14ac:dyDescent="0.25">
      <c r="G14" s="26" t="s">
        <v>209</v>
      </c>
      <c r="H14" s="26" t="s">
        <v>210</v>
      </c>
      <c r="J14" s="26"/>
      <c r="K14" s="26"/>
    </row>
    <row r="15" spans="1:12" s="25" customFormat="1" ht="15" customHeight="1" x14ac:dyDescent="0.25">
      <c r="G15" s="26" t="s">
        <v>211</v>
      </c>
      <c r="H15" s="26" t="s">
        <v>212</v>
      </c>
      <c r="J15" s="26"/>
      <c r="K15" s="26"/>
    </row>
    <row r="16" spans="1:12" s="25" customFormat="1" ht="15" customHeight="1" x14ac:dyDescent="0.25">
      <c r="G16" s="26" t="s">
        <v>213</v>
      </c>
      <c r="H16" s="26" t="s">
        <v>214</v>
      </c>
      <c r="J16" s="26"/>
      <c r="K16" s="26"/>
    </row>
    <row r="17" spans="1:12" s="25" customFormat="1" ht="15" customHeight="1" x14ac:dyDescent="0.25">
      <c r="G17" s="26" t="s">
        <v>215</v>
      </c>
      <c r="H17" s="26" t="s">
        <v>216</v>
      </c>
      <c r="J17" s="26"/>
      <c r="K17" s="26"/>
    </row>
    <row r="18" spans="1:12" s="25" customFormat="1" ht="15" customHeight="1" x14ac:dyDescent="0.25">
      <c r="G18" s="26" t="s">
        <v>217</v>
      </c>
      <c r="H18" s="26" t="s">
        <v>218</v>
      </c>
      <c r="J18" s="26"/>
      <c r="K18" s="26"/>
    </row>
    <row r="19" spans="1:12" s="25" customFormat="1" ht="15" customHeight="1" x14ac:dyDescent="0.25">
      <c r="G19" s="26" t="s">
        <v>219</v>
      </c>
      <c r="H19" s="26" t="s">
        <v>220</v>
      </c>
      <c r="J19" s="26"/>
      <c r="K19" s="26"/>
    </row>
    <row r="20" spans="1:12" s="25" customFormat="1" ht="15" customHeight="1" x14ac:dyDescent="0.25">
      <c r="G20" s="26" t="s">
        <v>221</v>
      </c>
      <c r="H20" s="26" t="s">
        <v>222</v>
      </c>
      <c r="J20" s="26"/>
      <c r="K20" s="26"/>
    </row>
    <row r="21" spans="1:12" s="25" customFormat="1" ht="15" customHeight="1" x14ac:dyDescent="0.25">
      <c r="G21" s="26"/>
      <c r="H21" s="26"/>
      <c r="J21" s="26"/>
      <c r="K21" s="26"/>
    </row>
    <row r="22" spans="1:12" s="25" customFormat="1" ht="15" customHeight="1" x14ac:dyDescent="0.25">
      <c r="G22" s="26"/>
      <c r="H22" s="26"/>
      <c r="J22" s="26"/>
      <c r="K22" s="26"/>
    </row>
    <row r="23" spans="1:12" s="25" customFormat="1" ht="15" customHeight="1" x14ac:dyDescent="0.25">
      <c r="G23" s="26"/>
      <c r="H23" s="26"/>
      <c r="J23" s="26"/>
      <c r="K23" s="26"/>
    </row>
    <row r="24" spans="1:12" s="25" customFormat="1" ht="15" customHeight="1" x14ac:dyDescent="0.25">
      <c r="G24" s="26"/>
      <c r="H24" s="26"/>
      <c r="J24" s="26"/>
      <c r="K24" s="26"/>
    </row>
    <row r="25" spans="1:12" s="25" customFormat="1" ht="15" customHeight="1" x14ac:dyDescent="0.25">
      <c r="G25" s="26"/>
      <c r="H25" s="26"/>
      <c r="J25" s="26"/>
      <c r="K25" s="26"/>
    </row>
    <row r="26" spans="1:12" ht="15" customHeight="1" x14ac:dyDescent="0.25">
      <c r="A26" t="s">
        <v>290</v>
      </c>
      <c r="B26" t="s">
        <v>291</v>
      </c>
      <c r="D26" t="s">
        <v>292</v>
      </c>
      <c r="E26" t="s">
        <v>275</v>
      </c>
    </row>
    <row r="27" spans="1:12" ht="15" customHeight="1" x14ac:dyDescent="0.25">
      <c r="A27" t="s">
        <v>293</v>
      </c>
      <c r="B27" t="s">
        <v>294</v>
      </c>
      <c r="E27" t="s">
        <v>278</v>
      </c>
      <c r="G27" s="26" t="s">
        <v>389</v>
      </c>
    </row>
    <row r="28" spans="1:12" ht="15" customHeight="1" x14ac:dyDescent="0.25">
      <c r="A28" t="s">
        <v>295</v>
      </c>
      <c r="B28" t="s">
        <v>296</v>
      </c>
      <c r="E28" t="s">
        <v>280</v>
      </c>
      <c r="F28">
        <v>1</v>
      </c>
      <c r="G28" s="26" t="s">
        <v>390</v>
      </c>
      <c r="H28" s="26" t="s">
        <v>391</v>
      </c>
      <c r="I28" t="s">
        <v>154</v>
      </c>
      <c r="J28" s="26" t="s">
        <v>392</v>
      </c>
      <c r="K28" s="26" t="s">
        <v>393</v>
      </c>
      <c r="L28" t="s">
        <v>281</v>
      </c>
    </row>
    <row r="29" spans="1:12" ht="15" customHeight="1" x14ac:dyDescent="0.25">
      <c r="A29" t="s">
        <v>297</v>
      </c>
      <c r="B29" t="s">
        <v>298</v>
      </c>
      <c r="E29" t="s">
        <v>280</v>
      </c>
      <c r="G29" s="26" t="s">
        <v>394</v>
      </c>
      <c r="H29" s="26" t="s">
        <v>395</v>
      </c>
      <c r="J29" s="26" t="s">
        <v>396</v>
      </c>
      <c r="K29" s="26" t="s">
        <v>393</v>
      </c>
      <c r="L29" t="s">
        <v>281</v>
      </c>
    </row>
    <row r="30" spans="1:12" ht="15" customHeight="1" x14ac:dyDescent="0.25">
      <c r="A30" t="s">
        <v>299</v>
      </c>
      <c r="B30" t="s">
        <v>300</v>
      </c>
      <c r="D30" t="s">
        <v>301</v>
      </c>
      <c r="E30" t="s">
        <v>275</v>
      </c>
    </row>
    <row r="31" spans="1:12" ht="15" customHeight="1" x14ac:dyDescent="0.25">
      <c r="A31" t="s">
        <v>302</v>
      </c>
      <c r="B31" t="s">
        <v>303</v>
      </c>
      <c r="E31" t="s">
        <v>278</v>
      </c>
      <c r="G31" s="26" t="s">
        <v>397</v>
      </c>
    </row>
    <row r="32" spans="1:12" ht="15" customHeight="1" x14ac:dyDescent="0.25">
      <c r="A32" t="s">
        <v>304</v>
      </c>
      <c r="B32" t="s">
        <v>305</v>
      </c>
      <c r="E32" t="s">
        <v>280</v>
      </c>
      <c r="F32">
        <v>1</v>
      </c>
      <c r="G32" s="26" t="s">
        <v>398</v>
      </c>
      <c r="H32" s="26" t="s">
        <v>399</v>
      </c>
      <c r="I32" t="s">
        <v>178</v>
      </c>
      <c r="J32" s="26" t="s">
        <v>400</v>
      </c>
      <c r="K32" t="s">
        <v>173</v>
      </c>
      <c r="L32" t="s">
        <v>281</v>
      </c>
    </row>
    <row r="33" spans="1:12" ht="15" customHeight="1" x14ac:dyDescent="0.25">
      <c r="A33" t="s">
        <v>306</v>
      </c>
      <c r="B33" t="s">
        <v>307</v>
      </c>
      <c r="E33" t="s">
        <v>280</v>
      </c>
      <c r="G33" s="26" t="s">
        <v>401</v>
      </c>
      <c r="H33" s="26" t="s">
        <v>402</v>
      </c>
      <c r="I33" t="s">
        <v>178</v>
      </c>
      <c r="J33" s="26" t="s">
        <v>403</v>
      </c>
      <c r="K33" t="s">
        <v>173</v>
      </c>
      <c r="L33" t="s">
        <v>281</v>
      </c>
    </row>
    <row r="34" spans="1:12" ht="15" customHeight="1" x14ac:dyDescent="0.25">
      <c r="A34" t="s">
        <v>308</v>
      </c>
      <c r="B34" t="s">
        <v>309</v>
      </c>
      <c r="E34" t="s">
        <v>280</v>
      </c>
      <c r="G34" s="26" t="s">
        <v>404</v>
      </c>
      <c r="H34" s="26" t="s">
        <v>405</v>
      </c>
      <c r="I34" t="s">
        <v>178</v>
      </c>
      <c r="J34" s="26" t="s">
        <v>406</v>
      </c>
      <c r="K34" t="s">
        <v>173</v>
      </c>
      <c r="L34" t="s">
        <v>281</v>
      </c>
    </row>
    <row r="35" spans="1:12" ht="15" customHeight="1" x14ac:dyDescent="0.25">
      <c r="A35" t="s">
        <v>310</v>
      </c>
      <c r="B35" t="s">
        <v>311</v>
      </c>
      <c r="E35" t="s">
        <v>280</v>
      </c>
      <c r="F35">
        <v>2</v>
      </c>
      <c r="G35" s="26" t="s">
        <v>407</v>
      </c>
      <c r="H35" s="26" t="s">
        <v>408</v>
      </c>
      <c r="I35" t="s">
        <v>178</v>
      </c>
      <c r="J35" s="26" t="s">
        <v>409</v>
      </c>
      <c r="K35" s="26" t="s">
        <v>410</v>
      </c>
      <c r="L35" t="s">
        <v>281</v>
      </c>
    </row>
    <row r="36" spans="1:12" ht="15" customHeight="1" x14ac:dyDescent="0.25">
      <c r="A36" t="s">
        <v>312</v>
      </c>
      <c r="B36" t="s">
        <v>313</v>
      </c>
      <c r="E36" t="s">
        <v>280</v>
      </c>
      <c r="F36">
        <v>3</v>
      </c>
      <c r="G36" s="26" t="s">
        <v>411</v>
      </c>
      <c r="H36" s="26" t="s">
        <v>412</v>
      </c>
      <c r="I36" t="s">
        <v>178</v>
      </c>
      <c r="J36" s="26" t="s">
        <v>413</v>
      </c>
      <c r="K36" t="s">
        <v>176</v>
      </c>
      <c r="L36" t="s">
        <v>281</v>
      </c>
    </row>
    <row r="37" spans="1:12" ht="15" customHeight="1" x14ac:dyDescent="0.25">
      <c r="A37" t="s">
        <v>314</v>
      </c>
      <c r="B37" t="s">
        <v>315</v>
      </c>
      <c r="E37" t="s">
        <v>280</v>
      </c>
      <c r="F37">
        <v>4</v>
      </c>
      <c r="G37" s="26" t="s">
        <v>414</v>
      </c>
      <c r="H37" s="26" t="s">
        <v>415</v>
      </c>
      <c r="I37" t="s">
        <v>178</v>
      </c>
      <c r="J37" s="26" t="s">
        <v>416</v>
      </c>
      <c r="K37" t="s">
        <v>316</v>
      </c>
      <c r="L37" t="s">
        <v>281</v>
      </c>
    </row>
    <row r="38" spans="1:12" ht="15" customHeight="1" x14ac:dyDescent="0.25">
      <c r="A38" t="s">
        <v>317</v>
      </c>
      <c r="B38" t="s">
        <v>318</v>
      </c>
      <c r="E38" t="s">
        <v>280</v>
      </c>
      <c r="G38" s="26" t="s">
        <v>417</v>
      </c>
      <c r="H38" s="26" t="s">
        <v>418</v>
      </c>
      <c r="I38" t="s">
        <v>178</v>
      </c>
      <c r="J38" s="26" t="s">
        <v>419</v>
      </c>
      <c r="K38" t="s">
        <v>316</v>
      </c>
      <c r="L38" t="s">
        <v>281</v>
      </c>
    </row>
    <row r="39" spans="1:12" ht="15" customHeight="1" x14ac:dyDescent="0.25">
      <c r="A39" t="s">
        <v>319</v>
      </c>
      <c r="B39" t="s">
        <v>320</v>
      </c>
      <c r="E39" t="s">
        <v>280</v>
      </c>
      <c r="G39" s="26" t="s">
        <v>420</v>
      </c>
      <c r="H39" s="26" t="s">
        <v>421</v>
      </c>
      <c r="I39" t="s">
        <v>178</v>
      </c>
      <c r="J39" s="26" t="s">
        <v>422</v>
      </c>
      <c r="K39" t="s">
        <v>316</v>
      </c>
      <c r="L39" t="s">
        <v>281</v>
      </c>
    </row>
    <row r="40" spans="1:12" ht="15" customHeight="1" x14ac:dyDescent="0.25">
      <c r="A40" t="s">
        <v>321</v>
      </c>
      <c r="B40" t="s">
        <v>322</v>
      </c>
      <c r="E40" t="s">
        <v>280</v>
      </c>
      <c r="G40" s="26" t="s">
        <v>423</v>
      </c>
      <c r="H40" s="26" t="s">
        <v>424</v>
      </c>
      <c r="I40" t="s">
        <v>178</v>
      </c>
      <c r="J40" s="26" t="s">
        <v>425</v>
      </c>
      <c r="K40" t="s">
        <v>316</v>
      </c>
      <c r="L40" t="s">
        <v>281</v>
      </c>
    </row>
    <row r="41" spans="1:12" ht="15" customHeight="1" x14ac:dyDescent="0.25">
      <c r="A41" t="s">
        <v>323</v>
      </c>
      <c r="B41" t="s">
        <v>324</v>
      </c>
      <c r="E41" t="s">
        <v>280</v>
      </c>
      <c r="G41" s="26" t="s">
        <v>426</v>
      </c>
      <c r="H41" s="26" t="s">
        <v>427</v>
      </c>
      <c r="I41" t="s">
        <v>178</v>
      </c>
      <c r="J41" s="26" t="s">
        <v>428</v>
      </c>
      <c r="K41" t="s">
        <v>316</v>
      </c>
      <c r="L41" t="s">
        <v>281</v>
      </c>
    </row>
    <row r="42" spans="1:12" ht="15" customHeight="1" x14ac:dyDescent="0.25">
      <c r="A42" t="s">
        <v>325</v>
      </c>
      <c r="B42" t="s">
        <v>326</v>
      </c>
      <c r="E42" t="s">
        <v>280</v>
      </c>
      <c r="G42" s="26" t="s">
        <v>429</v>
      </c>
      <c r="H42" s="26" t="s">
        <v>430</v>
      </c>
      <c r="I42" t="s">
        <v>178</v>
      </c>
      <c r="J42" s="26" t="s">
        <v>431</v>
      </c>
      <c r="K42" t="s">
        <v>316</v>
      </c>
      <c r="L42" t="s">
        <v>281</v>
      </c>
    </row>
    <row r="43" spans="1:12" ht="15" customHeight="1" x14ac:dyDescent="0.25">
      <c r="A43" t="s">
        <v>327</v>
      </c>
      <c r="B43" t="s">
        <v>328</v>
      </c>
      <c r="E43" t="s">
        <v>280</v>
      </c>
      <c r="G43" s="26" t="s">
        <v>432</v>
      </c>
      <c r="H43" s="26" t="s">
        <v>433</v>
      </c>
      <c r="I43" t="s">
        <v>178</v>
      </c>
      <c r="J43" s="26" t="s">
        <v>434</v>
      </c>
      <c r="K43" t="s">
        <v>316</v>
      </c>
      <c r="L43" t="s">
        <v>281</v>
      </c>
    </row>
    <row r="44" spans="1:12" ht="15" customHeight="1" x14ac:dyDescent="0.25">
      <c r="A44" t="s">
        <v>329</v>
      </c>
      <c r="B44" t="s">
        <v>330</v>
      </c>
      <c r="E44" t="s">
        <v>280</v>
      </c>
      <c r="G44" s="26" t="s">
        <v>435</v>
      </c>
      <c r="H44" s="26" t="s">
        <v>436</v>
      </c>
      <c r="I44" t="s">
        <v>178</v>
      </c>
      <c r="J44" s="26" t="s">
        <v>437</v>
      </c>
      <c r="K44" t="s">
        <v>316</v>
      </c>
      <c r="L44" t="s">
        <v>281</v>
      </c>
    </row>
    <row r="45" spans="1:12" s="27" customFormat="1" ht="15" customHeight="1" x14ac:dyDescent="0.25">
      <c r="A45" s="27" t="s">
        <v>331</v>
      </c>
      <c r="B45" s="27" t="s">
        <v>332</v>
      </c>
      <c r="D45" s="27" t="s">
        <v>333</v>
      </c>
      <c r="E45" s="27" t="s">
        <v>275</v>
      </c>
    </row>
    <row r="46" spans="1:12" ht="15" customHeight="1" x14ac:dyDescent="0.25">
      <c r="A46" t="s">
        <v>334</v>
      </c>
      <c r="B46" t="s">
        <v>335</v>
      </c>
      <c r="E46" t="s">
        <v>278</v>
      </c>
      <c r="G46" t="s">
        <v>336</v>
      </c>
    </row>
    <row r="47" spans="1:12" s="27" customFormat="1" ht="15" customHeight="1" x14ac:dyDescent="0.25">
      <c r="A47" s="27" t="s">
        <v>337</v>
      </c>
      <c r="B47" s="27" t="s">
        <v>338</v>
      </c>
      <c r="E47" s="27" t="s">
        <v>280</v>
      </c>
      <c r="F47" s="27">
        <v>1</v>
      </c>
      <c r="G47" s="28" t="s">
        <v>438</v>
      </c>
      <c r="H47" s="28" t="s">
        <v>439</v>
      </c>
      <c r="K47" s="27" t="s">
        <v>339</v>
      </c>
      <c r="L47" s="27" t="s">
        <v>340</v>
      </c>
    </row>
    <row r="48" spans="1:12" ht="15" customHeight="1" x14ac:dyDescent="0.25">
      <c r="A48" t="s">
        <v>341</v>
      </c>
      <c r="B48" t="s">
        <v>342</v>
      </c>
      <c r="E48" t="s">
        <v>278</v>
      </c>
      <c r="G48" t="s">
        <v>343</v>
      </c>
    </row>
    <row r="49" spans="1:12" ht="15" customHeight="1" x14ac:dyDescent="0.25">
      <c r="A49" t="s">
        <v>344</v>
      </c>
      <c r="B49" t="s">
        <v>345</v>
      </c>
      <c r="E49" t="s">
        <v>280</v>
      </c>
      <c r="F49">
        <v>2</v>
      </c>
      <c r="G49" s="26" t="s">
        <v>440</v>
      </c>
      <c r="H49" s="26" t="s">
        <v>441</v>
      </c>
      <c r="K49" s="26" t="s">
        <v>442</v>
      </c>
      <c r="L49" t="s">
        <v>340</v>
      </c>
    </row>
    <row r="50" spans="1:12" ht="15" customHeight="1" x14ac:dyDescent="0.25">
      <c r="A50" t="s">
        <v>346</v>
      </c>
      <c r="B50" t="s">
        <v>347</v>
      </c>
      <c r="E50" t="s">
        <v>278</v>
      </c>
      <c r="G50" t="s">
        <v>343</v>
      </c>
    </row>
    <row r="51" spans="1:12" ht="15" customHeight="1" x14ac:dyDescent="0.25">
      <c r="A51" t="s">
        <v>348</v>
      </c>
      <c r="B51" t="s">
        <v>349</v>
      </c>
      <c r="E51" t="s">
        <v>280</v>
      </c>
      <c r="F51">
        <v>3</v>
      </c>
      <c r="G51" s="26" t="s">
        <v>443</v>
      </c>
      <c r="H51" s="26" t="s">
        <v>444</v>
      </c>
      <c r="K51" t="s">
        <v>350</v>
      </c>
      <c r="L51" t="s">
        <v>340</v>
      </c>
    </row>
    <row r="52" spans="1:12" s="27" customFormat="1" ht="15" customHeight="1" x14ac:dyDescent="0.25">
      <c r="A52" s="27" t="s">
        <v>351</v>
      </c>
      <c r="B52" s="27" t="s">
        <v>352</v>
      </c>
      <c r="D52" s="27" t="s">
        <v>353</v>
      </c>
      <c r="E52" s="27" t="s">
        <v>275</v>
      </c>
    </row>
    <row r="53" spans="1:12" ht="15" customHeight="1" x14ac:dyDescent="0.25">
      <c r="A53" t="s">
        <v>354</v>
      </c>
      <c r="B53" t="s">
        <v>355</v>
      </c>
      <c r="E53" t="s">
        <v>280</v>
      </c>
      <c r="F53">
        <v>1</v>
      </c>
      <c r="G53" s="26" t="s">
        <v>445</v>
      </c>
      <c r="H53" t="s">
        <v>356</v>
      </c>
      <c r="K53" t="s">
        <v>357</v>
      </c>
      <c r="L53" t="s">
        <v>358</v>
      </c>
    </row>
    <row r="54" spans="1:12" ht="15" customHeight="1" x14ac:dyDescent="0.25">
      <c r="A54" t="s">
        <v>359</v>
      </c>
      <c r="B54" t="s">
        <v>360</v>
      </c>
      <c r="E54" t="s">
        <v>280</v>
      </c>
      <c r="F54">
        <v>2</v>
      </c>
      <c r="G54" s="26" t="s">
        <v>446</v>
      </c>
      <c r="H54" s="26" t="s">
        <v>447</v>
      </c>
      <c r="K54" t="s">
        <v>361</v>
      </c>
      <c r="L54" t="s">
        <v>358</v>
      </c>
    </row>
    <row r="55" spans="1:12" ht="15" customHeight="1" x14ac:dyDescent="0.25">
      <c r="A55" t="s">
        <v>362</v>
      </c>
      <c r="B55" t="s">
        <v>363</v>
      </c>
      <c r="E55" t="s">
        <v>280</v>
      </c>
      <c r="F55">
        <v>3</v>
      </c>
      <c r="G55" s="26" t="s">
        <v>448</v>
      </c>
      <c r="H55" s="26" t="s">
        <v>449</v>
      </c>
      <c r="K55" t="s">
        <v>364</v>
      </c>
      <c r="L55" t="s">
        <v>358</v>
      </c>
    </row>
    <row r="56" spans="1:12" ht="15" customHeight="1" x14ac:dyDescent="0.25">
      <c r="A56" t="s">
        <v>365</v>
      </c>
      <c r="B56" t="s">
        <v>366</v>
      </c>
      <c r="E56" t="s">
        <v>280</v>
      </c>
      <c r="F56">
        <v>4</v>
      </c>
      <c r="G56" t="s">
        <v>367</v>
      </c>
      <c r="H56" s="26" t="s">
        <v>450</v>
      </c>
      <c r="K56" s="26" t="s">
        <v>451</v>
      </c>
      <c r="L56" t="s">
        <v>358</v>
      </c>
    </row>
    <row r="57" spans="1:12" s="27" customFormat="1" ht="15" customHeight="1" x14ac:dyDescent="0.25">
      <c r="A57" s="27" t="s">
        <v>368</v>
      </c>
      <c r="B57" s="27" t="s">
        <v>369</v>
      </c>
      <c r="E57" s="27" t="s">
        <v>280</v>
      </c>
      <c r="F57" s="27">
        <v>5</v>
      </c>
      <c r="G57" s="27" t="s">
        <v>367</v>
      </c>
      <c r="H57" s="28" t="s">
        <v>370</v>
      </c>
      <c r="K57" s="27" t="s">
        <v>371</v>
      </c>
      <c r="L57" s="27" t="s">
        <v>358</v>
      </c>
    </row>
    <row r="58" spans="1:12" ht="15" customHeight="1" x14ac:dyDescent="0.25">
      <c r="A58" t="s">
        <v>372</v>
      </c>
      <c r="B58" t="s">
        <v>373</v>
      </c>
      <c r="E58" t="s">
        <v>280</v>
      </c>
      <c r="F58">
        <v>6</v>
      </c>
      <c r="G58" t="s">
        <v>367</v>
      </c>
      <c r="H58" s="26" t="s">
        <v>452</v>
      </c>
      <c r="K58" t="s">
        <v>374</v>
      </c>
      <c r="L58" t="s">
        <v>358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HLTP_Template</vt:lpstr>
      <vt:lpstr>DOORS Template</vt:lpstr>
      <vt:lpstr>Test Script</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2014-05-19T10:51:07Z</dcterms:modified>
</cp:coreProperties>
</file>